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ase de cálculo" sheetId="2" state="visible" r:id="rId2"/>
    <sheet xmlns:r="http://schemas.openxmlformats.org/officeDocument/2006/relationships" name="Pag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b val="1"/>
    </font>
  </fonts>
  <fills count="4">
    <fill>
      <patternFill/>
    </fill>
    <fill>
      <patternFill patternType="gray125"/>
    </fill>
    <fill>
      <patternFill patternType="solid">
        <fgColor rgb="FFFF0000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4" fontId="0" fillId="3" borderId="0" pivotButton="0" quotePrefix="0" xfId="0"/>
    <xf numFmtId="164" fontId="3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1000044 – LEGRAND BTICINO CHILE SPA</t>
        </is>
      </c>
    </row>
    <row r="2">
      <c r="A2" t="inlineStr">
        <is>
          <t>Auditoría acuerdos comerciales Easy Chile HI – Año 2025</t>
        </is>
      </c>
    </row>
    <row r="4">
      <c r="A4" s="2" t="inlineStr">
        <is>
          <t>1. Identificación</t>
        </is>
      </c>
    </row>
    <row r="5" ht="15" customHeight="1">
      <c r="A5" s="3" t="inlineStr">
        <is>
          <t>RUT 79602730-4 (coincide con la web; el PDF RT 2024 dice LTDA, mismo RUT). Sección 51.</t>
        </is>
      </c>
    </row>
    <row r="6" ht="15" customHeight="1">
      <c r="A6" s="3" t="inlineStr">
        <is>
          <t>Retail: AC RT 2024 (válido 01/01/2024, último firmado). Mayorista: AC MY 2025 (válido 01/01/2025).</t>
        </is>
      </c>
    </row>
    <row r="8">
      <c r="A8" s="2" t="inlineStr">
        <is>
          <t>2. Acuerdos y condiciones aplicadas</t>
        </is>
      </c>
    </row>
    <row r="9" ht="30" customHeight="1">
      <c r="A9" s="3" t="inlineStr">
        <is>
          <t>Retail: Publicidad 2,5% · Escala Fija 5% · Logística 2% (cl. 15: solo si pasa por CD) · Escala Crecimiento en MM (base 2.423; &gt;2.700 0,75% … &gt;3.100 4%) · B2B Sí.</t>
        </is>
      </c>
    </row>
    <row r="10" ht="15" customHeight="1">
      <c r="A10" s="3" t="inlineStr">
        <is>
          <t>Mayorista: Escala Fija 3% · Logística 2% (sin compras al CD) · B2B Sí · Devoluciones no aplica.</t>
        </is>
      </c>
    </row>
    <row r="11" ht="15" customHeight="1">
      <c r="A11" s="3" t="inlineStr">
        <is>
          <t>El Fijo 3% Mayorista Easy lo registra como "Publicidad" (acuerdo 234430); se netea en el grupo Pub + Fijo.</t>
        </is>
      </c>
    </row>
    <row r="13">
      <c r="A13" s="2" t="inlineStr">
        <is>
          <t>3. Cruce KSB1 vs web</t>
        </is>
      </c>
    </row>
    <row r="14" ht="15" customHeight="1">
      <c r="A14" s="3" t="inlineStr">
        <is>
          <t>No hay KSB1 en el archivo: no se pudo cruzar.</t>
        </is>
      </c>
    </row>
    <row r="16">
      <c r="A16" s="2" t="inlineStr">
        <is>
          <t>4. DEBIDO / PAGADO / DIFERENCIA</t>
        </is>
      </c>
    </row>
    <row r="17">
      <c r="A17" s="4" t="inlineStr">
        <is>
          <t>Condición</t>
        </is>
      </c>
      <c r="B17" s="4" t="inlineStr">
        <is>
          <t>Grupo neteo</t>
        </is>
      </c>
      <c r="C17" s="4" t="inlineStr">
        <is>
          <t>DEBIDO</t>
        </is>
      </c>
      <c r="D17" s="4" t="inlineStr">
        <is>
          <t>PAGADO</t>
        </is>
      </c>
      <c r="E17" s="4" t="inlineStr">
        <is>
          <t>DIFERENCIA</t>
        </is>
      </c>
    </row>
    <row r="18">
      <c r="A18" s="5" t="inlineStr">
        <is>
          <t>Publicidad</t>
        </is>
      </c>
      <c r="B18" s="5" t="inlineStr">
        <is>
          <t>Pub + Centralizada + Fijo</t>
        </is>
      </c>
      <c r="C18" s="6">
        <f>'Base de cálculo'!P7</f>
        <v/>
      </c>
      <c r="D18" s="6">
        <f>Pagado!N5</f>
        <v/>
      </c>
      <c r="E18" s="7">
        <f>C18+D18</f>
        <v/>
      </c>
    </row>
    <row r="19">
      <c r="A19" s="5" t="inlineStr">
        <is>
          <t>Escala Fija</t>
        </is>
      </c>
      <c r="B19" s="5" t="inlineStr">
        <is>
          <t>Pub + Centralizada + Fijo</t>
        </is>
      </c>
      <c r="C19" s="6">
        <f>'Base de cálculo'!P11+'Base de cálculo'!P15</f>
        <v/>
      </c>
      <c r="D19" s="6">
        <f>Pagado!N6</f>
        <v/>
      </c>
      <c r="E19" s="7">
        <f>C19+D19</f>
        <v/>
      </c>
    </row>
    <row r="20">
      <c r="A20" s="5" t="inlineStr">
        <is>
          <t>Logistica</t>
        </is>
      </c>
      <c r="B20" s="5" t="inlineStr">
        <is>
          <t>Logistica</t>
        </is>
      </c>
      <c r="C20" s="6">
        <f>'Base de cálculo'!P19</f>
        <v/>
      </c>
      <c r="D20" s="6">
        <f>Pagado!N7</f>
        <v/>
      </c>
      <c r="E20" s="7">
        <f>C20+D20</f>
        <v/>
      </c>
    </row>
    <row r="21">
      <c r="A21" s="5" t="inlineStr">
        <is>
          <t>Otros</t>
        </is>
      </c>
      <c r="B21" s="5" t="inlineStr">
        <is>
          <t>Otros</t>
        </is>
      </c>
      <c r="C21" s="6">
        <f>'Base de cálculo'!P23</f>
        <v/>
      </c>
      <c r="D21" s="6">
        <f>Pagado!N8</f>
        <v/>
      </c>
      <c r="E21" s="7">
        <f>C21+D21</f>
        <v/>
      </c>
    </row>
    <row r="22">
      <c r="A22" s="5" t="inlineStr">
        <is>
          <t>Escala Crecimiento</t>
        </is>
      </c>
      <c r="B22" s="5" t="inlineStr">
        <is>
          <t>Escala Crecimiento</t>
        </is>
      </c>
      <c r="C22" s="6">
        <f>'Base de cálculo'!P27</f>
        <v/>
      </c>
      <c r="D22" s="6">
        <f>Pagado!N9</f>
        <v/>
      </c>
      <c r="E22" s="7">
        <f>C22+D22</f>
        <v/>
      </c>
    </row>
    <row r="24">
      <c r="A24" s="8" t="inlineStr">
        <is>
          <t>Neteo por grupo</t>
        </is>
      </c>
    </row>
    <row r="25">
      <c r="A25" s="4" t="inlineStr">
        <is>
          <t>Grupo</t>
        </is>
      </c>
      <c r="B25" s="4" t="inlineStr"/>
      <c r="C25" s="4" t="inlineStr">
        <is>
          <t>DEBIDO</t>
        </is>
      </c>
      <c r="D25" s="4" t="inlineStr">
        <is>
          <t>PAGADO</t>
        </is>
      </c>
      <c r="E25" s="4" t="inlineStr">
        <is>
          <t>DIFERENCIA</t>
        </is>
      </c>
    </row>
    <row r="26">
      <c r="A26" s="5" t="inlineStr">
        <is>
          <t>Pub + Centralizada + Fijo</t>
        </is>
      </c>
      <c r="B26" s="5" t="n"/>
      <c r="C26" s="6">
        <f>SUMIF($B$18:$B$22,$A26,C$18:C$22)</f>
        <v/>
      </c>
      <c r="D26" s="6">
        <f>SUMIF($B$18:$B$22,$A26,D$18:D$22)</f>
        <v/>
      </c>
      <c r="E26" s="7">
        <f>SUMIF($B$18:$B$22,$A26,E$18:E$22)</f>
        <v/>
      </c>
    </row>
    <row r="27">
      <c r="A27" s="5" t="inlineStr">
        <is>
          <t>Logistica</t>
        </is>
      </c>
      <c r="B27" s="5" t="n"/>
      <c r="C27" s="6">
        <f>SUMIF($B$18:$B$22,$A27,C$18:C$22)</f>
        <v/>
      </c>
      <c r="D27" s="6">
        <f>SUMIF($B$18:$B$22,$A27,D$18:D$22)</f>
        <v/>
      </c>
      <c r="E27" s="7">
        <f>SUMIF($B$18:$B$22,$A27,E$18:E$22)</f>
        <v/>
      </c>
    </row>
    <row r="28">
      <c r="A28" s="5" t="inlineStr">
        <is>
          <t>Otros</t>
        </is>
      </c>
      <c r="B28" s="5" t="n"/>
      <c r="C28" s="6">
        <f>SUMIF($B$18:$B$22,$A28,C$18:C$22)</f>
        <v/>
      </c>
      <c r="D28" s="6">
        <f>SUMIF($B$18:$B$22,$A28,D$18:D$22)</f>
        <v/>
      </c>
      <c r="E28" s="7">
        <f>SUMIF($B$18:$B$22,$A28,E$18:E$22)</f>
        <v/>
      </c>
    </row>
    <row r="29">
      <c r="A29" s="5" t="inlineStr">
        <is>
          <t>Escala Crecimiento</t>
        </is>
      </c>
      <c r="B29" s="5" t="n"/>
      <c r="C29" s="6">
        <f>SUMIF($B$18:$B$22,$A29,C$18:C$22)</f>
        <v/>
      </c>
      <c r="D29" s="6">
        <f>SUMIF($B$18:$B$22,$A29,D$18:D$22)</f>
        <v/>
      </c>
      <c r="E29" s="7">
        <f>SUMIF($B$18:$B$22,$A29,E$18:E$22)</f>
        <v/>
      </c>
    </row>
    <row r="31">
      <c r="A31" s="2" t="inlineStr">
        <is>
          <t>5. Conclusión</t>
        </is>
      </c>
    </row>
    <row r="32" ht="15" customHeight="1">
      <c r="A32" s="3" t="inlineStr">
        <is>
          <t>CON RECLAMO (BORRADOR): neteo Pub + Fijo 827.800.</t>
        </is>
      </c>
    </row>
    <row r="33" ht="30" customHeight="1">
      <c r="A33" s="3" t="inlineStr">
        <is>
          <t>Error puntual: doc. 6178844931 del 07/12/2025 debitó Escala Fija (−1.439.445) sin la Publicidad que la acompaña (relación 2:1). Faltan 719.723 de Publicidad.</t>
        </is>
      </c>
    </row>
    <row r="34" ht="15" customHeight="1">
      <c r="A34" s="3" t="inlineStr">
        <is>
          <t>El resto (108.077) son diferencias de diciembre (entregas ene-26 de OC 2025).</t>
        </is>
      </c>
    </row>
    <row r="35" ht="15" customHeight="1">
      <c r="A35" s="3" t="inlineStr">
        <is>
          <t>Escala Crecimiento: lo pagado (1.044.736, acuerdo 226474) es la escala 2024 liquidada en enero 2025.</t>
        </is>
      </c>
    </row>
    <row r="37">
      <c r="A37" s="2" t="inlineStr">
        <is>
          <t>Puntos a validar</t>
        </is>
      </c>
    </row>
    <row r="38" ht="15" customHeight="1">
      <c r="A38" s="3" t="inlineStr">
        <is>
          <t>RT no cambió de AC (rige AC 2024); el error del doc. 6178844931 es puntual de 2025.</t>
        </is>
      </c>
    </row>
    <row r="40">
      <c r="A40" s="2" t="inlineStr">
        <is>
          <t>Observación para el ranking</t>
        </is>
      </c>
    </row>
    <row r="41" ht="30" customHeight="1">
      <c r="A41" s="3" t="inlineStr">
        <is>
          <t>Analizado con reclamo – 827.800 – Doc. 6178844931 (07/12/25) debitó escala fija sin publicidad (−719.723). Se aplicó AC RT 2024 y AC MY 2025.</t>
        </is>
      </c>
    </row>
  </sheetData>
  <mergeCells count="19">
    <mergeCell ref="A34:E34"/>
    <mergeCell ref="A11:E11"/>
    <mergeCell ref="A6:E6"/>
    <mergeCell ref="A16:E16"/>
    <mergeCell ref="A41:E41"/>
    <mergeCell ref="A37:E37"/>
    <mergeCell ref="A33:E33"/>
    <mergeCell ref="A5:E5"/>
    <mergeCell ref="A32:E32"/>
    <mergeCell ref="A14:E14"/>
    <mergeCell ref="A8:E8"/>
    <mergeCell ref="A35:E35"/>
    <mergeCell ref="A4:E4"/>
    <mergeCell ref="A38:E38"/>
    <mergeCell ref="A10:E10"/>
    <mergeCell ref="A13:E13"/>
    <mergeCell ref="A31:E31"/>
    <mergeCell ref="A40:E40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6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1000044 – LEGRAND BTICINO CHILE SPA – Base de cálculo 2025</t>
        </is>
      </c>
    </row>
    <row r="2">
      <c r="A2" t="inlineStr">
        <is>
          <t>Compras = Importe Neto Entregado por Mes RealEM (entregas 2026 de OC 2025 en diciembre). DEBIDO = Base × %.</t>
        </is>
      </c>
    </row>
    <row r="4">
      <c r="A4" s="4" t="inlineStr">
        <is>
          <t>Condición</t>
        </is>
      </c>
      <c r="B4" s="4" t="inlineStr">
        <is>
          <t>Componente</t>
        </is>
      </c>
      <c r="C4" s="4" t="inlineStr">
        <is>
          <t>%</t>
        </is>
      </c>
      <c r="D4" s="4" t="inlineStr">
        <is>
          <t>Ene</t>
        </is>
      </c>
      <c r="E4" s="4" t="inlineStr">
        <is>
          <t>Feb</t>
        </is>
      </c>
      <c r="F4" s="4" t="inlineStr">
        <is>
          <t>Mar</t>
        </is>
      </c>
      <c r="G4" s="4" t="inlineStr">
        <is>
          <t>Abr</t>
        </is>
      </c>
      <c r="H4" s="4" t="inlineStr">
        <is>
          <t>May</t>
        </is>
      </c>
      <c r="I4" s="4" t="inlineStr">
        <is>
          <t>Jun</t>
        </is>
      </c>
      <c r="J4" s="4" t="inlineStr">
        <is>
          <t>Jul</t>
        </is>
      </c>
      <c r="K4" s="4" t="inlineStr">
        <is>
          <t>Ago</t>
        </is>
      </c>
      <c r="L4" s="4" t="inlineStr">
        <is>
          <t>Sep</t>
        </is>
      </c>
      <c r="M4" s="4" t="inlineStr">
        <is>
          <t>Oct</t>
        </is>
      </c>
      <c r="N4" s="4" t="inlineStr">
        <is>
          <t>Nov</t>
        </is>
      </c>
      <c r="O4" s="4" t="inlineStr">
        <is>
          <t>Dic</t>
        </is>
      </c>
      <c r="P4" s="4" t="inlineStr">
        <is>
          <t>Total</t>
        </is>
      </c>
    </row>
    <row r="5">
      <c r="A5" s="8" t="inlineStr">
        <is>
          <t>Publicidad</t>
        </is>
      </c>
      <c r="B5" t="inlineStr">
        <is>
          <t>Retail (Org 2001) – AC RT 2024 – base</t>
        </is>
      </c>
      <c r="D5" s="9" t="n">
        <v>94799020</v>
      </c>
      <c r="E5" s="9" t="n">
        <v>135605204</v>
      </c>
      <c r="F5" s="9" t="n">
        <v>141101517</v>
      </c>
      <c r="G5" s="9" t="n">
        <v>140727398</v>
      </c>
      <c r="H5" s="9" t="n">
        <v>178885757</v>
      </c>
      <c r="I5" s="9" t="n">
        <v>175030362</v>
      </c>
      <c r="J5" s="9" t="n">
        <v>188755320</v>
      </c>
      <c r="K5" s="9" t="n">
        <v>235242953</v>
      </c>
      <c r="L5" s="9" t="n">
        <v>175594138</v>
      </c>
      <c r="M5" s="9" t="n">
        <v>144575296</v>
      </c>
      <c r="N5" s="9" t="n">
        <v>264695086</v>
      </c>
      <c r="O5" s="9" t="n">
        <v>198043353</v>
      </c>
      <c r="P5" s="9">
        <f>SUM(D5:O5)</f>
        <v/>
      </c>
    </row>
    <row r="6">
      <c r="B6" t="inlineStr">
        <is>
          <t>Retail (Org 2001) – AC RT 2024 – %</t>
        </is>
      </c>
      <c r="C6" s="10" t="n">
        <v>0.025</v>
      </c>
      <c r="D6" s="10" t="n">
        <v>0.025</v>
      </c>
      <c r="E6" s="10" t="n">
        <v>0.025</v>
      </c>
      <c r="F6" s="10" t="n">
        <v>0.025</v>
      </c>
      <c r="G6" s="10" t="n">
        <v>0.025</v>
      </c>
      <c r="H6" s="10" t="n">
        <v>0.025</v>
      </c>
      <c r="I6" s="10" t="n">
        <v>0.025</v>
      </c>
      <c r="J6" s="10" t="n">
        <v>0.025</v>
      </c>
      <c r="K6" s="10" t="n">
        <v>0.025</v>
      </c>
      <c r="L6" s="10" t="n">
        <v>0.025</v>
      </c>
      <c r="M6" s="10" t="n">
        <v>0.025</v>
      </c>
      <c r="N6" s="10" t="n">
        <v>0.025</v>
      </c>
      <c r="O6" s="10" t="n">
        <v>0.025</v>
      </c>
    </row>
    <row r="7">
      <c r="A7" t="inlineStr">
        <is>
          <t>Publicidad</t>
        </is>
      </c>
      <c r="B7" s="8" t="inlineStr">
        <is>
          <t>Retail (Org 2001) – AC RT 2024 – DEBIDO</t>
        </is>
      </c>
      <c r="D7" s="11">
        <f>D5*D6</f>
        <v/>
      </c>
      <c r="E7" s="11">
        <f>E5*E6</f>
        <v/>
      </c>
      <c r="F7" s="11">
        <f>F5*F6</f>
        <v/>
      </c>
      <c r="G7" s="11">
        <f>G5*G6</f>
        <v/>
      </c>
      <c r="H7" s="11">
        <f>H5*H6</f>
        <v/>
      </c>
      <c r="I7" s="11">
        <f>I5*I6</f>
        <v/>
      </c>
      <c r="J7" s="11">
        <f>J5*J6</f>
        <v/>
      </c>
      <c r="K7" s="11">
        <f>K5*K6</f>
        <v/>
      </c>
      <c r="L7" s="11">
        <f>L5*L6</f>
        <v/>
      </c>
      <c r="M7" s="11">
        <f>M5*M6</f>
        <v/>
      </c>
      <c r="N7" s="11">
        <f>N5*N6</f>
        <v/>
      </c>
      <c r="O7" s="11">
        <f>O5*O6</f>
        <v/>
      </c>
      <c r="P7" s="12">
        <f>SUM(D7:O7)</f>
        <v/>
      </c>
    </row>
    <row r="9">
      <c r="A9" s="8" t="inlineStr">
        <is>
          <t>Escala Fija</t>
        </is>
      </c>
      <c r="B9" t="inlineStr">
        <is>
          <t>Retail (Org 2001) – AC RT 2024 – base</t>
        </is>
      </c>
      <c r="D9" s="9" t="n">
        <v>94799020</v>
      </c>
      <c r="E9" s="9" t="n">
        <v>135605204</v>
      </c>
      <c r="F9" s="9" t="n">
        <v>141101517</v>
      </c>
      <c r="G9" s="9" t="n">
        <v>140727398</v>
      </c>
      <c r="H9" s="9" t="n">
        <v>178885757</v>
      </c>
      <c r="I9" s="9" t="n">
        <v>175030362</v>
      </c>
      <c r="J9" s="9" t="n">
        <v>188755320</v>
      </c>
      <c r="K9" s="9" t="n">
        <v>235242953</v>
      </c>
      <c r="L9" s="9" t="n">
        <v>175594138</v>
      </c>
      <c r="M9" s="9" t="n">
        <v>144575296</v>
      </c>
      <c r="N9" s="9" t="n">
        <v>264695086</v>
      </c>
      <c r="O9" s="9" t="n">
        <v>198043353</v>
      </c>
      <c r="P9" s="9">
        <f>SUM(D9:O9)</f>
        <v/>
      </c>
    </row>
    <row r="10">
      <c r="B10" t="inlineStr">
        <is>
          <t>Retail (Org 2001) – AC RT 2024 – %</t>
        </is>
      </c>
      <c r="C10" s="10" t="n">
        <v>0.05</v>
      </c>
      <c r="D10" s="10" t="n">
        <v>0.05</v>
      </c>
      <c r="E10" s="10" t="n">
        <v>0.05</v>
      </c>
      <c r="F10" s="10" t="n">
        <v>0.05</v>
      </c>
      <c r="G10" s="10" t="n">
        <v>0.05</v>
      </c>
      <c r="H10" s="10" t="n">
        <v>0.05</v>
      </c>
      <c r="I10" s="10" t="n">
        <v>0.05</v>
      </c>
      <c r="J10" s="10" t="n">
        <v>0.05</v>
      </c>
      <c r="K10" s="10" t="n">
        <v>0.05</v>
      </c>
      <c r="L10" s="10" t="n">
        <v>0.05</v>
      </c>
      <c r="M10" s="10" t="n">
        <v>0.05</v>
      </c>
      <c r="N10" s="10" t="n">
        <v>0.05</v>
      </c>
      <c r="O10" s="10" t="n">
        <v>0.05</v>
      </c>
    </row>
    <row r="11">
      <c r="A11" t="inlineStr">
        <is>
          <t>Escala Fija</t>
        </is>
      </c>
      <c r="B11" s="8" t="inlineStr">
        <is>
          <t>Retail (Org 2001) – AC RT 2024 – DEBIDO</t>
        </is>
      </c>
      <c r="D11" s="11">
        <f>D9*D10</f>
        <v/>
      </c>
      <c r="E11" s="11">
        <f>E9*E10</f>
        <v/>
      </c>
      <c r="F11" s="11">
        <f>F9*F10</f>
        <v/>
      </c>
      <c r="G11" s="11">
        <f>G9*G10</f>
        <v/>
      </c>
      <c r="H11" s="11">
        <f>H9*H10</f>
        <v/>
      </c>
      <c r="I11" s="11">
        <f>I9*I10</f>
        <v/>
      </c>
      <c r="J11" s="11">
        <f>J9*J10</f>
        <v/>
      </c>
      <c r="K11" s="11">
        <f>K9*K10</f>
        <v/>
      </c>
      <c r="L11" s="11">
        <f>L9*L10</f>
        <v/>
      </c>
      <c r="M11" s="11">
        <f>M9*M10</f>
        <v/>
      </c>
      <c r="N11" s="11">
        <f>N9*N10</f>
        <v/>
      </c>
      <c r="O11" s="11">
        <f>O9*O10</f>
        <v/>
      </c>
      <c r="P11" s="12">
        <f>SUM(D11:O11)</f>
        <v/>
      </c>
    </row>
    <row r="13">
      <c r="A13" s="8" t="inlineStr">
        <is>
          <t>Escala Fija</t>
        </is>
      </c>
      <c r="B13" t="inlineStr">
        <is>
          <t>Mayorista (Org 2002) – AC MY 2025 – base</t>
        </is>
      </c>
      <c r="D13" s="9" t="n">
        <v>0</v>
      </c>
      <c r="E13" s="9" t="n">
        <v>0</v>
      </c>
      <c r="F13" s="9" t="n">
        <v>0</v>
      </c>
      <c r="G13" s="9" t="n">
        <v>1505863</v>
      </c>
      <c r="H13" s="9" t="n">
        <v>191760</v>
      </c>
      <c r="I13" s="9" t="n">
        <v>0</v>
      </c>
      <c r="J13" s="9" t="n">
        <v>558960</v>
      </c>
      <c r="K13" s="9" t="n">
        <v>0</v>
      </c>
      <c r="L13" s="9" t="n">
        <v>0</v>
      </c>
      <c r="M13" s="9" t="n">
        <v>0</v>
      </c>
      <c r="N13" s="9" t="n">
        <v>5316300</v>
      </c>
      <c r="O13" s="9" t="n">
        <v>229560</v>
      </c>
      <c r="P13" s="9">
        <f>SUM(D13:O13)</f>
        <v/>
      </c>
    </row>
    <row r="14">
      <c r="B14" t="inlineStr">
        <is>
          <t>Mayorista (Org 2002) – AC MY 2025 – %</t>
        </is>
      </c>
      <c r="C14" s="10" t="n">
        <v>0.03</v>
      </c>
      <c r="D14" s="10" t="n">
        <v>0.03</v>
      </c>
      <c r="E14" s="10" t="n">
        <v>0.03</v>
      </c>
      <c r="F14" s="10" t="n">
        <v>0.03</v>
      </c>
      <c r="G14" s="10" t="n">
        <v>0.03</v>
      </c>
      <c r="H14" s="10" t="n">
        <v>0.03</v>
      </c>
      <c r="I14" s="10" t="n">
        <v>0.03</v>
      </c>
      <c r="J14" s="10" t="n">
        <v>0.03</v>
      </c>
      <c r="K14" s="10" t="n">
        <v>0.03</v>
      </c>
      <c r="L14" s="10" t="n">
        <v>0.03</v>
      </c>
      <c r="M14" s="10" t="n">
        <v>0.03</v>
      </c>
      <c r="N14" s="10" t="n">
        <v>0.03</v>
      </c>
      <c r="O14" s="10" t="n">
        <v>0.03</v>
      </c>
    </row>
    <row r="15">
      <c r="A15" t="inlineStr">
        <is>
          <t>Escala Fija</t>
        </is>
      </c>
      <c r="B15" s="8" t="inlineStr">
        <is>
          <t>Mayorista (Org 2002) – AC MY 2025 – DEBIDO</t>
        </is>
      </c>
      <c r="D15" s="11">
        <f>D13*D14</f>
        <v/>
      </c>
      <c r="E15" s="11">
        <f>E13*E14</f>
        <v/>
      </c>
      <c r="F15" s="11">
        <f>F13*F14</f>
        <v/>
      </c>
      <c r="G15" s="11">
        <f>G13*G14</f>
        <v/>
      </c>
      <c r="H15" s="11">
        <f>H13*H14</f>
        <v/>
      </c>
      <c r="I15" s="11">
        <f>I13*I14</f>
        <v/>
      </c>
      <c r="J15" s="11">
        <f>J13*J14</f>
        <v/>
      </c>
      <c r="K15" s="11">
        <f>K13*K14</f>
        <v/>
      </c>
      <c r="L15" s="11">
        <f>L13*L14</f>
        <v/>
      </c>
      <c r="M15" s="11">
        <f>M13*M14</f>
        <v/>
      </c>
      <c r="N15" s="11">
        <f>N13*N14</f>
        <v/>
      </c>
      <c r="O15" s="11">
        <f>O13*O14</f>
        <v/>
      </c>
      <c r="P15" s="12">
        <f>SUM(D15:O15)</f>
        <v/>
      </c>
    </row>
    <row r="17">
      <c r="A17" s="8" t="inlineStr">
        <is>
          <t>Logistica</t>
        </is>
      </c>
      <c r="B17" t="inlineStr">
        <is>
          <t>Compras CD (cl. 15: solo si pasa por CD) – base</t>
        </is>
      </c>
      <c r="D17" s="9" t="n">
        <v>94799020</v>
      </c>
      <c r="E17" s="9" t="n">
        <v>135605204</v>
      </c>
      <c r="F17" s="9" t="n">
        <v>141101517</v>
      </c>
      <c r="G17" s="9" t="n">
        <v>137773698</v>
      </c>
      <c r="H17" s="9" t="n">
        <v>178885757</v>
      </c>
      <c r="I17" s="9" t="n">
        <v>175030362</v>
      </c>
      <c r="J17" s="9" t="n">
        <v>188755320</v>
      </c>
      <c r="K17" s="9" t="n">
        <v>235242953</v>
      </c>
      <c r="L17" s="9" t="n">
        <v>172134934</v>
      </c>
      <c r="M17" s="9" t="n">
        <v>142482112</v>
      </c>
      <c r="N17" s="9" t="n">
        <v>264695086</v>
      </c>
      <c r="O17" s="9" t="n">
        <v>155973709</v>
      </c>
      <c r="P17" s="9">
        <f>SUM(D17:O17)</f>
        <v/>
      </c>
    </row>
    <row r="18">
      <c r="B18" t="inlineStr">
        <is>
          <t>Compras CD (cl. 15: solo si pasa por CD) – %</t>
        </is>
      </c>
      <c r="C18" s="10" t="n">
        <v>0.02</v>
      </c>
      <c r="D18" s="10" t="n">
        <v>0.02</v>
      </c>
      <c r="E18" s="10" t="n">
        <v>0.02</v>
      </c>
      <c r="F18" s="10" t="n">
        <v>0.02</v>
      </c>
      <c r="G18" s="10" t="n">
        <v>0.02</v>
      </c>
      <c r="H18" s="10" t="n">
        <v>0.02</v>
      </c>
      <c r="I18" s="10" t="n">
        <v>0.02</v>
      </c>
      <c r="J18" s="10" t="n">
        <v>0.02</v>
      </c>
      <c r="K18" s="10" t="n">
        <v>0.02</v>
      </c>
      <c r="L18" s="10" t="n">
        <v>0.02</v>
      </c>
      <c r="M18" s="10" t="n">
        <v>0.02</v>
      </c>
      <c r="N18" s="10" t="n">
        <v>0.02</v>
      </c>
      <c r="O18" s="10" t="n">
        <v>0.02</v>
      </c>
    </row>
    <row r="19">
      <c r="A19" t="inlineStr">
        <is>
          <t>Logistica</t>
        </is>
      </c>
      <c r="B19" s="8" t="inlineStr">
        <is>
          <t>Compras CD (cl. 15: solo si pasa por CD) – DEBIDO</t>
        </is>
      </c>
      <c r="D19" s="11">
        <f>D17*D18</f>
        <v/>
      </c>
      <c r="E19" s="11">
        <f>E17*E18</f>
        <v/>
      </c>
      <c r="F19" s="11">
        <f>F17*F18</f>
        <v/>
      </c>
      <c r="G19" s="11">
        <f>G17*G18</f>
        <v/>
      </c>
      <c r="H19" s="11">
        <f>H17*H18</f>
        <v/>
      </c>
      <c r="I19" s="11">
        <f>I17*I18</f>
        <v/>
      </c>
      <c r="J19" s="11">
        <f>J17*J18</f>
        <v/>
      </c>
      <c r="K19" s="11">
        <f>K17*K18</f>
        <v/>
      </c>
      <c r="L19" s="11">
        <f>L17*L18</f>
        <v/>
      </c>
      <c r="M19" s="11">
        <f>M17*M18</f>
        <v/>
      </c>
      <c r="N19" s="11">
        <f>N17*N18</f>
        <v/>
      </c>
      <c r="O19" s="11">
        <f>O17*O18</f>
        <v/>
      </c>
      <c r="P19" s="12">
        <f>SUM(D19:O19)</f>
        <v/>
      </c>
    </row>
    <row r="21">
      <c r="A21" s="8" t="inlineStr">
        <is>
          <t>Otros</t>
        </is>
      </c>
      <c r="B21" t="inlineStr">
        <is>
          <t>B2B 0,15% – todas las compras – base</t>
        </is>
      </c>
      <c r="D21" s="9" t="n">
        <v>94799020</v>
      </c>
      <c r="E21" s="9" t="n">
        <v>135605204</v>
      </c>
      <c r="F21" s="9" t="n">
        <v>141101517</v>
      </c>
      <c r="G21" s="9" t="n">
        <v>142233261</v>
      </c>
      <c r="H21" s="9" t="n">
        <v>179077517</v>
      </c>
      <c r="I21" s="9" t="n">
        <v>175030362</v>
      </c>
      <c r="J21" s="9" t="n">
        <v>189314280</v>
      </c>
      <c r="K21" s="9" t="n">
        <v>235242953</v>
      </c>
      <c r="L21" s="9" t="n">
        <v>175594138</v>
      </c>
      <c r="M21" s="9" t="n">
        <v>144575296</v>
      </c>
      <c r="N21" s="9" t="n">
        <v>270011386</v>
      </c>
      <c r="O21" s="9" t="n">
        <v>198272913</v>
      </c>
      <c r="P21" s="9">
        <f>SUM(D21:O21)</f>
        <v/>
      </c>
    </row>
    <row r="22">
      <c r="B22" t="inlineStr">
        <is>
          <t>B2B 0,15% – todas las compras – %</t>
        </is>
      </c>
      <c r="C22" s="10" t="n">
        <v>0.0015</v>
      </c>
      <c r="D22" s="10" t="n">
        <v>0.0015</v>
      </c>
      <c r="E22" s="10" t="n">
        <v>0.0015</v>
      </c>
      <c r="F22" s="10" t="n">
        <v>0.0015</v>
      </c>
      <c r="G22" s="10" t="n">
        <v>0.0015</v>
      </c>
      <c r="H22" s="10" t="n">
        <v>0.0015</v>
      </c>
      <c r="I22" s="10" t="n">
        <v>0.0015</v>
      </c>
      <c r="J22" s="10" t="n">
        <v>0.0015</v>
      </c>
      <c r="K22" s="10" t="n">
        <v>0.0015</v>
      </c>
      <c r="L22" s="10" t="n">
        <v>0.0015</v>
      </c>
      <c r="M22" s="10" t="n">
        <v>0.0015</v>
      </c>
      <c r="N22" s="10" t="n">
        <v>0.0015</v>
      </c>
      <c r="O22" s="10" t="n">
        <v>0.0015</v>
      </c>
    </row>
    <row r="23">
      <c r="A23" t="inlineStr">
        <is>
          <t>Otros</t>
        </is>
      </c>
      <c r="B23" s="8" t="inlineStr">
        <is>
          <t>B2B 0,15% – todas las compras – DEBIDO</t>
        </is>
      </c>
      <c r="D23" s="11">
        <f>D21*D22</f>
        <v/>
      </c>
      <c r="E23" s="11">
        <f>E21*E22</f>
        <v/>
      </c>
      <c r="F23" s="11">
        <f>F21*F22</f>
        <v/>
      </c>
      <c r="G23" s="11">
        <f>G21*G22</f>
        <v/>
      </c>
      <c r="H23" s="11">
        <f>H21*H22</f>
        <v/>
      </c>
      <c r="I23" s="11">
        <f>I21*I22</f>
        <v/>
      </c>
      <c r="J23" s="11">
        <f>J21*J22</f>
        <v/>
      </c>
      <c r="K23" s="11">
        <f>K21*K22</f>
        <v/>
      </c>
      <c r="L23" s="11">
        <f>L21*L22</f>
        <v/>
      </c>
      <c r="M23" s="11">
        <f>M21*M22</f>
        <v/>
      </c>
      <c r="N23" s="11">
        <f>N21*N22</f>
        <v/>
      </c>
      <c r="O23" s="11">
        <f>O21*O22</f>
        <v/>
      </c>
      <c r="P23" s="12">
        <f>SUM(D23:O23)</f>
        <v/>
      </c>
    </row>
    <row r="25">
      <c r="A25" s="8" t="inlineStr">
        <is>
          <t>Escala Crecimiento</t>
        </is>
      </c>
      <c r="B25" t="inlineStr">
        <is>
          <t>Pedido RT 2025 2.410 MM &lt; 1er tramo 2.700 MM – base</t>
        </is>
      </c>
      <c r="D25" s="9" t="n">
        <v>94799020</v>
      </c>
      <c r="E25" s="9" t="n">
        <v>135605204</v>
      </c>
      <c r="F25" s="9" t="n">
        <v>141101517</v>
      </c>
      <c r="G25" s="9" t="n">
        <v>140727398</v>
      </c>
      <c r="H25" s="9" t="n">
        <v>178885757</v>
      </c>
      <c r="I25" s="9" t="n">
        <v>175030362</v>
      </c>
      <c r="J25" s="9" t="n">
        <v>188755320</v>
      </c>
      <c r="K25" s="9" t="n">
        <v>235242953</v>
      </c>
      <c r="L25" s="9" t="n">
        <v>175594138</v>
      </c>
      <c r="M25" s="9" t="n">
        <v>144575296</v>
      </c>
      <c r="N25" s="9" t="n">
        <v>264695086</v>
      </c>
      <c r="O25" s="9" t="n">
        <v>198043353</v>
      </c>
      <c r="P25" s="9">
        <f>SUM(D25:O25)</f>
        <v/>
      </c>
    </row>
    <row r="26">
      <c r="B26" t="inlineStr">
        <is>
          <t>Pedido RT 2025 2.410 MM &lt; 1er tramo 2.700 MM – %</t>
        </is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</row>
    <row r="27">
      <c r="A27" t="inlineStr">
        <is>
          <t>Escala Crecimiento</t>
        </is>
      </c>
      <c r="B27" s="8" t="inlineStr">
        <is>
          <t>Pedido RT 2025 2.410 MM &lt; 1er tramo 2.700 MM – DEBIDO</t>
        </is>
      </c>
      <c r="D27" s="11">
        <f>D25*D26</f>
        <v/>
      </c>
      <c r="E27" s="11">
        <f>E25*E26</f>
        <v/>
      </c>
      <c r="F27" s="11">
        <f>F25*F26</f>
        <v/>
      </c>
      <c r="G27" s="11">
        <f>G25*G26</f>
        <v/>
      </c>
      <c r="H27" s="11">
        <f>H25*H26</f>
        <v/>
      </c>
      <c r="I27" s="11">
        <f>I25*I26</f>
        <v/>
      </c>
      <c r="J27" s="11">
        <f>J25*J26</f>
        <v/>
      </c>
      <c r="K27" s="11">
        <f>K25*K26</f>
        <v/>
      </c>
      <c r="L27" s="11">
        <f>L25*L26</f>
        <v/>
      </c>
      <c r="M27" s="11">
        <f>M25*M26</f>
        <v/>
      </c>
      <c r="N27" s="11">
        <f>N25*N26</f>
        <v/>
      </c>
      <c r="O27" s="11">
        <f>O25*O26</f>
        <v/>
      </c>
      <c r="P27" s="12">
        <f>SUM(D27:O27)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>
        <is>
          <t>1000044 – LEGRAND BTICINO CHILE SPA – PAGADO 2025</t>
        </is>
      </c>
    </row>
    <row r="2">
      <c r="A2" t="inlineStr">
        <is>
          <t>VI_Debitos tipo Acuerdo con AñoLiq 2025, más aportes manuales / faltantes KSB1 cuando corresponde (ver detalle abajo).</t>
        </is>
      </c>
    </row>
    <row r="4">
      <c r="A4" s="4" t="inlineStr">
        <is>
          <t>Condición</t>
        </is>
      </c>
      <c r="B4" s="4" t="inlineStr">
        <is>
          <t>Ene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Abr</t>
        </is>
      </c>
      <c r="F4" s="4" t="inlineStr">
        <is>
          <t>May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Ago</t>
        </is>
      </c>
      <c r="J4" s="4" t="inlineStr">
        <is>
          <t>Sep</t>
        </is>
      </c>
      <c r="K4" s="4" t="inlineStr">
        <is>
          <t>Oct</t>
        </is>
      </c>
      <c r="L4" s="4" t="inlineStr">
        <is>
          <t>Nov</t>
        </is>
      </c>
      <c r="M4" s="4" t="inlineStr">
        <is>
          <t>Dic</t>
        </is>
      </c>
      <c r="N4" s="4" t="inlineStr">
        <is>
          <t>Total</t>
        </is>
      </c>
    </row>
    <row r="5">
      <c r="A5" s="8" t="inlineStr">
        <is>
          <t>Publicidad</t>
        </is>
      </c>
      <c r="B5" s="9" t="n">
        <v>-2394379</v>
      </c>
      <c r="C5" s="9" t="n">
        <v>-3390130</v>
      </c>
      <c r="D5" s="9" t="n">
        <v>-3527538</v>
      </c>
      <c r="E5" s="9" t="n">
        <v>-3563361</v>
      </c>
      <c r="F5" s="9" t="n">
        <v>-4477897</v>
      </c>
      <c r="G5" s="9" t="n">
        <v>-4375759</v>
      </c>
      <c r="H5" s="9" t="n">
        <v>-4735652</v>
      </c>
      <c r="I5" s="9" t="n">
        <v>-5881074</v>
      </c>
      <c r="J5" s="9" t="n">
        <v>-4389853</v>
      </c>
      <c r="K5" s="9" t="n">
        <v>-3614382</v>
      </c>
      <c r="L5" s="9" t="n">
        <v>-6776867</v>
      </c>
      <c r="M5" s="9" t="n">
        <v>-4238248</v>
      </c>
      <c r="N5" s="9">
        <f>SUM(B5:M5)</f>
        <v/>
      </c>
    </row>
    <row r="6">
      <c r="A6" s="8" t="inlineStr">
        <is>
          <t>Escala Fija</t>
        </is>
      </c>
      <c r="B6" s="9" t="n">
        <v>-4739951</v>
      </c>
      <c r="C6" s="9" t="n">
        <v>-6780260</v>
      </c>
      <c r="D6" s="9" t="n">
        <v>-7055076</v>
      </c>
      <c r="E6" s="9" t="n">
        <v>-7036370</v>
      </c>
      <c r="F6" s="9" t="n">
        <v>-8944288</v>
      </c>
      <c r="G6" s="9" t="n">
        <v>-8751518</v>
      </c>
      <c r="H6" s="9" t="n">
        <v>-9437766</v>
      </c>
      <c r="I6" s="9" t="n">
        <v>-11762148</v>
      </c>
      <c r="J6" s="9" t="n">
        <v>-8779707</v>
      </c>
      <c r="K6" s="9" t="n">
        <v>-7228765</v>
      </c>
      <c r="L6" s="9" t="n">
        <v>-13234754</v>
      </c>
      <c r="M6" s="9" t="n">
        <v>-9769686</v>
      </c>
      <c r="N6" s="9">
        <f>SUM(B6:M6)</f>
        <v/>
      </c>
    </row>
    <row r="7">
      <c r="A7" s="8" t="inlineStr">
        <is>
          <t>Logistica</t>
        </is>
      </c>
      <c r="B7" s="9" t="n">
        <v>-1994877</v>
      </c>
      <c r="C7" s="9" t="n">
        <v>-2706649</v>
      </c>
      <c r="D7" s="9" t="n">
        <v>-2728589</v>
      </c>
      <c r="E7" s="9" t="n">
        <v>-2755474</v>
      </c>
      <c r="F7" s="9" t="n">
        <v>-3898551</v>
      </c>
      <c r="G7" s="9" t="n">
        <v>-3327218</v>
      </c>
      <c r="H7" s="9" t="n">
        <v>-4648132</v>
      </c>
      <c r="I7" s="9" t="n">
        <v>-3820355</v>
      </c>
      <c r="J7" s="9" t="n">
        <v>-3306731</v>
      </c>
      <c r="K7" s="9" t="n">
        <v>-3155965</v>
      </c>
      <c r="L7" s="9" t="n">
        <v>-5563357</v>
      </c>
      <c r="M7" s="9" t="n">
        <v>-2543696</v>
      </c>
      <c r="N7" s="9">
        <f>SUM(B7:M7)</f>
        <v/>
      </c>
    </row>
    <row r="8">
      <c r="A8" s="8" t="inlineStr">
        <is>
          <t>Otros</t>
        </is>
      </c>
      <c r="B8" s="9" t="n">
        <v>-142199</v>
      </c>
      <c r="C8" s="9" t="n">
        <v>-203408</v>
      </c>
      <c r="D8" s="9" t="n">
        <v>-211652</v>
      </c>
      <c r="E8" s="9" t="n">
        <v>-213350</v>
      </c>
      <c r="F8" s="9" t="n">
        <v>-268616</v>
      </c>
      <c r="G8" s="9" t="n">
        <v>-262546</v>
      </c>
      <c r="H8" s="9" t="n">
        <v>-283971</v>
      </c>
      <c r="I8" s="9" t="n">
        <v>-352864</v>
      </c>
      <c r="J8" s="9" t="n">
        <v>-263392</v>
      </c>
      <c r="K8" s="9" t="n">
        <v>-216863</v>
      </c>
      <c r="L8" s="9" t="n">
        <v>-405017</v>
      </c>
      <c r="M8" s="9" t="n">
        <v>-290379</v>
      </c>
      <c r="N8" s="9">
        <f>SUM(B8:M8)</f>
        <v/>
      </c>
    </row>
    <row r="9">
      <c r="A9" s="8" t="inlineStr">
        <is>
          <t>Escala Crecimiento</t>
        </is>
      </c>
      <c r="B9" s="9" t="n">
        <v>-1044736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>
        <f>SUM(B9:M9)</f>
        <v/>
      </c>
    </row>
    <row r="12">
      <c r="A12" s="8" t="inlineStr">
        <is>
          <t>Detalle de débitos considerados</t>
        </is>
      </c>
    </row>
    <row r="13">
      <c r="A13" s="4" t="inlineStr">
        <is>
          <t>NroDoc</t>
        </is>
      </c>
      <c r="B13" s="4" t="inlineStr">
        <is>
          <t>FeContab</t>
        </is>
      </c>
      <c r="C13" s="4" t="inlineStr">
        <is>
          <t>Seccion</t>
        </is>
      </c>
      <c r="D13" s="4" t="inlineStr">
        <is>
          <t>DenomClaseCoste</t>
        </is>
      </c>
      <c r="E13" s="4" t="inlineStr">
        <is>
          <t>NroAcuerdo</t>
        </is>
      </c>
      <c r="F13" s="4" t="inlineStr">
        <is>
          <t>Descripción Débito</t>
        </is>
      </c>
      <c r="G13" s="4" t="inlineStr">
        <is>
          <t>Tipo de Débito</t>
        </is>
      </c>
      <c r="H13" s="4" t="inlineStr">
        <is>
          <t>Mes Liquidacion</t>
        </is>
      </c>
      <c r="I13" s="4" t="inlineStr">
        <is>
          <t>Año Liquidacion</t>
        </is>
      </c>
      <c r="J13" s="4" t="inlineStr">
        <is>
          <t>Referencia</t>
        </is>
      </c>
      <c r="K13" s="4" t="inlineStr">
        <is>
          <t>ValMonObj</t>
        </is>
      </c>
    </row>
    <row r="14">
      <c r="A14" t="inlineStr">
        <is>
          <t>5974734631</t>
        </is>
      </c>
      <c r="B14" s="13" t="n">
        <v>45688</v>
      </c>
      <c r="C14" t="inlineStr">
        <is>
          <t>51</t>
        </is>
      </c>
      <c r="D14" t="inlineStr">
        <is>
          <t>Desc.Obt.p/Volu</t>
        </is>
      </c>
      <c r="E14" t="inlineStr">
        <is>
          <t>Acuerdo 0000226474</t>
        </is>
      </c>
      <c r="F14" t="inlineStr">
        <is>
          <t>Escala Crecimiento</t>
        </is>
      </c>
      <c r="G14" t="inlineStr">
        <is>
          <t>Acuerdo</t>
        </is>
      </c>
      <c r="H14" t="n">
        <v>1</v>
      </c>
      <c r="I14" t="n">
        <v>2025</v>
      </c>
      <c r="J14" t="inlineStr">
        <is>
          <t>34360411</t>
        </is>
      </c>
      <c r="K14" s="9" t="n">
        <v>-1044736</v>
      </c>
    </row>
    <row r="15">
      <c r="A15" t="inlineStr">
        <is>
          <t>5962169271</t>
        </is>
      </c>
      <c r="B15" s="13" t="n">
        <v>45669</v>
      </c>
      <c r="C15" t="inlineStr">
        <is>
          <t>51</t>
        </is>
      </c>
      <c r="D15" t="inlineStr">
        <is>
          <t>Bonificación Fi</t>
        </is>
      </c>
      <c r="E15" t="inlineStr">
        <is>
          <t>Acuerdo 0000233355</t>
        </is>
      </c>
      <c r="F15" t="inlineStr">
        <is>
          <t>Escala Fija</t>
        </is>
      </c>
      <c r="G15" t="inlineStr">
        <is>
          <t>Acuerdo</t>
        </is>
      </c>
      <c r="H15" t="n">
        <v>1</v>
      </c>
      <c r="I15" t="n">
        <v>2025</v>
      </c>
      <c r="J15" t="inlineStr">
        <is>
          <t>34012677</t>
        </is>
      </c>
      <c r="K15" s="9" t="n">
        <v>-694723</v>
      </c>
    </row>
    <row r="16">
      <c r="A16" t="inlineStr">
        <is>
          <t>5966573324</t>
        </is>
      </c>
      <c r="B16" s="13" t="n">
        <v>45676</v>
      </c>
      <c r="C16" t="inlineStr">
        <is>
          <t>51</t>
        </is>
      </c>
      <c r="D16" t="inlineStr">
        <is>
          <t>Bonificación Fi</t>
        </is>
      </c>
      <c r="E16" t="inlineStr">
        <is>
          <t>Acuerdo 0000233355</t>
        </is>
      </c>
      <c r="F16" t="inlineStr">
        <is>
          <t>Escala Fija</t>
        </is>
      </c>
      <c r="G16" t="inlineStr">
        <is>
          <t>Acuerdo</t>
        </is>
      </c>
      <c r="H16" t="n">
        <v>1</v>
      </c>
      <c r="I16" t="n">
        <v>2025</v>
      </c>
      <c r="J16" t="inlineStr">
        <is>
          <t>34355122</t>
        </is>
      </c>
      <c r="K16" s="9" t="n">
        <v>-1208628</v>
      </c>
    </row>
    <row r="17">
      <c r="A17" t="inlineStr">
        <is>
          <t>5971087067</t>
        </is>
      </c>
      <c r="B17" s="13" t="n">
        <v>45683</v>
      </c>
      <c r="C17" t="inlineStr">
        <is>
          <t>51</t>
        </is>
      </c>
      <c r="D17" t="inlineStr">
        <is>
          <t>Bonificación Fi</t>
        </is>
      </c>
      <c r="E17" t="inlineStr">
        <is>
          <t>Acuerdo 0000233355</t>
        </is>
      </c>
      <c r="F17" t="inlineStr">
        <is>
          <t>Escala Fija</t>
        </is>
      </c>
      <c r="G17" t="inlineStr">
        <is>
          <t>Acuerdo</t>
        </is>
      </c>
      <c r="H17" t="n">
        <v>1</v>
      </c>
      <c r="I17" t="n">
        <v>2025</v>
      </c>
      <c r="J17" t="inlineStr">
        <is>
          <t>34357102</t>
        </is>
      </c>
      <c r="K17" s="9" t="n">
        <v>-1220793</v>
      </c>
    </row>
    <row r="18">
      <c r="A18" t="inlineStr">
        <is>
          <t>5974634546</t>
        </is>
      </c>
      <c r="B18" s="13" t="n">
        <v>45688</v>
      </c>
      <c r="C18" t="inlineStr">
        <is>
          <t>51</t>
        </is>
      </c>
      <c r="D18" t="inlineStr">
        <is>
          <t>Bonificación Fi</t>
        </is>
      </c>
      <c r="E18" t="inlineStr">
        <is>
          <t>Acuerdo 0000233355</t>
        </is>
      </c>
      <c r="F18" t="inlineStr">
        <is>
          <t>Escala Fija</t>
        </is>
      </c>
      <c r="G18" t="inlineStr">
        <is>
          <t>Acuerdo</t>
        </is>
      </c>
      <c r="H18" t="n">
        <v>1</v>
      </c>
      <c r="I18" t="n">
        <v>2025</v>
      </c>
      <c r="J18" t="inlineStr">
        <is>
          <t>34360050</t>
        </is>
      </c>
      <c r="K18" s="9" t="n">
        <v>-1615807</v>
      </c>
    </row>
    <row r="19">
      <c r="A19" t="inlineStr">
        <is>
          <t>5980454743</t>
        </is>
      </c>
      <c r="B19" s="13" t="n">
        <v>45697</v>
      </c>
      <c r="C19" t="inlineStr">
        <is>
          <t>51</t>
        </is>
      </c>
      <c r="D19" t="inlineStr">
        <is>
          <t>Bonificación Fi</t>
        </is>
      </c>
      <c r="E19" t="inlineStr">
        <is>
          <t>Acuerdo 0000233355</t>
        </is>
      </c>
      <c r="F19" t="inlineStr">
        <is>
          <t>Escala Fija</t>
        </is>
      </c>
      <c r="G19" t="inlineStr">
        <is>
          <t>Acuerdo</t>
        </is>
      </c>
      <c r="H19" t="n">
        <v>2</v>
      </c>
      <c r="I19" t="n">
        <v>2025</v>
      </c>
      <c r="J19" t="inlineStr">
        <is>
          <t>34387497</t>
        </is>
      </c>
      <c r="K19" s="9" t="n">
        <v>-1095145</v>
      </c>
    </row>
    <row r="20">
      <c r="A20" t="inlineStr">
        <is>
          <t>5984937004</t>
        </is>
      </c>
      <c r="B20" s="13" t="n">
        <v>45704</v>
      </c>
      <c r="C20" t="inlineStr">
        <is>
          <t>51</t>
        </is>
      </c>
      <c r="D20" t="inlineStr">
        <is>
          <t>Bonificación Fi</t>
        </is>
      </c>
      <c r="E20" t="inlineStr">
        <is>
          <t>Acuerdo 0000233355</t>
        </is>
      </c>
      <c r="F20" t="inlineStr">
        <is>
          <t>Escala Fija</t>
        </is>
      </c>
      <c r="G20" t="inlineStr">
        <is>
          <t>Acuerdo</t>
        </is>
      </c>
      <c r="H20" t="n">
        <v>2</v>
      </c>
      <c r="I20" t="n">
        <v>2025</v>
      </c>
      <c r="J20" t="inlineStr">
        <is>
          <t>34389600</t>
        </is>
      </c>
      <c r="K20" s="9" t="n">
        <v>-1596825</v>
      </c>
    </row>
    <row r="21">
      <c r="A21" t="inlineStr">
        <is>
          <t>5989418849</t>
        </is>
      </c>
      <c r="B21" s="13" t="n">
        <v>45711</v>
      </c>
      <c r="C21" t="inlineStr">
        <is>
          <t>51</t>
        </is>
      </c>
      <c r="D21" t="inlineStr">
        <is>
          <t>Bonificación Fi</t>
        </is>
      </c>
      <c r="E21" t="inlineStr">
        <is>
          <t>Acuerdo 0000233355</t>
        </is>
      </c>
      <c r="F21" t="inlineStr">
        <is>
          <t>Escala Fija</t>
        </is>
      </c>
      <c r="G21" t="inlineStr">
        <is>
          <t>Acuerdo</t>
        </is>
      </c>
      <c r="H21" t="n">
        <v>2</v>
      </c>
      <c r="I21" t="n">
        <v>2025</v>
      </c>
      <c r="J21" t="inlineStr">
        <is>
          <t>34391467</t>
        </is>
      </c>
      <c r="K21" s="9" t="n">
        <v>-1496468</v>
      </c>
    </row>
    <row r="22">
      <c r="A22" t="inlineStr">
        <is>
          <t>5992922900</t>
        </is>
      </c>
      <c r="B22" s="13" t="n">
        <v>45716</v>
      </c>
      <c r="C22" t="inlineStr">
        <is>
          <t>51</t>
        </is>
      </c>
      <c r="D22" t="inlineStr">
        <is>
          <t>Bonificación Fi</t>
        </is>
      </c>
      <c r="E22" t="inlineStr">
        <is>
          <t>Acuerdo 0000233355</t>
        </is>
      </c>
      <c r="F22" t="inlineStr">
        <is>
          <t>Escala Fija</t>
        </is>
      </c>
      <c r="G22" t="inlineStr">
        <is>
          <t>Acuerdo</t>
        </is>
      </c>
      <c r="H22" t="n">
        <v>2</v>
      </c>
      <c r="I22" t="n">
        <v>2025</v>
      </c>
      <c r="J22" t="inlineStr">
        <is>
          <t>34593999</t>
        </is>
      </c>
      <c r="K22" s="9" t="n">
        <v>-2591822</v>
      </c>
    </row>
    <row r="23">
      <c r="A23" t="inlineStr">
        <is>
          <t>5998461001</t>
        </is>
      </c>
      <c r="B23" s="13" t="n">
        <v>45725</v>
      </c>
      <c r="C23" t="inlineStr">
        <is>
          <t>51</t>
        </is>
      </c>
      <c r="D23" t="inlineStr">
        <is>
          <t>Bonificaci?n Fi</t>
        </is>
      </c>
      <c r="E23" t="inlineStr">
        <is>
          <t>Acuerdo 0000233355</t>
        </is>
      </c>
      <c r="F23" t="inlineStr">
        <is>
          <t>Escala Fija</t>
        </is>
      </c>
      <c r="G23" t="inlineStr">
        <is>
          <t>Acuerdo</t>
        </is>
      </c>
      <c r="H23" t="n">
        <v>3</v>
      </c>
      <c r="I23" t="n">
        <v>2025</v>
      </c>
      <c r="J23" t="inlineStr">
        <is>
          <t>34596198</t>
        </is>
      </c>
      <c r="K23" s="9" t="n">
        <v>-1304091</v>
      </c>
    </row>
    <row r="24">
      <c r="A24" t="inlineStr">
        <is>
          <t>6003206825</t>
        </is>
      </c>
      <c r="B24" s="13" t="n">
        <v>45732</v>
      </c>
      <c r="C24" t="inlineStr">
        <is>
          <t>51</t>
        </is>
      </c>
      <c r="D24" t="inlineStr">
        <is>
          <t>Bonificaci?n Fi</t>
        </is>
      </c>
      <c r="E24" t="inlineStr">
        <is>
          <t>Acuerdo 0000233355</t>
        </is>
      </c>
      <c r="F24" t="inlineStr">
        <is>
          <t>Escala Fija</t>
        </is>
      </c>
      <c r="G24" t="inlineStr">
        <is>
          <t>Acuerdo</t>
        </is>
      </c>
      <c r="H24" t="n">
        <v>3</v>
      </c>
      <c r="I24" t="n">
        <v>2025</v>
      </c>
      <c r="J24" t="inlineStr">
        <is>
          <t>34598173</t>
        </is>
      </c>
      <c r="K24" s="9" t="n">
        <v>-1769020</v>
      </c>
    </row>
    <row r="25">
      <c r="A25" t="inlineStr">
        <is>
          <t>6007597293</t>
        </is>
      </c>
      <c r="B25" s="13" t="n">
        <v>45739</v>
      </c>
      <c r="C25" t="inlineStr">
        <is>
          <t>51</t>
        </is>
      </c>
      <c r="D25" t="inlineStr">
        <is>
          <t>Bonificaci?n Fi</t>
        </is>
      </c>
      <c r="E25" t="inlineStr">
        <is>
          <t>Acuerdo 0000233355</t>
        </is>
      </c>
      <c r="F25" t="inlineStr">
        <is>
          <t>Escala Fija</t>
        </is>
      </c>
      <c r="G25" t="inlineStr">
        <is>
          <t>Acuerdo</t>
        </is>
      </c>
      <c r="H25" t="n">
        <v>3</v>
      </c>
      <c r="I25" t="n">
        <v>2025</v>
      </c>
      <c r="J25" t="inlineStr">
        <is>
          <t>34601466</t>
        </is>
      </c>
      <c r="K25" s="9" t="n">
        <v>-2403095</v>
      </c>
    </row>
    <row r="26">
      <c r="A26" t="inlineStr">
        <is>
          <t>6013007703</t>
        </is>
      </c>
      <c r="B26" s="13" t="n">
        <v>45747</v>
      </c>
      <c r="C26" t="inlineStr">
        <is>
          <t>51</t>
        </is>
      </c>
      <c r="D26" t="inlineStr">
        <is>
          <t>Bonificaci?n Fi</t>
        </is>
      </c>
      <c r="E26" t="inlineStr">
        <is>
          <t>Acuerdo 0000233355</t>
        </is>
      </c>
      <c r="F26" t="inlineStr">
        <is>
          <t>Escala Fija</t>
        </is>
      </c>
      <c r="G26" t="inlineStr">
        <is>
          <t>Acuerdo</t>
        </is>
      </c>
      <c r="H26" t="n">
        <v>3</v>
      </c>
      <c r="I26" t="n">
        <v>2025</v>
      </c>
      <c r="J26" t="inlineStr">
        <is>
          <t>34605366</t>
        </is>
      </c>
      <c r="K26" s="9" t="n">
        <v>-1578870</v>
      </c>
    </row>
    <row r="27">
      <c r="A27" t="inlineStr">
        <is>
          <t>6017193774</t>
        </is>
      </c>
      <c r="B27" s="13" t="n">
        <v>45753</v>
      </c>
      <c r="C27" t="inlineStr">
        <is>
          <t>51</t>
        </is>
      </c>
      <c r="D27" t="inlineStr">
        <is>
          <t>Bonificación Fi</t>
        </is>
      </c>
      <c r="E27" t="inlineStr">
        <is>
          <t>Acuerdo 0000233355</t>
        </is>
      </c>
      <c r="F27" t="inlineStr">
        <is>
          <t>Escala Fija</t>
        </is>
      </c>
      <c r="G27" t="inlineStr">
        <is>
          <t>Acuerdo</t>
        </is>
      </c>
      <c r="H27" t="n">
        <v>4</v>
      </c>
      <c r="I27" t="n">
        <v>2025</v>
      </c>
      <c r="J27" t="inlineStr">
        <is>
          <t>34607780</t>
        </is>
      </c>
      <c r="K27" s="9" t="n">
        <v>-610274</v>
      </c>
    </row>
    <row r="28">
      <c r="A28" t="inlineStr">
        <is>
          <t>6021724516</t>
        </is>
      </c>
      <c r="B28" s="13" t="n">
        <v>45760</v>
      </c>
      <c r="C28" t="inlineStr">
        <is>
          <t>51</t>
        </is>
      </c>
      <c r="D28" t="inlineStr">
        <is>
          <t>Bonificación Fi</t>
        </is>
      </c>
      <c r="E28" t="inlineStr">
        <is>
          <t>Acuerdo 0000233355</t>
        </is>
      </c>
      <c r="F28" t="inlineStr">
        <is>
          <t>Escala Fija</t>
        </is>
      </c>
      <c r="G28" t="inlineStr">
        <is>
          <t>Acuerdo</t>
        </is>
      </c>
      <c r="H28" t="n">
        <v>4</v>
      </c>
      <c r="I28" t="n">
        <v>2025</v>
      </c>
      <c r="J28" t="inlineStr">
        <is>
          <t>34979167</t>
        </is>
      </c>
      <c r="K28" s="9" t="n">
        <v>-520710</v>
      </c>
    </row>
    <row r="29">
      <c r="A29" t="inlineStr">
        <is>
          <t>6021724521</t>
        </is>
      </c>
      <c r="B29" s="13" t="n">
        <v>45760</v>
      </c>
      <c r="C29" t="inlineStr">
        <is>
          <t>51</t>
        </is>
      </c>
      <c r="D29" t="inlineStr">
        <is>
          <t>Bonificación Fi</t>
        </is>
      </c>
      <c r="E29" t="inlineStr">
        <is>
          <t>Acuerdo 0000233355</t>
        </is>
      </c>
      <c r="F29" t="inlineStr">
        <is>
          <t>Escala Fija</t>
        </is>
      </c>
      <c r="G29" t="inlineStr">
        <is>
          <t>Acuerdo</t>
        </is>
      </c>
      <c r="H29" t="n">
        <v>4</v>
      </c>
      <c r="I29" t="n">
        <v>2025</v>
      </c>
      <c r="J29" t="inlineStr">
        <is>
          <t>34979168</t>
        </is>
      </c>
      <c r="K29" s="9" t="n">
        <v>-147685</v>
      </c>
    </row>
    <row r="30">
      <c r="A30" t="inlineStr">
        <is>
          <t>6026006949</t>
        </is>
      </c>
      <c r="B30" s="13" t="n">
        <v>45767</v>
      </c>
      <c r="C30" t="inlineStr">
        <is>
          <t>51</t>
        </is>
      </c>
      <c r="D30" t="inlineStr">
        <is>
          <t>Bonificación Fi</t>
        </is>
      </c>
      <c r="E30" t="inlineStr">
        <is>
          <t>Acuerdo 0000233355</t>
        </is>
      </c>
      <c r="F30" t="inlineStr">
        <is>
          <t>Escala Fija</t>
        </is>
      </c>
      <c r="G30" t="inlineStr">
        <is>
          <t>Acuerdo</t>
        </is>
      </c>
      <c r="H30" t="n">
        <v>4</v>
      </c>
      <c r="I30" t="n">
        <v>2025</v>
      </c>
      <c r="J30" t="inlineStr">
        <is>
          <t>34980764</t>
        </is>
      </c>
      <c r="K30" s="9" t="n">
        <v>-1329594</v>
      </c>
    </row>
    <row r="31">
      <c r="A31" t="inlineStr">
        <is>
          <t>6030549310</t>
        </is>
      </c>
      <c r="B31" s="13" t="n">
        <v>45774</v>
      </c>
      <c r="C31" t="inlineStr">
        <is>
          <t>51</t>
        </is>
      </c>
      <c r="D31" t="inlineStr">
        <is>
          <t>Bonificación Fi</t>
        </is>
      </c>
      <c r="E31" t="inlineStr">
        <is>
          <t>Acuerdo 0000233355</t>
        </is>
      </c>
      <c r="F31" t="inlineStr">
        <is>
          <t>Escala Fija</t>
        </is>
      </c>
      <c r="G31" t="inlineStr">
        <is>
          <t>Acuerdo</t>
        </is>
      </c>
      <c r="H31" t="n">
        <v>4</v>
      </c>
      <c r="I31" t="n">
        <v>2025</v>
      </c>
      <c r="J31" t="inlineStr">
        <is>
          <t>34984735</t>
        </is>
      </c>
      <c r="K31" s="9" t="n">
        <v>-3169053</v>
      </c>
    </row>
    <row r="32">
      <c r="A32" t="inlineStr">
        <is>
          <t>6032765145</t>
        </is>
      </c>
      <c r="B32" s="13" t="n">
        <v>45777</v>
      </c>
      <c r="C32" t="inlineStr">
        <is>
          <t>51</t>
        </is>
      </c>
      <c r="D32" t="inlineStr">
        <is>
          <t>Bonificación Fi</t>
        </is>
      </c>
      <c r="E32" t="inlineStr">
        <is>
          <t>Acuerdo 0000233355</t>
        </is>
      </c>
      <c r="F32" t="inlineStr">
        <is>
          <t>Escala Fija</t>
        </is>
      </c>
      <c r="G32" t="inlineStr">
        <is>
          <t>Acuerdo</t>
        </is>
      </c>
      <c r="H32" t="n">
        <v>4</v>
      </c>
      <c r="I32" t="n">
        <v>2025</v>
      </c>
      <c r="J32" t="inlineStr">
        <is>
          <t>34986920</t>
        </is>
      </c>
      <c r="K32" s="9" t="n">
        <v>-1259054</v>
      </c>
    </row>
    <row r="33">
      <c r="A33" t="inlineStr">
        <is>
          <t>6039644105</t>
        </is>
      </c>
      <c r="B33" s="13" t="n">
        <v>45788</v>
      </c>
      <c r="C33" t="inlineStr">
        <is>
          <t>51</t>
        </is>
      </c>
      <c r="D33" t="inlineStr">
        <is>
          <t>Bonificación Fi</t>
        </is>
      </c>
      <c r="E33" t="inlineStr">
        <is>
          <t>Acuerdo 0000233355</t>
        </is>
      </c>
      <c r="F33" t="inlineStr">
        <is>
          <t>Escala Fija</t>
        </is>
      </c>
      <c r="G33" t="inlineStr">
        <is>
          <t>Acuerdo</t>
        </is>
      </c>
      <c r="H33" t="n">
        <v>5</v>
      </c>
      <c r="I33" t="n">
        <v>2025</v>
      </c>
      <c r="J33" t="inlineStr">
        <is>
          <t>34989906</t>
        </is>
      </c>
      <c r="K33" s="9" t="n">
        <v>-2668332</v>
      </c>
    </row>
    <row r="34">
      <c r="A34" t="inlineStr">
        <is>
          <t>6043977997</t>
        </is>
      </c>
      <c r="B34" s="13" t="n">
        <v>45795</v>
      </c>
      <c r="C34" t="inlineStr">
        <is>
          <t>51</t>
        </is>
      </c>
      <c r="D34" t="inlineStr">
        <is>
          <t>Bonificación Fi</t>
        </is>
      </c>
      <c r="E34" t="inlineStr">
        <is>
          <t>Acuerdo 0000233355</t>
        </is>
      </c>
      <c r="F34" t="inlineStr">
        <is>
          <t>Escala Fija</t>
        </is>
      </c>
      <c r="G34" t="inlineStr">
        <is>
          <t>Acuerdo</t>
        </is>
      </c>
      <c r="H34" t="n">
        <v>5</v>
      </c>
      <c r="I34" t="n">
        <v>2025</v>
      </c>
      <c r="J34" t="inlineStr">
        <is>
          <t>34992722</t>
        </is>
      </c>
      <c r="K34" s="9" t="n">
        <v>-2757117</v>
      </c>
    </row>
    <row r="35">
      <c r="A35" t="inlineStr">
        <is>
          <t>6048358097</t>
        </is>
      </c>
      <c r="B35" s="13" t="n">
        <v>45802</v>
      </c>
      <c r="C35" t="inlineStr">
        <is>
          <t>51</t>
        </is>
      </c>
      <c r="D35" t="inlineStr">
        <is>
          <t>Bonificación Fi</t>
        </is>
      </c>
      <c r="E35" t="inlineStr">
        <is>
          <t>Acuerdo 0000233355</t>
        </is>
      </c>
      <c r="F35" t="inlineStr">
        <is>
          <t>Escala Fija</t>
        </is>
      </c>
      <c r="G35" t="inlineStr">
        <is>
          <t>Acuerdo</t>
        </is>
      </c>
      <c r="H35" t="n">
        <v>5</v>
      </c>
      <c r="I35" t="n">
        <v>2025</v>
      </c>
      <c r="J35" t="inlineStr">
        <is>
          <t>34994597</t>
        </is>
      </c>
      <c r="K35" s="9" t="n">
        <v>-1960604</v>
      </c>
    </row>
    <row r="36">
      <c r="A36" t="inlineStr">
        <is>
          <t>6052451419</t>
        </is>
      </c>
      <c r="B36" s="13" t="n">
        <v>45808</v>
      </c>
      <c r="C36" t="inlineStr">
        <is>
          <t>51</t>
        </is>
      </c>
      <c r="D36" t="inlineStr">
        <is>
          <t>Bonificación Fi</t>
        </is>
      </c>
      <c r="E36" t="inlineStr">
        <is>
          <t>Acuerdo 0000233355</t>
        </is>
      </c>
      <c r="F36" t="inlineStr">
        <is>
          <t>Escala Fija</t>
        </is>
      </c>
      <c r="G36" t="inlineStr">
        <is>
          <t>Acuerdo</t>
        </is>
      </c>
      <c r="H36" t="n">
        <v>5</v>
      </c>
      <c r="I36" t="n">
        <v>2025</v>
      </c>
      <c r="J36" t="inlineStr">
        <is>
          <t>34997025</t>
        </is>
      </c>
      <c r="K36" s="9" t="n">
        <v>-1558235</v>
      </c>
    </row>
    <row r="37">
      <c r="A37" t="inlineStr">
        <is>
          <t>6057607961</t>
        </is>
      </c>
      <c r="B37" s="13" t="n">
        <v>45816</v>
      </c>
      <c r="C37" t="inlineStr">
        <is>
          <t>51</t>
        </is>
      </c>
      <c r="D37" t="inlineStr">
        <is>
          <t>Bonificación Fi</t>
        </is>
      </c>
      <c r="E37" t="inlineStr">
        <is>
          <t>Acuerdo 0000233355</t>
        </is>
      </c>
      <c r="F37" t="inlineStr">
        <is>
          <t>Escala Fija</t>
        </is>
      </c>
      <c r="G37" t="inlineStr">
        <is>
          <t>Acuerdo</t>
        </is>
      </c>
      <c r="H37" t="n">
        <v>6</v>
      </c>
      <c r="I37" t="n">
        <v>2025</v>
      </c>
      <c r="J37" t="inlineStr">
        <is>
          <t>35585119</t>
        </is>
      </c>
      <c r="K37" s="9" t="n">
        <v>-2410256</v>
      </c>
    </row>
    <row r="38">
      <c r="A38" t="inlineStr">
        <is>
          <t>6062328291</t>
        </is>
      </c>
      <c r="B38" s="13" t="n">
        <v>45823</v>
      </c>
      <c r="C38" t="inlineStr">
        <is>
          <t>51</t>
        </is>
      </c>
      <c r="D38" t="inlineStr">
        <is>
          <t>Bonificación Fi</t>
        </is>
      </c>
      <c r="E38" t="inlineStr">
        <is>
          <t>Acuerdo 0000233355</t>
        </is>
      </c>
      <c r="F38" t="inlineStr">
        <is>
          <t>Escala Fija</t>
        </is>
      </c>
      <c r="G38" t="inlineStr">
        <is>
          <t>Acuerdo</t>
        </is>
      </c>
      <c r="H38" t="n">
        <v>6</v>
      </c>
      <c r="I38" t="n">
        <v>2025</v>
      </c>
      <c r="J38" t="inlineStr">
        <is>
          <t>35587120</t>
        </is>
      </c>
      <c r="K38" s="9" t="n">
        <v>-2006280</v>
      </c>
    </row>
    <row r="39">
      <c r="A39" t="inlineStr">
        <is>
          <t>6066448052</t>
        </is>
      </c>
      <c r="B39" s="13" t="n">
        <v>45830</v>
      </c>
      <c r="C39" t="inlineStr">
        <is>
          <t>51</t>
        </is>
      </c>
      <c r="D39" t="inlineStr">
        <is>
          <t>Bonificación Fi</t>
        </is>
      </c>
      <c r="E39" t="inlineStr">
        <is>
          <t>Acuerdo 0000233355</t>
        </is>
      </c>
      <c r="F39" t="inlineStr">
        <is>
          <t>Escala Fija</t>
        </is>
      </c>
      <c r="G39" t="inlineStr">
        <is>
          <t>Acuerdo</t>
        </is>
      </c>
      <c r="H39" t="n">
        <v>6</v>
      </c>
      <c r="I39" t="n">
        <v>2025</v>
      </c>
      <c r="J39" t="inlineStr">
        <is>
          <t>35589125</t>
        </is>
      </c>
      <c r="K39" s="9" t="n">
        <v>-1870233</v>
      </c>
    </row>
    <row r="40">
      <c r="A40" t="inlineStr">
        <is>
          <t>6071584369</t>
        </is>
      </c>
      <c r="B40" s="13" t="n">
        <v>45838</v>
      </c>
      <c r="C40" t="inlineStr">
        <is>
          <t>51</t>
        </is>
      </c>
      <c r="D40" t="inlineStr">
        <is>
          <t>Bonificación Fi</t>
        </is>
      </c>
      <c r="E40" t="inlineStr">
        <is>
          <t>Acuerdo 0000233355</t>
        </is>
      </c>
      <c r="F40" t="inlineStr">
        <is>
          <t>Escala Fija</t>
        </is>
      </c>
      <c r="G40" t="inlineStr">
        <is>
          <t>Acuerdo</t>
        </is>
      </c>
      <c r="H40" t="n">
        <v>6</v>
      </c>
      <c r="I40" t="n">
        <v>2025</v>
      </c>
      <c r="J40" t="inlineStr">
        <is>
          <t>35591712</t>
        </is>
      </c>
      <c r="K40" s="9" t="n">
        <v>-2464749</v>
      </c>
    </row>
    <row r="41">
      <c r="A41" t="inlineStr">
        <is>
          <t>6075554890</t>
        </is>
      </c>
      <c r="B41" s="13" t="n">
        <v>45844</v>
      </c>
      <c r="C41" t="inlineStr">
        <is>
          <t>51</t>
        </is>
      </c>
      <c r="D41" t="inlineStr">
        <is>
          <t>Bonificación Fi</t>
        </is>
      </c>
      <c r="E41" t="inlineStr">
        <is>
          <t>Acuerdo 0000233355</t>
        </is>
      </c>
      <c r="F41" t="inlineStr">
        <is>
          <t>Escala Fija</t>
        </is>
      </c>
      <c r="G41" t="inlineStr">
        <is>
          <t>Acuerdo</t>
        </is>
      </c>
      <c r="H41" t="n">
        <v>7</v>
      </c>
      <c r="I41" t="n">
        <v>2025</v>
      </c>
      <c r="J41" t="inlineStr">
        <is>
          <t>35593587</t>
        </is>
      </c>
      <c r="K41" s="9" t="n">
        <v>-1901054</v>
      </c>
    </row>
    <row r="42">
      <c r="A42" t="inlineStr">
        <is>
          <t>6079900882</t>
        </is>
      </c>
      <c r="B42" s="13" t="n">
        <v>45851</v>
      </c>
      <c r="C42" t="inlineStr">
        <is>
          <t>51</t>
        </is>
      </c>
      <c r="D42" t="inlineStr">
        <is>
          <t>Bonificación Fi</t>
        </is>
      </c>
      <c r="E42" t="inlineStr">
        <is>
          <t>Acuerdo 0000233355</t>
        </is>
      </c>
      <c r="F42" t="inlineStr">
        <is>
          <t>Escala Fija</t>
        </is>
      </c>
      <c r="G42" t="inlineStr">
        <is>
          <t>Acuerdo</t>
        </is>
      </c>
      <c r="H42" t="n">
        <v>7</v>
      </c>
      <c r="I42" t="n">
        <v>2025</v>
      </c>
      <c r="J42" t="inlineStr">
        <is>
          <t>35595858</t>
        </is>
      </c>
      <c r="K42" s="9" t="n">
        <v>-2193062</v>
      </c>
    </row>
    <row r="43">
      <c r="A43" t="inlineStr">
        <is>
          <t>6084233851</t>
        </is>
      </c>
      <c r="B43" s="13" t="n">
        <v>45858</v>
      </c>
      <c r="C43" t="inlineStr">
        <is>
          <t>51</t>
        </is>
      </c>
      <c r="D43" t="inlineStr">
        <is>
          <t>Bonificación Fi</t>
        </is>
      </c>
      <c r="E43" t="inlineStr">
        <is>
          <t>Acuerdo 0000233355</t>
        </is>
      </c>
      <c r="F43" t="inlineStr">
        <is>
          <t>Escala Fija</t>
        </is>
      </c>
      <c r="G43" t="inlineStr">
        <is>
          <t>Acuerdo</t>
        </is>
      </c>
      <c r="H43" t="n">
        <v>7</v>
      </c>
      <c r="I43" t="n">
        <v>2025</v>
      </c>
      <c r="J43" t="inlineStr">
        <is>
          <t>35598102</t>
        </is>
      </c>
      <c r="K43" s="9" t="n">
        <v>-2291259</v>
      </c>
    </row>
    <row r="44">
      <c r="A44" t="inlineStr">
        <is>
          <t>6088852459</t>
        </is>
      </c>
      <c r="B44" s="13" t="n">
        <v>45865</v>
      </c>
      <c r="C44" t="inlineStr">
        <is>
          <t>51</t>
        </is>
      </c>
      <c r="D44" t="inlineStr">
        <is>
          <t>Bonificación Fi</t>
        </is>
      </c>
      <c r="E44" t="inlineStr">
        <is>
          <t>Acuerdo 0000233355</t>
        </is>
      </c>
      <c r="F44" t="inlineStr">
        <is>
          <t>Escala Fija</t>
        </is>
      </c>
      <c r="G44" t="inlineStr">
        <is>
          <t>Acuerdo</t>
        </is>
      </c>
      <c r="H44" t="n">
        <v>7</v>
      </c>
      <c r="I44" t="n">
        <v>2025</v>
      </c>
      <c r="J44" t="inlineStr">
        <is>
          <t>35820663</t>
        </is>
      </c>
      <c r="K44" s="9" t="n">
        <v>-2318234</v>
      </c>
    </row>
    <row r="45">
      <c r="A45" t="inlineStr">
        <is>
          <t>6091683532</t>
        </is>
      </c>
      <c r="B45" s="13" t="n">
        <v>45869</v>
      </c>
      <c r="C45" t="inlineStr">
        <is>
          <t>51</t>
        </is>
      </c>
      <c r="D45" t="inlineStr">
        <is>
          <t>Bonificación Fi</t>
        </is>
      </c>
      <c r="E45" t="inlineStr">
        <is>
          <t>Acuerdo 0000233355</t>
        </is>
      </c>
      <c r="F45" t="inlineStr">
        <is>
          <t>Escala Fija</t>
        </is>
      </c>
      <c r="G45" t="inlineStr">
        <is>
          <t>Acuerdo</t>
        </is>
      </c>
      <c r="H45" t="n">
        <v>7</v>
      </c>
      <c r="I45" t="n">
        <v>2025</v>
      </c>
      <c r="J45" t="inlineStr">
        <is>
          <t>35822990</t>
        </is>
      </c>
      <c r="K45" s="9" t="n">
        <v>-734157</v>
      </c>
    </row>
    <row r="46">
      <c r="A46" t="inlineStr">
        <is>
          <t>6097944884</t>
        </is>
      </c>
      <c r="B46" s="13" t="n">
        <v>45879</v>
      </c>
      <c r="C46" t="inlineStr">
        <is>
          <t>51</t>
        </is>
      </c>
      <c r="D46" t="inlineStr">
        <is>
          <t>Bonificación Fi</t>
        </is>
      </c>
      <c r="E46" t="inlineStr">
        <is>
          <t>Acuerdo 0000233355</t>
        </is>
      </c>
      <c r="F46" t="inlineStr">
        <is>
          <t>Escala Fija</t>
        </is>
      </c>
      <c r="G46" t="inlineStr">
        <is>
          <t>Acuerdo</t>
        </is>
      </c>
      <c r="H46" t="n">
        <v>8</v>
      </c>
      <c r="I46" t="n">
        <v>2025</v>
      </c>
      <c r="J46" t="inlineStr">
        <is>
          <t>35825839</t>
        </is>
      </c>
      <c r="K46" s="9" t="n">
        <v>-5024096</v>
      </c>
    </row>
    <row r="47">
      <c r="A47" t="inlineStr">
        <is>
          <t>6102119527</t>
        </is>
      </c>
      <c r="B47" s="13" t="n">
        <v>45886</v>
      </c>
      <c r="C47" t="inlineStr">
        <is>
          <t>51</t>
        </is>
      </c>
      <c r="D47" t="inlineStr">
        <is>
          <t>Bonificación Fi</t>
        </is>
      </c>
      <c r="E47" t="inlineStr">
        <is>
          <t>Acuerdo 0000233355</t>
        </is>
      </c>
      <c r="F47" t="inlineStr">
        <is>
          <t>Escala Fija</t>
        </is>
      </c>
      <c r="G47" t="inlineStr">
        <is>
          <t>Acuerdo</t>
        </is>
      </c>
      <c r="H47" t="n">
        <v>8</v>
      </c>
      <c r="I47" t="n">
        <v>2025</v>
      </c>
      <c r="J47" t="inlineStr">
        <is>
          <t>35827972</t>
        </is>
      </c>
      <c r="K47" s="9" t="n">
        <v>-1811329</v>
      </c>
    </row>
    <row r="48">
      <c r="A48" t="inlineStr">
        <is>
          <t>6106518705</t>
        </is>
      </c>
      <c r="B48" s="13" t="n">
        <v>45893</v>
      </c>
      <c r="C48" t="inlineStr">
        <is>
          <t>51</t>
        </is>
      </c>
      <c r="D48" t="inlineStr">
        <is>
          <t>Bonificación Fi</t>
        </is>
      </c>
      <c r="E48" t="inlineStr">
        <is>
          <t>Acuerdo 0000233355</t>
        </is>
      </c>
      <c r="F48" t="inlineStr">
        <is>
          <t>Escala Fija</t>
        </is>
      </c>
      <c r="G48" t="inlineStr">
        <is>
          <t>Acuerdo</t>
        </is>
      </c>
      <c r="H48" t="n">
        <v>8</v>
      </c>
      <c r="I48" t="n">
        <v>2025</v>
      </c>
      <c r="J48" t="inlineStr">
        <is>
          <t>35830085</t>
        </is>
      </c>
      <c r="K48" s="9" t="n">
        <v>-2691279</v>
      </c>
    </row>
    <row r="49">
      <c r="A49" t="inlineStr">
        <is>
          <t>6111431262</t>
        </is>
      </c>
      <c r="B49" s="13" t="n">
        <v>45900</v>
      </c>
      <c r="C49" t="inlineStr">
        <is>
          <t>51</t>
        </is>
      </c>
      <c r="D49" t="inlineStr">
        <is>
          <t>Bonificación Fi</t>
        </is>
      </c>
      <c r="E49" t="inlineStr">
        <is>
          <t>Acuerdo 0000233355</t>
        </is>
      </c>
      <c r="F49" t="inlineStr">
        <is>
          <t>Escala Fija</t>
        </is>
      </c>
      <c r="G49" t="inlineStr">
        <is>
          <t>Acuerdo</t>
        </is>
      </c>
      <c r="H49" t="n">
        <v>8</v>
      </c>
      <c r="I49" t="n">
        <v>2025</v>
      </c>
      <c r="J49" t="inlineStr">
        <is>
          <t>35832755</t>
        </is>
      </c>
      <c r="K49" s="9" t="n">
        <v>-2235444</v>
      </c>
    </row>
    <row r="50">
      <c r="A50" t="inlineStr">
        <is>
          <t>6115824079</t>
        </is>
      </c>
      <c r="B50" s="13" t="n">
        <v>45907</v>
      </c>
      <c r="C50" t="inlineStr">
        <is>
          <t>51</t>
        </is>
      </c>
      <c r="D50" t="inlineStr">
        <is>
          <t>Bonificaci? Fi</t>
        </is>
      </c>
      <c r="E50" t="inlineStr">
        <is>
          <t>Acuerdo 0000233355</t>
        </is>
      </c>
      <c r="F50" t="inlineStr">
        <is>
          <t>Escala Fija</t>
        </is>
      </c>
      <c r="G50" t="inlineStr">
        <is>
          <t>Acuerdo</t>
        </is>
      </c>
      <c r="H50" t="n">
        <v>9</v>
      </c>
      <c r="I50" t="n">
        <v>2025</v>
      </c>
      <c r="J50" t="inlineStr">
        <is>
          <t>36155096</t>
        </is>
      </c>
      <c r="K50" s="9" t="n">
        <v>-1898716</v>
      </c>
    </row>
    <row r="51">
      <c r="A51" t="inlineStr">
        <is>
          <t>6120163751</t>
        </is>
      </c>
      <c r="B51" s="13" t="n">
        <v>45914</v>
      </c>
      <c r="C51" t="inlineStr">
        <is>
          <t>51</t>
        </is>
      </c>
      <c r="D51" t="inlineStr">
        <is>
          <t>Bonificaci? Fi</t>
        </is>
      </c>
      <c r="E51" t="inlineStr">
        <is>
          <t>Acuerdo 0000233355</t>
        </is>
      </c>
      <c r="F51" t="inlineStr">
        <is>
          <t>Escala Fija</t>
        </is>
      </c>
      <c r="G51" t="inlineStr">
        <is>
          <t>Acuerdo</t>
        </is>
      </c>
      <c r="H51" t="n">
        <v>9</v>
      </c>
      <c r="I51" t="n">
        <v>2025</v>
      </c>
      <c r="J51" t="inlineStr">
        <is>
          <t>36157565</t>
        </is>
      </c>
      <c r="K51" s="9" t="n">
        <v>-1872886</v>
      </c>
    </row>
    <row r="52">
      <c r="A52" t="inlineStr">
        <is>
          <t>6124374731</t>
        </is>
      </c>
      <c r="B52" s="13" t="n">
        <v>45921</v>
      </c>
      <c r="C52" t="inlineStr">
        <is>
          <t>51</t>
        </is>
      </c>
      <c r="D52" t="inlineStr">
        <is>
          <t>Bonificaci? Fi</t>
        </is>
      </c>
      <c r="E52" t="inlineStr">
        <is>
          <t>Acuerdo 0000233355</t>
        </is>
      </c>
      <c r="F52" t="inlineStr">
        <is>
          <t>Escala Fija</t>
        </is>
      </c>
      <c r="G52" t="inlineStr">
        <is>
          <t>Acuerdo</t>
        </is>
      </c>
      <c r="H52" t="n">
        <v>9</v>
      </c>
      <c r="I52" t="n">
        <v>2025</v>
      </c>
      <c r="J52" t="inlineStr">
        <is>
          <t>36158857</t>
        </is>
      </c>
      <c r="K52" s="9" t="n">
        <v>-495930</v>
      </c>
    </row>
    <row r="53">
      <c r="A53" t="inlineStr">
        <is>
          <t>6130639262</t>
        </is>
      </c>
      <c r="B53" s="13" t="n">
        <v>45930</v>
      </c>
      <c r="C53" t="inlineStr">
        <is>
          <t>51</t>
        </is>
      </c>
      <c r="D53" t="inlineStr">
        <is>
          <t>Bonificaci? Fi</t>
        </is>
      </c>
      <c r="E53" t="inlineStr">
        <is>
          <t>Acuerdo 0000233355</t>
        </is>
      </c>
      <c r="F53" t="inlineStr">
        <is>
          <t>Escala Fija</t>
        </is>
      </c>
      <c r="G53" t="inlineStr">
        <is>
          <t>Acuerdo</t>
        </is>
      </c>
      <c r="H53" t="n">
        <v>9</v>
      </c>
      <c r="I53" t="n">
        <v>2025</v>
      </c>
      <c r="J53" t="inlineStr">
        <is>
          <t>36161667</t>
        </is>
      </c>
      <c r="K53" s="9" t="n">
        <v>-4339215</v>
      </c>
    </row>
    <row r="54">
      <c r="A54" t="inlineStr">
        <is>
          <t>6130639265</t>
        </is>
      </c>
      <c r="B54" s="13" t="n">
        <v>45930</v>
      </c>
      <c r="C54" t="inlineStr">
        <is>
          <t>51</t>
        </is>
      </c>
      <c r="D54" t="inlineStr">
        <is>
          <t>Bonificaci? Fi</t>
        </is>
      </c>
      <c r="E54" t="inlineStr">
        <is>
          <t>Acuerdo 0000233355</t>
        </is>
      </c>
      <c r="F54" t="inlineStr">
        <is>
          <t>Escala Fija</t>
        </is>
      </c>
      <c r="G54" t="inlineStr">
        <is>
          <t>Acuerdo</t>
        </is>
      </c>
      <c r="H54" t="n">
        <v>9</v>
      </c>
      <c r="I54" t="n">
        <v>2025</v>
      </c>
      <c r="J54" t="inlineStr">
        <is>
          <t>36161668</t>
        </is>
      </c>
      <c r="K54" s="9" t="n">
        <v>-172960</v>
      </c>
    </row>
    <row r="55">
      <c r="A55" t="inlineStr">
        <is>
          <t>6134027344</t>
        </is>
      </c>
      <c r="B55" s="13" t="n">
        <v>45935</v>
      </c>
      <c r="C55" t="inlineStr">
        <is>
          <t>51</t>
        </is>
      </c>
      <c r="D55" t="inlineStr">
        <is>
          <t>Bonificación Fi</t>
        </is>
      </c>
      <c r="E55" t="inlineStr">
        <is>
          <t>Acuerdo 0000233355</t>
        </is>
      </c>
      <c r="F55" t="inlineStr">
        <is>
          <t>Escala Fija</t>
        </is>
      </c>
      <c r="G55" t="inlineStr">
        <is>
          <t>Acuerdo</t>
        </is>
      </c>
      <c r="H55" t="n">
        <v>10</v>
      </c>
      <c r="I55" t="n">
        <v>2025</v>
      </c>
      <c r="J55" t="inlineStr">
        <is>
          <t>36313938</t>
        </is>
      </c>
      <c r="K55" s="9" t="n">
        <v>-471039</v>
      </c>
    </row>
    <row r="56">
      <c r="A56" t="inlineStr">
        <is>
          <t>6138548567</t>
        </is>
      </c>
      <c r="B56" s="13" t="n">
        <v>45942</v>
      </c>
      <c r="C56" t="inlineStr">
        <is>
          <t>51</t>
        </is>
      </c>
      <c r="D56" t="inlineStr">
        <is>
          <t>Bonificación Fi</t>
        </is>
      </c>
      <c r="E56" t="inlineStr">
        <is>
          <t>Acuerdo 0000233355</t>
        </is>
      </c>
      <c r="F56" t="inlineStr">
        <is>
          <t>Escala Fija</t>
        </is>
      </c>
      <c r="G56" t="inlineStr">
        <is>
          <t>Acuerdo</t>
        </is>
      </c>
      <c r="H56" t="n">
        <v>10</v>
      </c>
      <c r="I56" t="n">
        <v>2025</v>
      </c>
      <c r="J56" t="inlineStr">
        <is>
          <t>36322753</t>
        </is>
      </c>
      <c r="K56" s="9" t="n">
        <v>-1895920</v>
      </c>
    </row>
    <row r="57">
      <c r="A57" t="inlineStr">
        <is>
          <t>6143610787</t>
        </is>
      </c>
      <c r="B57" s="13" t="n">
        <v>45949</v>
      </c>
      <c r="C57" t="inlineStr">
        <is>
          <t>51</t>
        </is>
      </c>
      <c r="D57" t="inlineStr">
        <is>
          <t>Bonificación Fi</t>
        </is>
      </c>
      <c r="E57" t="inlineStr">
        <is>
          <t>Acuerdo 0000233355</t>
        </is>
      </c>
      <c r="F57" t="inlineStr">
        <is>
          <t>Escala Fija</t>
        </is>
      </c>
      <c r="G57" t="inlineStr">
        <is>
          <t>Acuerdo</t>
        </is>
      </c>
      <c r="H57" t="n">
        <v>10</v>
      </c>
      <c r="I57" t="n">
        <v>2025</v>
      </c>
      <c r="J57" t="inlineStr">
        <is>
          <t>36525001</t>
        </is>
      </c>
      <c r="K57" s="9" t="n">
        <v>-1730011</v>
      </c>
    </row>
    <row r="58">
      <c r="A58" t="inlineStr">
        <is>
          <t>6143610791</t>
        </is>
      </c>
      <c r="B58" s="13" t="n">
        <v>45949</v>
      </c>
      <c r="C58" t="inlineStr">
        <is>
          <t>51</t>
        </is>
      </c>
      <c r="D58" t="inlineStr">
        <is>
          <t>Bonificación Fi</t>
        </is>
      </c>
      <c r="E58" t="inlineStr">
        <is>
          <t>Acuerdo 0000233355</t>
        </is>
      </c>
      <c r="F58" t="inlineStr">
        <is>
          <t>Escala Fija</t>
        </is>
      </c>
      <c r="G58" t="inlineStr">
        <is>
          <t>Acuerdo</t>
        </is>
      </c>
      <c r="H58" t="n">
        <v>10</v>
      </c>
      <c r="I58" t="n">
        <v>2025</v>
      </c>
      <c r="J58" t="inlineStr">
        <is>
          <t>36525002</t>
        </is>
      </c>
      <c r="K58" s="9" t="n">
        <v>-104659</v>
      </c>
    </row>
    <row r="59">
      <c r="A59" t="inlineStr">
        <is>
          <t>6148311508</t>
        </is>
      </c>
      <c r="B59" s="13" t="n">
        <v>45956</v>
      </c>
      <c r="C59" t="inlineStr">
        <is>
          <t>51</t>
        </is>
      </c>
      <c r="D59" t="inlineStr">
        <is>
          <t>Bonificación Fi</t>
        </is>
      </c>
      <c r="E59" t="inlineStr">
        <is>
          <t>Acuerdo 0000233355</t>
        </is>
      </c>
      <c r="F59" t="inlineStr">
        <is>
          <t>Escala Fija</t>
        </is>
      </c>
      <c r="G59" t="inlineStr">
        <is>
          <t>Acuerdo</t>
        </is>
      </c>
      <c r="H59" t="n">
        <v>10</v>
      </c>
      <c r="I59" t="n">
        <v>2025</v>
      </c>
      <c r="J59" t="inlineStr">
        <is>
          <t>36527056</t>
        </is>
      </c>
      <c r="K59" s="9" t="n">
        <v>-2243235</v>
      </c>
    </row>
    <row r="60">
      <c r="A60" t="inlineStr">
        <is>
          <t>6152045996</t>
        </is>
      </c>
      <c r="B60" s="13" t="n">
        <v>45961</v>
      </c>
      <c r="C60" t="inlineStr">
        <is>
          <t>51</t>
        </is>
      </c>
      <c r="D60" t="inlineStr">
        <is>
          <t>Bonificación Fi</t>
        </is>
      </c>
      <c r="E60" t="inlineStr">
        <is>
          <t>Acuerdo 0000233355</t>
        </is>
      </c>
      <c r="F60" t="inlineStr">
        <is>
          <t>Escala Fija</t>
        </is>
      </c>
      <c r="G60" t="inlineStr">
        <is>
          <t>Acuerdo</t>
        </is>
      </c>
      <c r="H60" t="n">
        <v>10</v>
      </c>
      <c r="I60" t="n">
        <v>2025</v>
      </c>
      <c r="J60" t="inlineStr">
        <is>
          <t>36529398</t>
        </is>
      </c>
      <c r="K60" s="9" t="n">
        <v>-783901</v>
      </c>
    </row>
    <row r="61">
      <c r="A61" t="inlineStr">
        <is>
          <t>6157735119</t>
        </is>
      </c>
      <c r="B61" s="13" t="n">
        <v>45970</v>
      </c>
      <c r="C61" t="inlineStr">
        <is>
          <t>51</t>
        </is>
      </c>
      <c r="D61" t="inlineStr">
        <is>
          <t>Bonificación Fi</t>
        </is>
      </c>
      <c r="E61" t="inlineStr">
        <is>
          <t>Acuerdo 0000233355</t>
        </is>
      </c>
      <c r="F61" t="inlineStr">
        <is>
          <t>Escala Fija</t>
        </is>
      </c>
      <c r="G61" t="inlineStr">
        <is>
          <t>Acuerdo</t>
        </is>
      </c>
      <c r="H61" t="n">
        <v>11</v>
      </c>
      <c r="I61" t="n">
        <v>2025</v>
      </c>
      <c r="J61" t="inlineStr">
        <is>
          <t>36531686</t>
        </is>
      </c>
      <c r="K61" s="9" t="n">
        <v>-2087469</v>
      </c>
    </row>
    <row r="62">
      <c r="A62" t="inlineStr">
        <is>
          <t>6162003131</t>
        </is>
      </c>
      <c r="B62" s="13" t="n">
        <v>45977</v>
      </c>
      <c r="C62" t="inlineStr">
        <is>
          <t>51</t>
        </is>
      </c>
      <c r="D62" t="inlineStr">
        <is>
          <t>Bonificación Fi</t>
        </is>
      </c>
      <c r="E62" t="inlineStr">
        <is>
          <t>Acuerdo 0000233355</t>
        </is>
      </c>
      <c r="F62" t="inlineStr">
        <is>
          <t>Escala Fija</t>
        </is>
      </c>
      <c r="G62" t="inlineStr">
        <is>
          <t>Acuerdo</t>
        </is>
      </c>
      <c r="H62" t="n">
        <v>11</v>
      </c>
      <c r="I62" t="n">
        <v>2025</v>
      </c>
      <c r="J62" t="inlineStr">
        <is>
          <t>36533717</t>
        </is>
      </c>
      <c r="K62" s="9" t="n">
        <v>-540119</v>
      </c>
    </row>
    <row r="63">
      <c r="A63" t="inlineStr">
        <is>
          <t>6166714397</t>
        </is>
      </c>
      <c r="B63" s="13" t="n">
        <v>45984</v>
      </c>
      <c r="C63" t="inlineStr">
        <is>
          <t>51</t>
        </is>
      </c>
      <c r="D63" t="inlineStr">
        <is>
          <t>Bonificación Fi</t>
        </is>
      </c>
      <c r="E63" t="inlineStr">
        <is>
          <t>Acuerdo 0000233355</t>
        </is>
      </c>
      <c r="F63" t="inlineStr">
        <is>
          <t>Escala Fija</t>
        </is>
      </c>
      <c r="G63" t="inlineStr">
        <is>
          <t>Acuerdo</t>
        </is>
      </c>
      <c r="H63" t="n">
        <v>11</v>
      </c>
      <c r="I63" t="n">
        <v>2025</v>
      </c>
      <c r="J63" t="inlineStr">
        <is>
          <t>36736309</t>
        </is>
      </c>
      <c r="K63" s="9" t="n">
        <v>-8402708</v>
      </c>
    </row>
    <row r="64">
      <c r="A64" t="inlineStr">
        <is>
          <t>6173512025</t>
        </is>
      </c>
      <c r="B64" s="13" t="n">
        <v>45991</v>
      </c>
      <c r="C64" t="inlineStr">
        <is>
          <t>51</t>
        </is>
      </c>
      <c r="D64" t="inlineStr">
        <is>
          <t>Bonificación Fi</t>
        </is>
      </c>
      <c r="E64" t="inlineStr">
        <is>
          <t>Acuerdo 0000233355</t>
        </is>
      </c>
      <c r="F64" t="inlineStr">
        <is>
          <t>Escala Fija</t>
        </is>
      </c>
      <c r="G64" t="inlineStr">
        <is>
          <t>Acuerdo</t>
        </is>
      </c>
      <c r="H64" t="n">
        <v>11</v>
      </c>
      <c r="I64" t="n">
        <v>2025</v>
      </c>
      <c r="J64" t="inlineStr">
        <is>
          <t>36741343</t>
        </is>
      </c>
      <c r="K64" s="9" t="n">
        <v>-2204458</v>
      </c>
    </row>
    <row r="65">
      <c r="A65" t="inlineStr">
        <is>
          <t>6178844931</t>
        </is>
      </c>
      <c r="B65" s="13" t="n">
        <v>45998</v>
      </c>
      <c r="C65" t="inlineStr">
        <is>
          <t>51</t>
        </is>
      </c>
      <c r="D65" t="inlineStr">
        <is>
          <t>Bonificación Fi</t>
        </is>
      </c>
      <c r="E65" t="inlineStr">
        <is>
          <t>Acuerdo 0000233355</t>
        </is>
      </c>
      <c r="F65" t="inlineStr">
        <is>
          <t>Escala Fija</t>
        </is>
      </c>
      <c r="G65" t="inlineStr">
        <is>
          <t>Acuerdo</t>
        </is>
      </c>
      <c r="H65" t="n">
        <v>12</v>
      </c>
      <c r="I65" t="n">
        <v>2025</v>
      </c>
      <c r="J65" t="inlineStr">
        <is>
          <t>36745888</t>
        </is>
      </c>
      <c r="K65" s="9" t="n">
        <v>-1439445</v>
      </c>
    </row>
    <row r="66">
      <c r="A66" t="inlineStr">
        <is>
          <t>6183504394</t>
        </is>
      </c>
      <c r="B66" s="13" t="n">
        <v>46005</v>
      </c>
      <c r="C66" t="inlineStr">
        <is>
          <t>51</t>
        </is>
      </c>
      <c r="D66" t="inlineStr">
        <is>
          <t>Bonificación Fi</t>
        </is>
      </c>
      <c r="E66" t="inlineStr">
        <is>
          <t>Acuerdo 0000233355</t>
        </is>
      </c>
      <c r="F66" t="inlineStr">
        <is>
          <t>Escala Fija</t>
        </is>
      </c>
      <c r="G66" t="inlineStr">
        <is>
          <t>Acuerdo</t>
        </is>
      </c>
      <c r="H66" t="n">
        <v>12</v>
      </c>
      <c r="I66" t="n">
        <v>2025</v>
      </c>
      <c r="J66" t="inlineStr">
        <is>
          <t>36747875</t>
        </is>
      </c>
      <c r="K66" s="9" t="n">
        <v>-25344</v>
      </c>
    </row>
    <row r="67">
      <c r="A67" t="inlineStr">
        <is>
          <t>6188517035</t>
        </is>
      </c>
      <c r="B67" s="13" t="n">
        <v>46012</v>
      </c>
      <c r="C67" t="inlineStr">
        <is>
          <t>51</t>
        </is>
      </c>
      <c r="D67" t="inlineStr">
        <is>
          <t>Bonificación Fi</t>
        </is>
      </c>
      <c r="E67" t="inlineStr">
        <is>
          <t>Acuerdo 0000233355</t>
        </is>
      </c>
      <c r="F67" t="inlineStr">
        <is>
          <t>Escala Fija</t>
        </is>
      </c>
      <c r="G67" t="inlineStr">
        <is>
          <t>Acuerdo</t>
        </is>
      </c>
      <c r="H67" t="n">
        <v>12</v>
      </c>
      <c r="I67" t="n">
        <v>2025</v>
      </c>
      <c r="J67" t="inlineStr">
        <is>
          <t>36749782</t>
        </is>
      </c>
      <c r="K67" s="9" t="n">
        <v>-885210</v>
      </c>
    </row>
    <row r="68">
      <c r="A68" t="inlineStr">
        <is>
          <t>6193213551</t>
        </is>
      </c>
      <c r="B68" s="13" t="n">
        <v>46019</v>
      </c>
      <c r="C68" t="inlineStr">
        <is>
          <t>51</t>
        </is>
      </c>
      <c r="D68" t="inlineStr">
        <is>
          <t>Bonificación Fi</t>
        </is>
      </c>
      <c r="E68" t="inlineStr">
        <is>
          <t>Acuerdo 0000233355</t>
        </is>
      </c>
      <c r="F68" t="inlineStr">
        <is>
          <t>Escala Fija</t>
        </is>
      </c>
      <c r="G68" t="inlineStr">
        <is>
          <t>Acuerdo</t>
        </is>
      </c>
      <c r="H68" t="n">
        <v>12</v>
      </c>
      <c r="I68" t="n">
        <v>2025</v>
      </c>
      <c r="J68" t="inlineStr">
        <is>
          <t>36751813</t>
        </is>
      </c>
      <c r="K68" s="9" t="n">
        <v>-1610963</v>
      </c>
    </row>
    <row r="69">
      <c r="A69" t="inlineStr">
        <is>
          <t>6196548135</t>
        </is>
      </c>
      <c r="B69" s="13" t="n">
        <v>46022</v>
      </c>
      <c r="C69" t="inlineStr">
        <is>
          <t>51</t>
        </is>
      </c>
      <c r="D69" t="inlineStr">
        <is>
          <t>Bonificación Fi</t>
        </is>
      </c>
      <c r="E69" t="inlineStr">
        <is>
          <t>Acuerdo 0000233355</t>
        </is>
      </c>
      <c r="F69" t="inlineStr">
        <is>
          <t>Escala Fija</t>
        </is>
      </c>
      <c r="G69" t="inlineStr">
        <is>
          <t>Acuerdo</t>
        </is>
      </c>
      <c r="H69" t="n">
        <v>12</v>
      </c>
      <c r="I69" t="n">
        <v>2025</v>
      </c>
      <c r="J69" t="inlineStr">
        <is>
          <t>36753630</t>
        </is>
      </c>
      <c r="K69" s="9" t="n">
        <v>-150768</v>
      </c>
    </row>
    <row r="70">
      <c r="A70" t="inlineStr">
        <is>
          <t>6196548135</t>
        </is>
      </c>
      <c r="B70" s="13" t="n">
        <v>46022</v>
      </c>
      <c r="C70" t="inlineStr">
        <is>
          <t>51</t>
        </is>
      </c>
      <c r="D70" t="inlineStr">
        <is>
          <t>Bonificación Fi</t>
        </is>
      </c>
      <c r="E70" t="inlineStr">
        <is>
          <t>Acuerdo 0000233355</t>
        </is>
      </c>
      <c r="F70" t="inlineStr">
        <is>
          <t>Escala Fija</t>
        </is>
      </c>
      <c r="G70" t="inlineStr">
        <is>
          <t>Acuerdo</t>
        </is>
      </c>
      <c r="H70" t="n">
        <v>12</v>
      </c>
      <c r="I70" t="n">
        <v>2025</v>
      </c>
      <c r="J70" t="inlineStr">
        <is>
          <t>36753630</t>
        </is>
      </c>
      <c r="K70" s="9" t="n">
        <v>-179928</v>
      </c>
    </row>
    <row r="71">
      <c r="A71" t="inlineStr">
        <is>
          <t>6196548135</t>
        </is>
      </c>
      <c r="B71" s="13" t="n">
        <v>46022</v>
      </c>
      <c r="C71" t="inlineStr">
        <is>
          <t>51</t>
        </is>
      </c>
      <c r="D71" t="inlineStr">
        <is>
          <t>Bonificación Fi</t>
        </is>
      </c>
      <c r="E71" t="inlineStr">
        <is>
          <t>Acuerdo 0000233355</t>
        </is>
      </c>
      <c r="F71" t="inlineStr">
        <is>
          <t>Escala Fija</t>
        </is>
      </c>
      <c r="G71" t="inlineStr">
        <is>
          <t>Acuerdo</t>
        </is>
      </c>
      <c r="H71" t="n">
        <v>12</v>
      </c>
      <c r="I71" t="n">
        <v>2025</v>
      </c>
      <c r="J71" t="inlineStr">
        <is>
          <t>36753630</t>
        </is>
      </c>
      <c r="K71" s="9" t="n">
        <v>-228614</v>
      </c>
    </row>
    <row r="72">
      <c r="A72" t="inlineStr">
        <is>
          <t>6196548135</t>
        </is>
      </c>
      <c r="B72" s="13" t="n">
        <v>46022</v>
      </c>
      <c r="C72" t="inlineStr">
        <is>
          <t>51</t>
        </is>
      </c>
      <c r="D72" t="inlineStr">
        <is>
          <t>Bonificación Fi</t>
        </is>
      </c>
      <c r="E72" t="inlineStr">
        <is>
          <t>Acuerdo 0000233355</t>
        </is>
      </c>
      <c r="F72" t="inlineStr">
        <is>
          <t>Escala Fija</t>
        </is>
      </c>
      <c r="G72" t="inlineStr">
        <is>
          <t>Acuerdo</t>
        </is>
      </c>
      <c r="H72" t="n">
        <v>12</v>
      </c>
      <c r="I72" t="n">
        <v>2025</v>
      </c>
      <c r="J72" t="inlineStr">
        <is>
          <t>36753630</t>
        </is>
      </c>
      <c r="K72" s="9" t="n">
        <v>-234373</v>
      </c>
    </row>
    <row r="73">
      <c r="A73" t="inlineStr">
        <is>
          <t>6196548135</t>
        </is>
      </c>
      <c r="B73" s="13" t="n">
        <v>46022</v>
      </c>
      <c r="C73" t="inlineStr">
        <is>
          <t>51</t>
        </is>
      </c>
      <c r="D73" t="inlineStr">
        <is>
          <t>Bonificación Fi</t>
        </is>
      </c>
      <c r="E73" t="inlineStr">
        <is>
          <t>Acuerdo 0000233355</t>
        </is>
      </c>
      <c r="F73" t="inlineStr">
        <is>
          <t>Escala Fija</t>
        </is>
      </c>
      <c r="G73" t="inlineStr">
        <is>
          <t>Acuerdo</t>
        </is>
      </c>
      <c r="H73" t="n">
        <v>12</v>
      </c>
      <c r="I73" t="n">
        <v>2025</v>
      </c>
      <c r="J73" t="inlineStr">
        <is>
          <t>36753630</t>
        </is>
      </c>
      <c r="K73" s="9" t="n">
        <v>-232362</v>
      </c>
    </row>
    <row r="74">
      <c r="A74" t="inlineStr">
        <is>
          <t>6196548135</t>
        </is>
      </c>
      <c r="B74" s="13" t="n">
        <v>46022</v>
      </c>
      <c r="C74" t="inlineStr">
        <is>
          <t>51</t>
        </is>
      </c>
      <c r="D74" t="inlineStr">
        <is>
          <t>Bonificación Fi</t>
        </is>
      </c>
      <c r="E74" t="inlineStr">
        <is>
          <t>Acuerdo 0000233355</t>
        </is>
      </c>
      <c r="F74" t="inlineStr">
        <is>
          <t>Escala Fija</t>
        </is>
      </c>
      <c r="G74" t="inlineStr">
        <is>
          <t>Acuerdo</t>
        </is>
      </c>
      <c r="H74" t="n">
        <v>12</v>
      </c>
      <c r="I74" t="n">
        <v>2025</v>
      </c>
      <c r="J74" t="inlineStr">
        <is>
          <t>36753630</t>
        </is>
      </c>
      <c r="K74" s="9" t="n">
        <v>-120739</v>
      </c>
    </row>
    <row r="75">
      <c r="A75" t="inlineStr">
        <is>
          <t>6196548135</t>
        </is>
      </c>
      <c r="B75" s="13" t="n">
        <v>46022</v>
      </c>
      <c r="C75" t="inlineStr">
        <is>
          <t>51</t>
        </is>
      </c>
      <c r="D75" t="inlineStr">
        <is>
          <t>Bonificación Fi</t>
        </is>
      </c>
      <c r="E75" t="inlineStr">
        <is>
          <t>Acuerdo 0000233355</t>
        </is>
      </c>
      <c r="F75" t="inlineStr">
        <is>
          <t>Escala Fija</t>
        </is>
      </c>
      <c r="G75" t="inlineStr">
        <is>
          <t>Acuerdo</t>
        </is>
      </c>
      <c r="H75" t="n">
        <v>12</v>
      </c>
      <c r="I75" t="n">
        <v>2025</v>
      </c>
      <c r="J75" t="inlineStr">
        <is>
          <t>36753630</t>
        </is>
      </c>
      <c r="K75" s="9" t="n">
        <v>-121453</v>
      </c>
    </row>
    <row r="76">
      <c r="A76" t="inlineStr">
        <is>
          <t>6196548135</t>
        </is>
      </c>
      <c r="B76" s="13" t="n">
        <v>46022</v>
      </c>
      <c r="C76" t="inlineStr">
        <is>
          <t>51</t>
        </is>
      </c>
      <c r="D76" t="inlineStr">
        <is>
          <t>Bonificación Fi</t>
        </is>
      </c>
      <c r="E76" t="inlineStr">
        <is>
          <t>Acuerdo 0000233355</t>
        </is>
      </c>
      <c r="F76" t="inlineStr">
        <is>
          <t>Escala Fija</t>
        </is>
      </c>
      <c r="G76" t="inlineStr">
        <is>
          <t>Acuerdo</t>
        </is>
      </c>
      <c r="H76" t="n">
        <v>12</v>
      </c>
      <c r="I76" t="n">
        <v>2025</v>
      </c>
      <c r="J76" t="inlineStr">
        <is>
          <t>36753630</t>
        </is>
      </c>
      <c r="K76" s="9" t="n">
        <v>-90766</v>
      </c>
    </row>
    <row r="77">
      <c r="A77" t="inlineStr">
        <is>
          <t>6196548135</t>
        </is>
      </c>
      <c r="B77" s="13" t="n">
        <v>46022</v>
      </c>
      <c r="C77" t="inlineStr">
        <is>
          <t>51</t>
        </is>
      </c>
      <c r="D77" t="inlineStr">
        <is>
          <t>Bonificación Fi</t>
        </is>
      </c>
      <c r="E77" t="inlineStr">
        <is>
          <t>Acuerdo 0000233355</t>
        </is>
      </c>
      <c r="F77" t="inlineStr">
        <is>
          <t>Escala Fija</t>
        </is>
      </c>
      <c r="G77" t="inlineStr">
        <is>
          <t>Acuerdo</t>
        </is>
      </c>
      <c r="H77" t="n">
        <v>12</v>
      </c>
      <c r="I77" t="n">
        <v>2025</v>
      </c>
      <c r="J77" t="inlineStr">
        <is>
          <t>36753630</t>
        </is>
      </c>
      <c r="K77" s="9" t="n">
        <v>-146745</v>
      </c>
    </row>
    <row r="78">
      <c r="A78" t="inlineStr">
        <is>
          <t>6202531249</t>
        </is>
      </c>
      <c r="B78" s="13" t="n">
        <v>46033</v>
      </c>
      <c r="C78" t="inlineStr">
        <is>
          <t>51</t>
        </is>
      </c>
      <c r="D78" t="inlineStr">
        <is>
          <t>Bonificación Fi</t>
        </is>
      </c>
      <c r="E78" t="inlineStr">
        <is>
          <t>Acuerdo 0000233355</t>
        </is>
      </c>
      <c r="F78" t="inlineStr">
        <is>
          <t>Escala Fija</t>
        </is>
      </c>
      <c r="G78" t="inlineStr">
        <is>
          <t>Acuerdo</t>
        </is>
      </c>
      <c r="H78" t="n">
        <v>12</v>
      </c>
      <c r="I78" t="n">
        <v>2025</v>
      </c>
      <c r="J78" t="inlineStr">
        <is>
          <t>37186288</t>
        </is>
      </c>
      <c r="K78" s="9" t="n">
        <v>-3837724</v>
      </c>
    </row>
    <row r="79">
      <c r="A79" t="inlineStr">
        <is>
          <t>6202531250</t>
        </is>
      </c>
      <c r="B79" s="13" t="n">
        <v>46033</v>
      </c>
      <c r="C79" t="inlineStr">
        <is>
          <t>51</t>
        </is>
      </c>
      <c r="D79" t="inlineStr">
        <is>
          <t>Bonificación Fi</t>
        </is>
      </c>
      <c r="E79" t="inlineStr">
        <is>
          <t>Acuerdo 0000233355</t>
        </is>
      </c>
      <c r="F79" t="inlineStr">
        <is>
          <t>Escala Fija</t>
        </is>
      </c>
      <c r="G79" t="inlineStr">
        <is>
          <t>Acuerdo</t>
        </is>
      </c>
      <c r="H79" t="n">
        <v>12</v>
      </c>
      <c r="I79" t="n">
        <v>2025</v>
      </c>
      <c r="J79" t="inlineStr">
        <is>
          <t>37186289</t>
        </is>
      </c>
      <c r="K79" s="9" t="n">
        <v>-1647</v>
      </c>
    </row>
    <row r="80">
      <c r="A80" t="inlineStr">
        <is>
          <t>6202531250</t>
        </is>
      </c>
      <c r="B80" s="13" t="n">
        <v>46033</v>
      </c>
      <c r="C80" t="inlineStr">
        <is>
          <t>51</t>
        </is>
      </c>
      <c r="D80" t="inlineStr">
        <is>
          <t>Bonificación Fi</t>
        </is>
      </c>
      <c r="E80" t="inlineStr">
        <is>
          <t>Acuerdo 0000233355</t>
        </is>
      </c>
      <c r="F80" t="inlineStr">
        <is>
          <t>Escala Fija</t>
        </is>
      </c>
      <c r="G80" t="inlineStr">
        <is>
          <t>Acuerdo</t>
        </is>
      </c>
      <c r="H80" t="n">
        <v>12</v>
      </c>
      <c r="I80" t="n">
        <v>2025</v>
      </c>
      <c r="J80" t="inlineStr">
        <is>
          <t>37186289</t>
        </is>
      </c>
      <c r="K80" s="9" t="n">
        <v>-124235</v>
      </c>
    </row>
    <row r="81">
      <c r="A81" t="inlineStr">
        <is>
          <t>6202531250</t>
        </is>
      </c>
      <c r="B81" s="13" t="n">
        <v>46033</v>
      </c>
      <c r="C81" t="inlineStr">
        <is>
          <t>51</t>
        </is>
      </c>
      <c r="D81" t="inlineStr">
        <is>
          <t>Bonificación Fi</t>
        </is>
      </c>
      <c r="E81" t="inlineStr">
        <is>
          <t>Acuerdo 0000233355</t>
        </is>
      </c>
      <c r="F81" t="inlineStr">
        <is>
          <t>Escala Fija</t>
        </is>
      </c>
      <c r="G81" t="inlineStr">
        <is>
          <t>Acuerdo</t>
        </is>
      </c>
      <c r="H81" t="n">
        <v>12</v>
      </c>
      <c r="I81" t="n">
        <v>2025</v>
      </c>
      <c r="J81" t="inlineStr">
        <is>
          <t>37186289</t>
        </is>
      </c>
      <c r="K81" s="9" t="n">
        <v>-6105</v>
      </c>
    </row>
    <row r="82">
      <c r="A82" t="inlineStr">
        <is>
          <t>6202531250</t>
        </is>
      </c>
      <c r="B82" s="13" t="n">
        <v>46033</v>
      </c>
      <c r="C82" t="inlineStr">
        <is>
          <t>51</t>
        </is>
      </c>
      <c r="D82" t="inlineStr">
        <is>
          <t>Bonificación Fi</t>
        </is>
      </c>
      <c r="E82" t="inlineStr">
        <is>
          <t>Acuerdo 0000233355</t>
        </is>
      </c>
      <c r="F82" t="inlineStr">
        <is>
          <t>Escala Fija</t>
        </is>
      </c>
      <c r="G82" t="inlineStr">
        <is>
          <t>Acuerdo</t>
        </is>
      </c>
      <c r="H82" t="n">
        <v>12</v>
      </c>
      <c r="I82" t="n">
        <v>2025</v>
      </c>
      <c r="J82" t="inlineStr">
        <is>
          <t>37186289</t>
        </is>
      </c>
      <c r="K82" s="9" t="n">
        <v>-1</v>
      </c>
    </row>
    <row r="83">
      <c r="A83" t="inlineStr">
        <is>
          <t>6202531250</t>
        </is>
      </c>
      <c r="B83" s="13" t="n">
        <v>46033</v>
      </c>
      <c r="C83" t="inlineStr">
        <is>
          <t>51</t>
        </is>
      </c>
      <c r="D83" t="inlineStr">
        <is>
          <t>Bonificación Fi</t>
        </is>
      </c>
      <c r="E83" t="inlineStr">
        <is>
          <t>Acuerdo 0000233355</t>
        </is>
      </c>
      <c r="F83" t="inlineStr">
        <is>
          <t>Escala Fija</t>
        </is>
      </c>
      <c r="G83" t="inlineStr">
        <is>
          <t>Acuerdo</t>
        </is>
      </c>
      <c r="H83" t="n">
        <v>12</v>
      </c>
      <c r="I83" t="n">
        <v>2025</v>
      </c>
      <c r="J83" t="inlineStr">
        <is>
          <t>37186289</t>
        </is>
      </c>
      <c r="K83" s="9" t="n">
        <v>-333264</v>
      </c>
    </row>
    <row r="84">
      <c r="A84" t="inlineStr">
        <is>
          <t>5990626657</t>
        </is>
      </c>
      <c r="B84" s="13" t="n">
        <v>45713</v>
      </c>
      <c r="C84" t="inlineStr">
        <is>
          <t>51</t>
        </is>
      </c>
      <c r="D84" t="inlineStr">
        <is>
          <t>Descuentos por</t>
        </is>
      </c>
      <c r="E84" t="inlineStr">
        <is>
          <t>Acuerdo 0000232024</t>
        </is>
      </c>
      <c r="F84" t="inlineStr">
        <is>
          <t>Logistica</t>
        </is>
      </c>
      <c r="G84" t="inlineStr">
        <is>
          <t>Acuerdo</t>
        </is>
      </c>
      <c r="H84" t="n">
        <v>1</v>
      </c>
      <c r="I84" t="n">
        <v>2025</v>
      </c>
      <c r="J84" t="inlineStr">
        <is>
          <t>34392317</t>
        </is>
      </c>
      <c r="K84" s="9" t="n">
        <v>-1994877</v>
      </c>
    </row>
    <row r="85">
      <c r="A85" t="inlineStr">
        <is>
          <t>6009499045</t>
        </is>
      </c>
      <c r="B85" s="13" t="n">
        <v>45742</v>
      </c>
      <c r="C85" t="inlineStr">
        <is>
          <t>51</t>
        </is>
      </c>
      <c r="D85" t="inlineStr">
        <is>
          <t>Descuentos por</t>
        </is>
      </c>
      <c r="E85" t="inlineStr">
        <is>
          <t>Acuerdo 0000232024</t>
        </is>
      </c>
      <c r="F85" t="inlineStr">
        <is>
          <t>Logistica</t>
        </is>
      </c>
      <c r="G85" t="inlineStr">
        <is>
          <t>Acuerdo</t>
        </is>
      </c>
      <c r="H85" t="n">
        <v>2</v>
      </c>
      <c r="I85" t="n">
        <v>2025</v>
      </c>
      <c r="J85" t="inlineStr">
        <is>
          <t>34602998</t>
        </is>
      </c>
      <c r="K85" s="9" t="n">
        <v>-2706649</v>
      </c>
    </row>
    <row r="86">
      <c r="A86" t="inlineStr">
        <is>
          <t>6031818402</t>
        </is>
      </c>
      <c r="B86" s="13" t="n">
        <v>45776</v>
      </c>
      <c r="C86" t="inlineStr">
        <is>
          <t>51</t>
        </is>
      </c>
      <c r="D86" t="inlineStr">
        <is>
          <t>Descuentos por</t>
        </is>
      </c>
      <c r="E86" t="inlineStr">
        <is>
          <t>Acuerdo 0000232024</t>
        </is>
      </c>
      <c r="F86" t="inlineStr">
        <is>
          <t>Logistica</t>
        </is>
      </c>
      <c r="G86" t="inlineStr">
        <is>
          <t>Acuerdo</t>
        </is>
      </c>
      <c r="H86" t="n">
        <v>3</v>
      </c>
      <c r="I86" t="n">
        <v>2025</v>
      </c>
      <c r="J86" t="inlineStr">
        <is>
          <t>34985944</t>
        </is>
      </c>
      <c r="K86" s="9" t="n">
        <v>-2728589</v>
      </c>
    </row>
    <row r="87">
      <c r="A87" t="inlineStr">
        <is>
          <t>6041541089</t>
        </is>
      </c>
      <c r="B87" s="13" t="n">
        <v>45791</v>
      </c>
      <c r="C87" t="inlineStr">
        <is>
          <t>51</t>
        </is>
      </c>
      <c r="D87" t="inlineStr">
        <is>
          <t>Descuentos por</t>
        </is>
      </c>
      <c r="E87" t="inlineStr">
        <is>
          <t>Acuerdo 0000232024</t>
        </is>
      </c>
      <c r="F87" t="inlineStr">
        <is>
          <t>Logistica</t>
        </is>
      </c>
      <c r="G87" t="inlineStr">
        <is>
          <t>Acuerdo</t>
        </is>
      </c>
      <c r="H87" t="n">
        <v>4</v>
      </c>
      <c r="I87" t="n">
        <v>2025</v>
      </c>
      <c r="J87" t="inlineStr">
        <is>
          <t>34991004</t>
        </is>
      </c>
      <c r="K87" s="9" t="n">
        <v>-2755474</v>
      </c>
    </row>
    <row r="88">
      <c r="A88" t="inlineStr">
        <is>
          <t>6062801457</t>
        </is>
      </c>
      <c r="B88" s="13" t="n">
        <v>45824</v>
      </c>
      <c r="C88" t="inlineStr">
        <is>
          <t>51</t>
        </is>
      </c>
      <c r="D88" t="inlineStr">
        <is>
          <t>Descuentos por</t>
        </is>
      </c>
      <c r="E88" t="inlineStr">
        <is>
          <t>Acuerdo 0000232024</t>
        </is>
      </c>
      <c r="F88" t="inlineStr">
        <is>
          <t>Logistica</t>
        </is>
      </c>
      <c r="G88" t="inlineStr">
        <is>
          <t>Acuerdo</t>
        </is>
      </c>
      <c r="H88" t="n">
        <v>5</v>
      </c>
      <c r="I88" t="n">
        <v>2025</v>
      </c>
      <c r="J88" t="inlineStr">
        <is>
          <t>35587654</t>
        </is>
      </c>
      <c r="K88" s="9" t="n">
        <v>-3898551</v>
      </c>
    </row>
    <row r="89">
      <c r="A89" t="inlineStr">
        <is>
          <t>6078015170</t>
        </is>
      </c>
      <c r="B89" s="13" t="n">
        <v>45848</v>
      </c>
      <c r="C89" t="inlineStr">
        <is>
          <t>51</t>
        </is>
      </c>
      <c r="D89" t="inlineStr">
        <is>
          <t>Descuentos por</t>
        </is>
      </c>
      <c r="E89" t="inlineStr">
        <is>
          <t>Acuerdo 0000232024</t>
        </is>
      </c>
      <c r="F89" t="inlineStr">
        <is>
          <t>Logistica</t>
        </is>
      </c>
      <c r="G89" t="inlineStr">
        <is>
          <t>Acuerdo</t>
        </is>
      </c>
      <c r="H89" t="n">
        <v>6</v>
      </c>
      <c r="I89" t="n">
        <v>2025</v>
      </c>
      <c r="J89" t="inlineStr">
        <is>
          <t>35594890</t>
        </is>
      </c>
      <c r="K89" s="9" t="n">
        <v>-3327218</v>
      </c>
    </row>
    <row r="90">
      <c r="A90" t="inlineStr">
        <is>
          <t>6100551387</t>
        </is>
      </c>
      <c r="B90" s="13" t="n">
        <v>45883</v>
      </c>
      <c r="C90" t="inlineStr">
        <is>
          <t>51</t>
        </is>
      </c>
      <c r="D90" t="inlineStr">
        <is>
          <t>Descuentos por</t>
        </is>
      </c>
      <c r="E90" t="inlineStr">
        <is>
          <t>Acuerdo 0000232024</t>
        </is>
      </c>
      <c r="F90" t="inlineStr">
        <is>
          <t>Logistica</t>
        </is>
      </c>
      <c r="G90" t="inlineStr">
        <is>
          <t>Acuerdo</t>
        </is>
      </c>
      <c r="H90" t="n">
        <v>7</v>
      </c>
      <c r="I90" t="n">
        <v>2025</v>
      </c>
      <c r="J90" t="inlineStr">
        <is>
          <t>35827161</t>
        </is>
      </c>
      <c r="K90" s="9" t="n">
        <v>-4648132</v>
      </c>
    </row>
    <row r="91">
      <c r="A91" t="inlineStr">
        <is>
          <t>6118272056</t>
        </is>
      </c>
      <c r="B91" s="13" t="n">
        <v>45911</v>
      </c>
      <c r="C91" t="inlineStr">
        <is>
          <t>51</t>
        </is>
      </c>
      <c r="D91" t="inlineStr">
        <is>
          <t>Descuentos por</t>
        </is>
      </c>
      <c r="E91" t="inlineStr">
        <is>
          <t>Acuerdo 0000232024</t>
        </is>
      </c>
      <c r="F91" t="inlineStr">
        <is>
          <t>Logistica</t>
        </is>
      </c>
      <c r="G91" t="inlineStr">
        <is>
          <t>Acuerdo</t>
        </is>
      </c>
      <c r="H91" t="n">
        <v>8</v>
      </c>
      <c r="I91" t="n">
        <v>2025</v>
      </c>
      <c r="J91" t="inlineStr">
        <is>
          <t>36156557</t>
        </is>
      </c>
      <c r="K91" s="9" t="n">
        <v>-3820355</v>
      </c>
    </row>
    <row r="92">
      <c r="A92" t="inlineStr">
        <is>
          <t>6141757136</t>
        </is>
      </c>
      <c r="B92" s="13" t="n">
        <v>45946</v>
      </c>
      <c r="C92" t="inlineStr">
        <is>
          <t>51</t>
        </is>
      </c>
      <c r="D92" t="inlineStr">
        <is>
          <t>Descuentos por</t>
        </is>
      </c>
      <c r="E92" t="inlineStr">
        <is>
          <t>Acuerdo 0000232024</t>
        </is>
      </c>
      <c r="F92" t="inlineStr">
        <is>
          <t>Logistica</t>
        </is>
      </c>
      <c r="G92" t="inlineStr">
        <is>
          <t>Acuerdo</t>
        </is>
      </c>
      <c r="H92" t="n">
        <v>9</v>
      </c>
      <c r="I92" t="n">
        <v>2025</v>
      </c>
      <c r="J92" t="inlineStr">
        <is>
          <t>36524100</t>
        </is>
      </c>
      <c r="K92" s="9" t="n">
        <v>-3306731</v>
      </c>
    </row>
    <row r="93">
      <c r="A93" t="inlineStr">
        <is>
          <t>6162463791</t>
        </is>
      </c>
      <c r="B93" s="13" t="n">
        <v>45978</v>
      </c>
      <c r="C93" t="inlineStr">
        <is>
          <t>51</t>
        </is>
      </c>
      <c r="D93" t="inlineStr">
        <is>
          <t>Descuentos por</t>
        </is>
      </c>
      <c r="E93" t="inlineStr">
        <is>
          <t>Acuerdo 0000232024</t>
        </is>
      </c>
      <c r="F93" t="inlineStr">
        <is>
          <t>Logistica</t>
        </is>
      </c>
      <c r="G93" t="inlineStr">
        <is>
          <t>Acuerdo</t>
        </is>
      </c>
      <c r="H93" t="n">
        <v>10</v>
      </c>
      <c r="I93" t="n">
        <v>2025</v>
      </c>
      <c r="J93" t="inlineStr">
        <is>
          <t>36734288</t>
        </is>
      </c>
      <c r="K93" s="9" t="n">
        <v>-3155965</v>
      </c>
    </row>
    <row r="94">
      <c r="A94" t="inlineStr">
        <is>
          <t>6181553184</t>
        </is>
      </c>
      <c r="B94" s="13" t="n">
        <v>46002</v>
      </c>
      <c r="C94" t="inlineStr">
        <is>
          <t>51</t>
        </is>
      </c>
      <c r="D94" t="inlineStr">
        <is>
          <t>Descuentos por</t>
        </is>
      </c>
      <c r="E94" t="inlineStr">
        <is>
          <t>Acuerdo 0000232024</t>
        </is>
      </c>
      <c r="F94" t="inlineStr">
        <is>
          <t>Logistica</t>
        </is>
      </c>
      <c r="G94" t="inlineStr">
        <is>
          <t>Acuerdo</t>
        </is>
      </c>
      <c r="H94" t="n">
        <v>11</v>
      </c>
      <c r="I94" t="n">
        <v>2025</v>
      </c>
      <c r="J94" t="inlineStr">
        <is>
          <t>36747034</t>
        </is>
      </c>
      <c r="K94" s="9" t="n">
        <v>-5563357</v>
      </c>
    </row>
    <row r="95">
      <c r="A95" t="inlineStr">
        <is>
          <t>6212595718</t>
        </is>
      </c>
      <c r="B95" s="13" t="n">
        <v>46050</v>
      </c>
      <c r="C95" t="inlineStr">
        <is>
          <t>51</t>
        </is>
      </c>
      <c r="D95" t="inlineStr">
        <is>
          <t>Descuentos por</t>
        </is>
      </c>
      <c r="E95" t="inlineStr">
        <is>
          <t>Acuerdo 0000232024</t>
        </is>
      </c>
      <c r="F95" t="inlineStr">
        <is>
          <t>Logistica</t>
        </is>
      </c>
      <c r="G95" t="inlineStr">
        <is>
          <t>Acuerdo</t>
        </is>
      </c>
      <c r="H95" t="n">
        <v>12</v>
      </c>
      <c r="I95" t="n">
        <v>2025</v>
      </c>
      <c r="J95" t="inlineStr">
        <is>
          <t>37191812</t>
        </is>
      </c>
      <c r="K95" s="9" t="n">
        <v>-2543696</v>
      </c>
    </row>
    <row r="96">
      <c r="A96" t="inlineStr">
        <is>
          <t>5974627877</t>
        </is>
      </c>
      <c r="B96" s="13" t="n">
        <v>45688</v>
      </c>
      <c r="C96" t="inlineStr">
        <is>
          <t>51</t>
        </is>
      </c>
      <c r="D96" t="inlineStr">
        <is>
          <t>Convenios Espec</t>
        </is>
      </c>
      <c r="E96" t="inlineStr">
        <is>
          <t>Acuerdo 0000234904</t>
        </is>
      </c>
      <c r="F96" t="inlineStr">
        <is>
          <t>Otros</t>
        </is>
      </c>
      <c r="G96" t="inlineStr">
        <is>
          <t>Acuerdo</t>
        </is>
      </c>
      <c r="H96" t="n">
        <v>1</v>
      </c>
      <c r="I96" t="n">
        <v>2025</v>
      </c>
      <c r="J96" t="inlineStr">
        <is>
          <t>34359874</t>
        </is>
      </c>
      <c r="K96" s="9" t="n">
        <v>-142199</v>
      </c>
    </row>
    <row r="97">
      <c r="A97" t="inlineStr">
        <is>
          <t>5992912617</t>
        </is>
      </c>
      <c r="B97" s="13" t="n">
        <v>45716</v>
      </c>
      <c r="C97" t="inlineStr">
        <is>
          <t>51</t>
        </is>
      </c>
      <c r="D97" t="inlineStr">
        <is>
          <t>Convenios Espec</t>
        </is>
      </c>
      <c r="E97" t="inlineStr">
        <is>
          <t>Acuerdo 0000234904</t>
        </is>
      </c>
      <c r="F97" t="inlineStr">
        <is>
          <t>Otros</t>
        </is>
      </c>
      <c r="G97" t="inlineStr">
        <is>
          <t>Acuerdo</t>
        </is>
      </c>
      <c r="H97" t="n">
        <v>2</v>
      </c>
      <c r="I97" t="n">
        <v>2025</v>
      </c>
      <c r="J97" t="inlineStr">
        <is>
          <t>34593882</t>
        </is>
      </c>
      <c r="K97" s="9" t="n">
        <v>-203408</v>
      </c>
    </row>
    <row r="98">
      <c r="A98" t="inlineStr">
        <is>
          <t>6013000632</t>
        </is>
      </c>
      <c r="B98" s="13" t="n">
        <v>45747</v>
      </c>
      <c r="C98" t="inlineStr">
        <is>
          <t>51</t>
        </is>
      </c>
      <c r="D98" t="inlineStr">
        <is>
          <t>Convenios Espec</t>
        </is>
      </c>
      <c r="E98" t="inlineStr">
        <is>
          <t>Acuerdo 0000234904</t>
        </is>
      </c>
      <c r="F98" t="inlineStr">
        <is>
          <t>Otros</t>
        </is>
      </c>
      <c r="G98" t="inlineStr">
        <is>
          <t>Acuerdo</t>
        </is>
      </c>
      <c r="H98" t="n">
        <v>3</v>
      </c>
      <c r="I98" t="n">
        <v>2025</v>
      </c>
      <c r="J98" t="inlineStr">
        <is>
          <t>34605261</t>
        </is>
      </c>
      <c r="K98" s="9" t="n">
        <v>-211652</v>
      </c>
    </row>
    <row r="99">
      <c r="A99" t="inlineStr">
        <is>
          <t>6032757353</t>
        </is>
      </c>
      <c r="B99" s="13" t="n">
        <v>45777</v>
      </c>
      <c r="C99" t="inlineStr">
        <is>
          <t>51</t>
        </is>
      </c>
      <c r="D99" t="inlineStr">
        <is>
          <t>Convenios Espec</t>
        </is>
      </c>
      <c r="E99" t="inlineStr">
        <is>
          <t>Acuerdo 0000234904</t>
        </is>
      </c>
      <c r="F99" t="inlineStr">
        <is>
          <t>Otros</t>
        </is>
      </c>
      <c r="G99" t="inlineStr">
        <is>
          <t>Acuerdo</t>
        </is>
      </c>
      <c r="H99" t="n">
        <v>4</v>
      </c>
      <c r="I99" t="n">
        <v>2025</v>
      </c>
      <c r="J99" t="inlineStr">
        <is>
          <t>34986848</t>
        </is>
      </c>
      <c r="K99" s="9" t="n">
        <v>-206660</v>
      </c>
    </row>
    <row r="100">
      <c r="A100" t="inlineStr">
        <is>
          <t>6032757360</t>
        </is>
      </c>
      <c r="B100" s="13" t="n">
        <v>45777</v>
      </c>
      <c r="C100" t="inlineStr">
        <is>
          <t>51</t>
        </is>
      </c>
      <c r="D100" t="inlineStr">
        <is>
          <t>Convenios Espec</t>
        </is>
      </c>
      <c r="E100" t="inlineStr">
        <is>
          <t>Acuerdo 0000234904</t>
        </is>
      </c>
      <c r="F100" t="inlineStr">
        <is>
          <t>Otros</t>
        </is>
      </c>
      <c r="G100" t="inlineStr">
        <is>
          <t>Acuerdo</t>
        </is>
      </c>
      <c r="H100" t="n">
        <v>4</v>
      </c>
      <c r="I100" t="n">
        <v>2025</v>
      </c>
      <c r="J100" t="inlineStr">
        <is>
          <t>34986849</t>
        </is>
      </c>
      <c r="K100" s="9" t="n">
        <v>-4431</v>
      </c>
    </row>
    <row r="101">
      <c r="A101" t="inlineStr">
        <is>
          <t>6032757360</t>
        </is>
      </c>
      <c r="B101" s="13" t="n">
        <v>45777</v>
      </c>
      <c r="C101" t="inlineStr">
        <is>
          <t>51</t>
        </is>
      </c>
      <c r="D101" t="inlineStr">
        <is>
          <t>Convenios Espec</t>
        </is>
      </c>
      <c r="E101" t="inlineStr">
        <is>
          <t>Acuerdo 0000234904</t>
        </is>
      </c>
      <c r="F101" t="inlineStr">
        <is>
          <t>Otros</t>
        </is>
      </c>
      <c r="G101" t="inlineStr">
        <is>
          <t>Acuerdo</t>
        </is>
      </c>
      <c r="H101" t="n">
        <v>4</v>
      </c>
      <c r="I101" t="n">
        <v>2025</v>
      </c>
      <c r="J101" t="inlineStr">
        <is>
          <t>34986849</t>
        </is>
      </c>
      <c r="K101" s="9" t="n">
        <v>-2259</v>
      </c>
    </row>
    <row r="102">
      <c r="A102" t="inlineStr">
        <is>
          <t>6052445596</t>
        </is>
      </c>
      <c r="B102" s="13" t="n">
        <v>45808</v>
      </c>
      <c r="C102" t="inlineStr">
        <is>
          <t>51</t>
        </is>
      </c>
      <c r="D102" t="inlineStr">
        <is>
          <t>Convenios Espec</t>
        </is>
      </c>
      <c r="E102" t="inlineStr">
        <is>
          <t>Acuerdo 0000234904</t>
        </is>
      </c>
      <c r="F102" t="inlineStr">
        <is>
          <t>Otros</t>
        </is>
      </c>
      <c r="G102" t="inlineStr">
        <is>
          <t>Acuerdo</t>
        </is>
      </c>
      <c r="H102" t="n">
        <v>5</v>
      </c>
      <c r="I102" t="n">
        <v>2025</v>
      </c>
      <c r="J102" t="inlineStr">
        <is>
          <t>34996877</t>
        </is>
      </c>
      <c r="K102" s="9" t="n">
        <v>-268328</v>
      </c>
    </row>
    <row r="103">
      <c r="A103" t="inlineStr">
        <is>
          <t>6052445612</t>
        </is>
      </c>
      <c r="B103" s="13" t="n">
        <v>45808</v>
      </c>
      <c r="C103" t="inlineStr">
        <is>
          <t>51</t>
        </is>
      </c>
      <c r="D103" t="inlineStr">
        <is>
          <t>Convenios Espec</t>
        </is>
      </c>
      <c r="E103" t="inlineStr">
        <is>
          <t>Acuerdo 0000234904</t>
        </is>
      </c>
      <c r="F103" t="inlineStr">
        <is>
          <t>Otros</t>
        </is>
      </c>
      <c r="G103" t="inlineStr">
        <is>
          <t>Acuerdo</t>
        </is>
      </c>
      <c r="H103" t="n">
        <v>5</v>
      </c>
      <c r="I103" t="n">
        <v>2025</v>
      </c>
      <c r="J103" t="inlineStr">
        <is>
          <t>34996879</t>
        </is>
      </c>
      <c r="K103" s="9" t="n">
        <v>-288</v>
      </c>
    </row>
    <row r="104">
      <c r="A104" t="inlineStr">
        <is>
          <t>6071570626</t>
        </is>
      </c>
      <c r="B104" s="13" t="n">
        <v>45838</v>
      </c>
      <c r="C104" t="inlineStr">
        <is>
          <t>51</t>
        </is>
      </c>
      <c r="D104" t="inlineStr">
        <is>
          <t>Convenios Espec</t>
        </is>
      </c>
      <c r="E104" t="inlineStr">
        <is>
          <t>Acuerdo 0000234904</t>
        </is>
      </c>
      <c r="F104" t="inlineStr">
        <is>
          <t>Otros</t>
        </is>
      </c>
      <c r="G104" t="inlineStr">
        <is>
          <t>Acuerdo</t>
        </is>
      </c>
      <c r="H104" t="n">
        <v>6</v>
      </c>
      <c r="I104" t="n">
        <v>2025</v>
      </c>
      <c r="J104" t="inlineStr">
        <is>
          <t>35591554</t>
        </is>
      </c>
      <c r="K104" s="9" t="n">
        <v>-262546</v>
      </c>
    </row>
    <row r="105">
      <c r="A105" t="inlineStr">
        <is>
          <t>6091668782</t>
        </is>
      </c>
      <c r="B105" s="13" t="n">
        <v>45869</v>
      </c>
      <c r="C105" t="inlineStr">
        <is>
          <t>51</t>
        </is>
      </c>
      <c r="D105" t="inlineStr">
        <is>
          <t>Convenios Espec</t>
        </is>
      </c>
      <c r="E105" t="inlineStr">
        <is>
          <t>Acuerdo 0000234904</t>
        </is>
      </c>
      <c r="F105" t="inlineStr">
        <is>
          <t>Otros</t>
        </is>
      </c>
      <c r="G105" t="inlineStr">
        <is>
          <t>Acuerdo</t>
        </is>
      </c>
      <c r="H105" t="n">
        <v>7</v>
      </c>
      <c r="I105" t="n">
        <v>2025</v>
      </c>
      <c r="J105" t="inlineStr">
        <is>
          <t>35822849</t>
        </is>
      </c>
      <c r="K105" s="9" t="n">
        <v>-283133</v>
      </c>
    </row>
    <row r="106">
      <c r="A106" t="inlineStr">
        <is>
          <t>6091668837</t>
        </is>
      </c>
      <c r="B106" s="13" t="n">
        <v>45869</v>
      </c>
      <c r="C106" t="inlineStr">
        <is>
          <t>51</t>
        </is>
      </c>
      <c r="D106" t="inlineStr">
        <is>
          <t>Convenios Espec</t>
        </is>
      </c>
      <c r="E106" t="inlineStr">
        <is>
          <t>Acuerdo 0000234904</t>
        </is>
      </c>
      <c r="F106" t="inlineStr">
        <is>
          <t>Otros</t>
        </is>
      </c>
      <c r="G106" t="inlineStr">
        <is>
          <t>Acuerdo</t>
        </is>
      </c>
      <c r="H106" t="n">
        <v>7</v>
      </c>
      <c r="I106" t="n">
        <v>2025</v>
      </c>
      <c r="J106" t="inlineStr">
        <is>
          <t>35822850</t>
        </is>
      </c>
      <c r="K106" s="9" t="n">
        <v>-838</v>
      </c>
    </row>
    <row r="107">
      <c r="A107" t="inlineStr">
        <is>
          <t>6111423091</t>
        </is>
      </c>
      <c r="B107" s="13" t="n">
        <v>45900</v>
      </c>
      <c r="C107" t="inlineStr">
        <is>
          <t>51</t>
        </is>
      </c>
      <c r="D107" t="inlineStr">
        <is>
          <t>Convenios Espec</t>
        </is>
      </c>
      <c r="E107" t="inlineStr">
        <is>
          <t>Acuerdo 0000234904</t>
        </is>
      </c>
      <c r="F107" t="inlineStr">
        <is>
          <t>Otros</t>
        </is>
      </c>
      <c r="G107" t="inlineStr">
        <is>
          <t>Acuerdo</t>
        </is>
      </c>
      <c r="H107" t="n">
        <v>8</v>
      </c>
      <c r="I107" t="n">
        <v>2025</v>
      </c>
      <c r="J107" t="inlineStr">
        <is>
          <t>35832575</t>
        </is>
      </c>
      <c r="K107" s="9" t="n">
        <v>-352864</v>
      </c>
    </row>
    <row r="108">
      <c r="A108" t="inlineStr">
        <is>
          <t>6130621179</t>
        </is>
      </c>
      <c r="B108" s="13" t="n">
        <v>45930</v>
      </c>
      <c r="C108" t="inlineStr">
        <is>
          <t>51</t>
        </is>
      </c>
      <c r="D108" t="inlineStr">
        <is>
          <t>Convenios Espec</t>
        </is>
      </c>
      <c r="E108" t="inlineStr">
        <is>
          <t>Acuerdo 0000234904</t>
        </is>
      </c>
      <c r="F108" t="inlineStr">
        <is>
          <t>Otros</t>
        </is>
      </c>
      <c r="G108" t="inlineStr">
        <is>
          <t>Acuerdo</t>
        </is>
      </c>
      <c r="H108" t="n">
        <v>9</v>
      </c>
      <c r="I108" t="n">
        <v>2025</v>
      </c>
      <c r="J108" t="inlineStr">
        <is>
          <t>36161478</t>
        </is>
      </c>
      <c r="K108" s="9" t="n">
        <v>-258203</v>
      </c>
    </row>
    <row r="109">
      <c r="A109" t="inlineStr">
        <is>
          <t>6130621180</t>
        </is>
      </c>
      <c r="B109" s="13" t="n">
        <v>45930</v>
      </c>
      <c r="C109" t="inlineStr">
        <is>
          <t>51</t>
        </is>
      </c>
      <c r="D109" t="inlineStr">
        <is>
          <t>Convenios Espec</t>
        </is>
      </c>
      <c r="E109" t="inlineStr">
        <is>
          <t>Acuerdo 0000234904</t>
        </is>
      </c>
      <c r="F109" t="inlineStr">
        <is>
          <t>Otros</t>
        </is>
      </c>
      <c r="G109" t="inlineStr">
        <is>
          <t>Acuerdo</t>
        </is>
      </c>
      <c r="H109" t="n">
        <v>9</v>
      </c>
      <c r="I109" t="n">
        <v>2025</v>
      </c>
      <c r="J109" t="inlineStr">
        <is>
          <t>36161479</t>
        </is>
      </c>
      <c r="K109" s="9" t="n">
        <v>-5189</v>
      </c>
    </row>
    <row r="110">
      <c r="A110" t="inlineStr">
        <is>
          <t>6152042498</t>
        </is>
      </c>
      <c r="B110" s="13" t="n">
        <v>45961</v>
      </c>
      <c r="C110" t="inlineStr">
        <is>
          <t>51</t>
        </is>
      </c>
      <c r="D110" t="inlineStr">
        <is>
          <t>Convenios Espec</t>
        </is>
      </c>
      <c r="E110" t="inlineStr">
        <is>
          <t>Acuerdo 0000234904</t>
        </is>
      </c>
      <c r="F110" t="inlineStr">
        <is>
          <t>Otros</t>
        </is>
      </c>
      <c r="G110" t="inlineStr">
        <is>
          <t>Acuerdo</t>
        </is>
      </c>
      <c r="H110" t="n">
        <v>10</v>
      </c>
      <c r="I110" t="n">
        <v>2025</v>
      </c>
      <c r="J110" t="inlineStr">
        <is>
          <t>36529264</t>
        </is>
      </c>
      <c r="K110" s="9" t="n">
        <v>-213723</v>
      </c>
    </row>
    <row r="111">
      <c r="A111" t="inlineStr">
        <is>
          <t>6152042499</t>
        </is>
      </c>
      <c r="B111" s="13" t="n">
        <v>45961</v>
      </c>
      <c r="C111" t="inlineStr">
        <is>
          <t>51</t>
        </is>
      </c>
      <c r="D111" t="inlineStr">
        <is>
          <t>Convenios Espec</t>
        </is>
      </c>
      <c r="E111" t="inlineStr">
        <is>
          <t>Acuerdo 0000234904</t>
        </is>
      </c>
      <c r="F111" t="inlineStr">
        <is>
          <t>Otros</t>
        </is>
      </c>
      <c r="G111" t="inlineStr">
        <is>
          <t>Acuerdo</t>
        </is>
      </c>
      <c r="H111" t="n">
        <v>10</v>
      </c>
      <c r="I111" t="n">
        <v>2025</v>
      </c>
      <c r="J111" t="inlineStr">
        <is>
          <t>36529265</t>
        </is>
      </c>
      <c r="K111" s="9" t="n">
        <v>-3140</v>
      </c>
    </row>
    <row r="112">
      <c r="A112" t="inlineStr">
        <is>
          <t>6173511041</t>
        </is>
      </c>
      <c r="B112" s="13" t="n">
        <v>45991</v>
      </c>
      <c r="C112" t="inlineStr">
        <is>
          <t>51</t>
        </is>
      </c>
      <c r="D112" t="inlineStr">
        <is>
          <t>Convenios Espec</t>
        </is>
      </c>
      <c r="E112" t="inlineStr">
        <is>
          <t>Acuerdo 0000234904</t>
        </is>
      </c>
      <c r="F112" t="inlineStr">
        <is>
          <t>Otros</t>
        </is>
      </c>
      <c r="G112" t="inlineStr">
        <is>
          <t>Acuerdo</t>
        </is>
      </c>
      <c r="H112" t="n">
        <v>11</v>
      </c>
      <c r="I112" t="n">
        <v>2025</v>
      </c>
      <c r="J112" t="inlineStr">
        <is>
          <t>36741148</t>
        </is>
      </c>
      <c r="K112" s="9" t="n">
        <v>-397043</v>
      </c>
    </row>
    <row r="113">
      <c r="A113" t="inlineStr">
        <is>
          <t>6173511043</t>
        </is>
      </c>
      <c r="B113" s="13" t="n">
        <v>45991</v>
      </c>
      <c r="C113" t="inlineStr">
        <is>
          <t>51</t>
        </is>
      </c>
      <c r="D113" t="inlineStr">
        <is>
          <t>Convenios Espec</t>
        </is>
      </c>
      <c r="E113" t="inlineStr">
        <is>
          <t>Acuerdo 0000234904</t>
        </is>
      </c>
      <c r="F113" t="inlineStr">
        <is>
          <t>Otros</t>
        </is>
      </c>
      <c r="G113" t="inlineStr">
        <is>
          <t>Acuerdo</t>
        </is>
      </c>
      <c r="H113" t="n">
        <v>11</v>
      </c>
      <c r="I113" t="n">
        <v>2025</v>
      </c>
      <c r="J113" t="inlineStr">
        <is>
          <t>36741149</t>
        </is>
      </c>
      <c r="K113" s="9" t="n">
        <v>-7974</v>
      </c>
    </row>
    <row r="114">
      <c r="A114" t="inlineStr">
        <is>
          <t>6196546957</t>
        </is>
      </c>
      <c r="B114" s="13" t="n">
        <v>46022</v>
      </c>
      <c r="C114" t="inlineStr">
        <is>
          <t>51</t>
        </is>
      </c>
      <c r="D114" t="inlineStr">
        <is>
          <t>Convenios Espec</t>
        </is>
      </c>
      <c r="E114" t="inlineStr">
        <is>
          <t>Acuerdo 0000234904</t>
        </is>
      </c>
      <c r="F114" t="inlineStr">
        <is>
          <t>Otros</t>
        </is>
      </c>
      <c r="G114" t="inlineStr">
        <is>
          <t>Acuerdo</t>
        </is>
      </c>
      <c r="H114" t="n">
        <v>12</v>
      </c>
      <c r="I114" t="n">
        <v>2025</v>
      </c>
      <c r="J114" t="inlineStr">
        <is>
          <t>36753498</t>
        </is>
      </c>
      <c r="K114" s="9" t="n">
        <v>-118829</v>
      </c>
    </row>
    <row r="115">
      <c r="A115" t="inlineStr">
        <is>
          <t>6196546960</t>
        </is>
      </c>
      <c r="B115" s="13" t="n">
        <v>46022</v>
      </c>
      <c r="C115" t="inlineStr">
        <is>
          <t>51</t>
        </is>
      </c>
      <c r="D115" t="inlineStr">
        <is>
          <t>Convenios Espec</t>
        </is>
      </c>
      <c r="E115" t="inlineStr">
        <is>
          <t>Acuerdo 0000234904</t>
        </is>
      </c>
      <c r="F115" t="inlineStr">
        <is>
          <t>Otros</t>
        </is>
      </c>
      <c r="G115" t="inlineStr">
        <is>
          <t>Acuerdo</t>
        </is>
      </c>
      <c r="H115" t="n">
        <v>12</v>
      </c>
      <c r="I115" t="n">
        <v>2025</v>
      </c>
      <c r="J115" t="inlineStr">
        <is>
          <t>36753500</t>
        </is>
      </c>
      <c r="K115" s="9" t="n">
        <v>-4523</v>
      </c>
    </row>
    <row r="116">
      <c r="A116" t="inlineStr">
        <is>
          <t>6196546960</t>
        </is>
      </c>
      <c r="B116" s="13" t="n">
        <v>46022</v>
      </c>
      <c r="C116" t="inlineStr">
        <is>
          <t>51</t>
        </is>
      </c>
      <c r="D116" t="inlineStr">
        <is>
          <t>Convenios Espec</t>
        </is>
      </c>
      <c r="E116" t="inlineStr">
        <is>
          <t>Acuerdo 0000234904</t>
        </is>
      </c>
      <c r="F116" t="inlineStr">
        <is>
          <t>Otros</t>
        </is>
      </c>
      <c r="G116" t="inlineStr">
        <is>
          <t>Acuerdo</t>
        </is>
      </c>
      <c r="H116" t="n">
        <v>12</v>
      </c>
      <c r="I116" t="n">
        <v>2025</v>
      </c>
      <c r="J116" t="inlineStr">
        <is>
          <t>36753500</t>
        </is>
      </c>
      <c r="K116" s="9" t="n">
        <v>-5398</v>
      </c>
    </row>
    <row r="117">
      <c r="A117" t="inlineStr">
        <is>
          <t>6196546960</t>
        </is>
      </c>
      <c r="B117" s="13" t="n">
        <v>46022</v>
      </c>
      <c r="C117" t="inlineStr">
        <is>
          <t>51</t>
        </is>
      </c>
      <c r="D117" t="inlineStr">
        <is>
          <t>Convenios Espec</t>
        </is>
      </c>
      <c r="E117" t="inlineStr">
        <is>
          <t>Acuerdo 0000234904</t>
        </is>
      </c>
      <c r="F117" t="inlineStr">
        <is>
          <t>Otros</t>
        </is>
      </c>
      <c r="G117" t="inlineStr">
        <is>
          <t>Acuerdo</t>
        </is>
      </c>
      <c r="H117" t="n">
        <v>12</v>
      </c>
      <c r="I117" t="n">
        <v>2025</v>
      </c>
      <c r="J117" t="inlineStr">
        <is>
          <t>36753500</t>
        </is>
      </c>
      <c r="K117" s="9" t="n">
        <v>-3974</v>
      </c>
    </row>
    <row r="118">
      <c r="A118" t="inlineStr">
        <is>
          <t>6196546960</t>
        </is>
      </c>
      <c r="B118" s="13" t="n">
        <v>46022</v>
      </c>
      <c r="C118" t="inlineStr">
        <is>
          <t>51</t>
        </is>
      </c>
      <c r="D118" t="inlineStr">
        <is>
          <t>Convenios Espec</t>
        </is>
      </c>
      <c r="E118" t="inlineStr">
        <is>
          <t>Acuerdo 0000234904</t>
        </is>
      </c>
      <c r="F118" t="inlineStr">
        <is>
          <t>Otros</t>
        </is>
      </c>
      <c r="G118" t="inlineStr">
        <is>
          <t>Acuerdo</t>
        </is>
      </c>
      <c r="H118" t="n">
        <v>12</v>
      </c>
      <c r="I118" t="n">
        <v>2025</v>
      </c>
      <c r="J118" t="inlineStr">
        <is>
          <t>36753500</t>
        </is>
      </c>
      <c r="K118" s="9" t="n">
        <v>-6858</v>
      </c>
    </row>
    <row r="119">
      <c r="A119" t="inlineStr">
        <is>
          <t>6196546960</t>
        </is>
      </c>
      <c r="B119" s="13" t="n">
        <v>46022</v>
      </c>
      <c r="C119" t="inlineStr">
        <is>
          <t>51</t>
        </is>
      </c>
      <c r="D119" t="inlineStr">
        <is>
          <t>Convenios Espec</t>
        </is>
      </c>
      <c r="E119" t="inlineStr">
        <is>
          <t>Acuerdo 0000234904</t>
        </is>
      </c>
      <c r="F119" t="inlineStr">
        <is>
          <t>Otros</t>
        </is>
      </c>
      <c r="G119" t="inlineStr">
        <is>
          <t>Acuerdo</t>
        </is>
      </c>
      <c r="H119" t="n">
        <v>12</v>
      </c>
      <c r="I119" t="n">
        <v>2025</v>
      </c>
      <c r="J119" t="inlineStr">
        <is>
          <t>36753500</t>
        </is>
      </c>
      <c r="K119" s="9" t="n">
        <v>-6971</v>
      </c>
    </row>
    <row r="120">
      <c r="A120" t="inlineStr">
        <is>
          <t>6196546960</t>
        </is>
      </c>
      <c r="B120" s="13" t="n">
        <v>46022</v>
      </c>
      <c r="C120" t="inlineStr">
        <is>
          <t>51</t>
        </is>
      </c>
      <c r="D120" t="inlineStr">
        <is>
          <t>Convenios Espec</t>
        </is>
      </c>
      <c r="E120" t="inlineStr">
        <is>
          <t>Acuerdo 0000234904</t>
        </is>
      </c>
      <c r="F120" t="inlineStr">
        <is>
          <t>Otros</t>
        </is>
      </c>
      <c r="G120" t="inlineStr">
        <is>
          <t>Acuerdo</t>
        </is>
      </c>
      <c r="H120" t="n">
        <v>12</v>
      </c>
      <c r="I120" t="n">
        <v>2025</v>
      </c>
      <c r="J120" t="inlineStr">
        <is>
          <t>36753500</t>
        </is>
      </c>
      <c r="K120" s="9" t="n">
        <v>-3622</v>
      </c>
    </row>
    <row r="121">
      <c r="A121" t="inlineStr">
        <is>
          <t>6196546960</t>
        </is>
      </c>
      <c r="B121" s="13" t="n">
        <v>46022</v>
      </c>
      <c r="C121" t="inlineStr">
        <is>
          <t>51</t>
        </is>
      </c>
      <c r="D121" t="inlineStr">
        <is>
          <t>Convenios Espec</t>
        </is>
      </c>
      <c r="E121" t="inlineStr">
        <is>
          <t>Acuerdo 0000234904</t>
        </is>
      </c>
      <c r="F121" t="inlineStr">
        <is>
          <t>Otros</t>
        </is>
      </c>
      <c r="G121" t="inlineStr">
        <is>
          <t>Acuerdo</t>
        </is>
      </c>
      <c r="H121" t="n">
        <v>12</v>
      </c>
      <c r="I121" t="n">
        <v>2025</v>
      </c>
      <c r="J121" t="inlineStr">
        <is>
          <t>36753500</t>
        </is>
      </c>
      <c r="K121" s="9" t="n">
        <v>-344</v>
      </c>
    </row>
    <row r="122">
      <c r="A122" t="inlineStr">
        <is>
          <t>6196546960</t>
        </is>
      </c>
      <c r="B122" s="13" t="n">
        <v>46022</v>
      </c>
      <c r="C122" t="inlineStr">
        <is>
          <t>51</t>
        </is>
      </c>
      <c r="D122" t="inlineStr">
        <is>
          <t>Convenios Espec</t>
        </is>
      </c>
      <c r="E122" t="inlineStr">
        <is>
          <t>Acuerdo 0000234904</t>
        </is>
      </c>
      <c r="F122" t="inlineStr">
        <is>
          <t>Otros</t>
        </is>
      </c>
      <c r="G122" t="inlineStr">
        <is>
          <t>Acuerdo</t>
        </is>
      </c>
      <c r="H122" t="n">
        <v>12</v>
      </c>
      <c r="I122" t="n">
        <v>2025</v>
      </c>
      <c r="J122" t="inlineStr">
        <is>
          <t>36753500</t>
        </is>
      </c>
      <c r="K122" s="9" t="n">
        <v>-3644</v>
      </c>
    </row>
    <row r="123">
      <c r="A123" t="inlineStr">
        <is>
          <t>6196546960</t>
        </is>
      </c>
      <c r="B123" s="13" t="n">
        <v>46022</v>
      </c>
      <c r="C123" t="inlineStr">
        <is>
          <t>51</t>
        </is>
      </c>
      <c r="D123" t="inlineStr">
        <is>
          <t>Convenios Espec</t>
        </is>
      </c>
      <c r="E123" t="inlineStr">
        <is>
          <t>Acuerdo 0000234904</t>
        </is>
      </c>
      <c r="F123" t="inlineStr">
        <is>
          <t>Otros</t>
        </is>
      </c>
      <c r="G123" t="inlineStr">
        <is>
          <t>Acuerdo</t>
        </is>
      </c>
      <c r="H123" t="n">
        <v>12</v>
      </c>
      <c r="I123" t="n">
        <v>2025</v>
      </c>
      <c r="J123" t="inlineStr">
        <is>
          <t>36753500</t>
        </is>
      </c>
      <c r="K123" s="9" t="n">
        <v>-2723</v>
      </c>
    </row>
    <row r="124">
      <c r="A124" t="inlineStr">
        <is>
          <t>6196546960</t>
        </is>
      </c>
      <c r="B124" s="13" t="n">
        <v>46022</v>
      </c>
      <c r="C124" t="inlineStr">
        <is>
          <t>51</t>
        </is>
      </c>
      <c r="D124" t="inlineStr">
        <is>
          <t>Convenios Espec</t>
        </is>
      </c>
      <c r="E124" t="inlineStr">
        <is>
          <t>Acuerdo 0000234904</t>
        </is>
      </c>
      <c r="F124" t="inlineStr">
        <is>
          <t>Otros</t>
        </is>
      </c>
      <c r="G124" t="inlineStr">
        <is>
          <t>Acuerdo</t>
        </is>
      </c>
      <c r="H124" t="n">
        <v>12</v>
      </c>
      <c r="I124" t="n">
        <v>2025</v>
      </c>
      <c r="J124" t="inlineStr">
        <is>
          <t>36753500</t>
        </is>
      </c>
      <c r="K124" s="9" t="n">
        <v>-4403</v>
      </c>
    </row>
    <row r="125">
      <c r="A125" t="inlineStr">
        <is>
          <t>6214890142</t>
        </is>
      </c>
      <c r="B125" s="13" t="n">
        <v>46053</v>
      </c>
      <c r="C125" t="inlineStr">
        <is>
          <t>51</t>
        </is>
      </c>
      <c r="D125" t="inlineStr">
        <is>
          <t>Convenios Espec</t>
        </is>
      </c>
      <c r="E125" t="inlineStr">
        <is>
          <t>Acuerdo 0000234904</t>
        </is>
      </c>
      <c r="F125" t="inlineStr">
        <is>
          <t>Otros</t>
        </is>
      </c>
      <c r="G125" t="inlineStr">
        <is>
          <t>Acuerdo</t>
        </is>
      </c>
      <c r="H125" t="n">
        <v>12</v>
      </c>
      <c r="I125" t="n">
        <v>2025</v>
      </c>
      <c r="J125" t="inlineStr">
        <is>
          <t>37193935</t>
        </is>
      </c>
      <c r="K125" s="9" t="n">
        <v>-115131</v>
      </c>
    </row>
    <row r="126">
      <c r="A126" t="inlineStr">
        <is>
          <t>6214890144</t>
        </is>
      </c>
      <c r="B126" s="13" t="n">
        <v>46053</v>
      </c>
      <c r="C126" t="inlineStr">
        <is>
          <t>51</t>
        </is>
      </c>
      <c r="D126" t="inlineStr">
        <is>
          <t>Convenios Espec</t>
        </is>
      </c>
      <c r="E126" t="inlineStr">
        <is>
          <t>Acuerdo 0000234904</t>
        </is>
      </c>
      <c r="F126" t="inlineStr">
        <is>
          <t>Otros</t>
        </is>
      </c>
      <c r="G126" t="inlineStr">
        <is>
          <t>Acuerdo</t>
        </is>
      </c>
      <c r="H126" t="n">
        <v>12</v>
      </c>
      <c r="I126" t="n">
        <v>2025</v>
      </c>
      <c r="J126" t="inlineStr">
        <is>
          <t>37193936</t>
        </is>
      </c>
      <c r="K126" s="9" t="n">
        <v>-49</v>
      </c>
    </row>
    <row r="127">
      <c r="A127" t="inlineStr">
        <is>
          <t>6214890144</t>
        </is>
      </c>
      <c r="B127" s="13" t="n">
        <v>46053</v>
      </c>
      <c r="C127" t="inlineStr">
        <is>
          <t>51</t>
        </is>
      </c>
      <c r="D127" t="inlineStr">
        <is>
          <t>Convenios Espec</t>
        </is>
      </c>
      <c r="E127" t="inlineStr">
        <is>
          <t>Acuerdo 0000234904</t>
        </is>
      </c>
      <c r="F127" t="inlineStr">
        <is>
          <t>Otros</t>
        </is>
      </c>
      <c r="G127" t="inlineStr">
        <is>
          <t>Acuerdo</t>
        </is>
      </c>
      <c r="H127" t="n">
        <v>12</v>
      </c>
      <c r="I127" t="n">
        <v>2025</v>
      </c>
      <c r="J127" t="inlineStr">
        <is>
          <t>37193936</t>
        </is>
      </c>
      <c r="K127" s="9" t="n">
        <v>-3727</v>
      </c>
    </row>
    <row r="128">
      <c r="A128" t="inlineStr">
        <is>
          <t>6214890144</t>
        </is>
      </c>
      <c r="B128" s="13" t="n">
        <v>46053</v>
      </c>
      <c r="C128" t="inlineStr">
        <is>
          <t>51</t>
        </is>
      </c>
      <c r="D128" t="inlineStr">
        <is>
          <t>Convenios Espec</t>
        </is>
      </c>
      <c r="E128" t="inlineStr">
        <is>
          <t>Acuerdo 0000234904</t>
        </is>
      </c>
      <c r="F128" t="inlineStr">
        <is>
          <t>Otros</t>
        </is>
      </c>
      <c r="G128" t="inlineStr">
        <is>
          <t>Acuerdo</t>
        </is>
      </c>
      <c r="H128" t="n">
        <v>12</v>
      </c>
      <c r="I128" t="n">
        <v>2025</v>
      </c>
      <c r="J128" t="inlineStr">
        <is>
          <t>37193936</t>
        </is>
      </c>
      <c r="K128" s="9" t="n">
        <v>-183</v>
      </c>
    </row>
    <row r="129">
      <c r="A129" t="inlineStr">
        <is>
          <t>6214890144</t>
        </is>
      </c>
      <c r="B129" s="13" t="n">
        <v>46053</v>
      </c>
      <c r="C129" t="inlineStr">
        <is>
          <t>51</t>
        </is>
      </c>
      <c r="D129" t="inlineStr">
        <is>
          <t>Convenios Espec</t>
        </is>
      </c>
      <c r="E129" t="inlineStr">
        <is>
          <t>Acuerdo 0000234904</t>
        </is>
      </c>
      <c r="F129" t="inlineStr">
        <is>
          <t>Otros</t>
        </is>
      </c>
      <c r="G129" t="inlineStr">
        <is>
          <t>Acuerdo</t>
        </is>
      </c>
      <c r="H129" t="n">
        <v>12</v>
      </c>
      <c r="I129" t="n">
        <v>2025</v>
      </c>
      <c r="J129" t="inlineStr">
        <is>
          <t>37193936</t>
        </is>
      </c>
      <c r="K129" s="9" t="n">
        <v>-10000</v>
      </c>
    </row>
    <row r="130">
      <c r="A130" t="inlineStr">
        <is>
          <t>5962169271</t>
        </is>
      </c>
      <c r="B130" s="13" t="n">
        <v>45669</v>
      </c>
      <c r="C130" t="inlineStr">
        <is>
          <t>51</t>
        </is>
      </c>
      <c r="D130" t="inlineStr">
        <is>
          <t>Descuentos Publ</t>
        </is>
      </c>
      <c r="E130" t="inlineStr">
        <is>
          <t>Acuerdo 0000233355</t>
        </is>
      </c>
      <c r="F130" t="inlineStr">
        <is>
          <t>Publicidad</t>
        </is>
      </c>
      <c r="G130" t="inlineStr">
        <is>
          <t>Acuerdo</t>
        </is>
      </c>
      <c r="H130" t="n">
        <v>1</v>
      </c>
      <c r="I130" t="n">
        <v>2025</v>
      </c>
      <c r="J130" t="inlineStr">
        <is>
          <t>34012677</t>
        </is>
      </c>
      <c r="K130" s="9" t="n">
        <v>-347361</v>
      </c>
    </row>
    <row r="131">
      <c r="A131" t="inlineStr">
        <is>
          <t>5962198419</t>
        </is>
      </c>
      <c r="B131" s="13" t="n">
        <v>45669</v>
      </c>
      <c r="C131" t="inlineStr">
        <is>
          <t>51</t>
        </is>
      </c>
      <c r="D131" t="inlineStr">
        <is>
          <t>Ingreso por pub</t>
        </is>
      </c>
      <c r="E131" t="inlineStr">
        <is>
          <t>Acuerdo 0000227652</t>
        </is>
      </c>
      <c r="F131" t="inlineStr">
        <is>
          <t>Publicidad</t>
        </is>
      </c>
      <c r="G131" t="inlineStr">
        <is>
          <t>Acuerdo</t>
        </is>
      </c>
      <c r="H131" t="n">
        <v>1</v>
      </c>
      <c r="I131" t="n">
        <v>2025</v>
      </c>
      <c r="J131" t="inlineStr">
        <is>
          <t>34013267</t>
        </is>
      </c>
      <c r="K131" s="9" t="n">
        <v>-12202</v>
      </c>
    </row>
    <row r="132">
      <c r="A132" t="inlineStr">
        <is>
          <t>5966573324</t>
        </is>
      </c>
      <c r="B132" s="13" t="n">
        <v>45676</v>
      </c>
      <c r="C132" t="inlineStr">
        <is>
          <t>51</t>
        </is>
      </c>
      <c r="D132" t="inlineStr">
        <is>
          <t>Descuentos Publ</t>
        </is>
      </c>
      <c r="E132" t="inlineStr">
        <is>
          <t>Acuerdo 0000233355</t>
        </is>
      </c>
      <c r="F132" t="inlineStr">
        <is>
          <t>Publicidad</t>
        </is>
      </c>
      <c r="G132" t="inlineStr">
        <is>
          <t>Acuerdo</t>
        </is>
      </c>
      <c r="H132" t="n">
        <v>1</v>
      </c>
      <c r="I132" t="n">
        <v>2025</v>
      </c>
      <c r="J132" t="inlineStr">
        <is>
          <t>34355122</t>
        </is>
      </c>
      <c r="K132" s="9" t="n">
        <v>-604315</v>
      </c>
    </row>
    <row r="133">
      <c r="A133" t="inlineStr">
        <is>
          <t>5971087067</t>
        </is>
      </c>
      <c r="B133" s="13" t="n">
        <v>45683</v>
      </c>
      <c r="C133" t="inlineStr">
        <is>
          <t>51</t>
        </is>
      </c>
      <c r="D133" t="inlineStr">
        <is>
          <t>Descuentos Publ</t>
        </is>
      </c>
      <c r="E133" t="inlineStr">
        <is>
          <t>Acuerdo 0000233355</t>
        </is>
      </c>
      <c r="F133" t="inlineStr">
        <is>
          <t>Publicidad</t>
        </is>
      </c>
      <c r="G133" t="inlineStr">
        <is>
          <t>Acuerdo</t>
        </is>
      </c>
      <c r="H133" t="n">
        <v>1</v>
      </c>
      <c r="I133" t="n">
        <v>2025</v>
      </c>
      <c r="J133" t="inlineStr">
        <is>
          <t>34357102</t>
        </is>
      </c>
      <c r="K133" s="9" t="n">
        <v>-610396</v>
      </c>
    </row>
    <row r="134">
      <c r="A134" t="inlineStr">
        <is>
          <t>5974634388</t>
        </is>
      </c>
      <c r="B134" s="13" t="n">
        <v>45688</v>
      </c>
      <c r="C134" t="inlineStr">
        <is>
          <t>51</t>
        </is>
      </c>
      <c r="D134" t="inlineStr">
        <is>
          <t>Ingreso por pub</t>
        </is>
      </c>
      <c r="E134" t="inlineStr">
        <is>
          <t>Acuerdo 0000227652</t>
        </is>
      </c>
      <c r="F134" t="inlineStr">
        <is>
          <t>Publicidad</t>
        </is>
      </c>
      <c r="G134" t="inlineStr">
        <is>
          <t>Acuerdo</t>
        </is>
      </c>
      <c r="H134" t="n">
        <v>1</v>
      </c>
      <c r="I134" t="n">
        <v>2025</v>
      </c>
      <c r="J134" t="inlineStr">
        <is>
          <t>34360005</t>
        </is>
      </c>
      <c r="K134" s="9" t="n">
        <v>-12201</v>
      </c>
    </row>
    <row r="135">
      <c r="A135" t="inlineStr">
        <is>
          <t>5974634546</t>
        </is>
      </c>
      <c r="B135" s="13" t="n">
        <v>45688</v>
      </c>
      <c r="C135" t="inlineStr">
        <is>
          <t>51</t>
        </is>
      </c>
      <c r="D135" t="inlineStr">
        <is>
          <t>Descuentos Publ</t>
        </is>
      </c>
      <c r="E135" t="inlineStr">
        <is>
          <t>Acuerdo 0000233355</t>
        </is>
      </c>
      <c r="F135" t="inlineStr">
        <is>
          <t>Publicidad</t>
        </is>
      </c>
      <c r="G135" t="inlineStr">
        <is>
          <t>Acuerdo</t>
        </is>
      </c>
      <c r="H135" t="n">
        <v>1</v>
      </c>
      <c r="I135" t="n">
        <v>2025</v>
      </c>
      <c r="J135" t="inlineStr">
        <is>
          <t>34360050</t>
        </is>
      </c>
      <c r="K135" s="9" t="n">
        <v>-807904</v>
      </c>
    </row>
    <row r="136">
      <c r="A136" t="inlineStr">
        <is>
          <t>5980454743</t>
        </is>
      </c>
      <c r="B136" s="13" t="n">
        <v>45697</v>
      </c>
      <c r="C136" t="inlineStr">
        <is>
          <t>51</t>
        </is>
      </c>
      <c r="D136" t="inlineStr">
        <is>
          <t>Descuentos Publ</t>
        </is>
      </c>
      <c r="E136" t="inlineStr">
        <is>
          <t>Acuerdo 0000233355</t>
        </is>
      </c>
      <c r="F136" t="inlineStr">
        <is>
          <t>Publicidad</t>
        </is>
      </c>
      <c r="G136" t="inlineStr">
        <is>
          <t>Acuerdo</t>
        </is>
      </c>
      <c r="H136" t="n">
        <v>2</v>
      </c>
      <c r="I136" t="n">
        <v>2025</v>
      </c>
      <c r="J136" t="inlineStr">
        <is>
          <t>34387497</t>
        </is>
      </c>
      <c r="K136" s="9" t="n">
        <v>-547572</v>
      </c>
    </row>
    <row r="137">
      <c r="A137" t="inlineStr">
        <is>
          <t>5984937004</t>
        </is>
      </c>
      <c r="B137" s="13" t="n">
        <v>45704</v>
      </c>
      <c r="C137" t="inlineStr">
        <is>
          <t>51</t>
        </is>
      </c>
      <c r="D137" t="inlineStr">
        <is>
          <t>Descuentos Publ</t>
        </is>
      </c>
      <c r="E137" t="inlineStr">
        <is>
          <t>Acuerdo 0000233355</t>
        </is>
      </c>
      <c r="F137" t="inlineStr">
        <is>
          <t>Publicidad</t>
        </is>
      </c>
      <c r="G137" t="inlineStr">
        <is>
          <t>Acuerdo</t>
        </is>
      </c>
      <c r="H137" t="n">
        <v>2</v>
      </c>
      <c r="I137" t="n">
        <v>2025</v>
      </c>
      <c r="J137" t="inlineStr">
        <is>
          <t>34389600</t>
        </is>
      </c>
      <c r="K137" s="9" t="n">
        <v>-798413</v>
      </c>
    </row>
    <row r="138">
      <c r="A138" t="inlineStr">
        <is>
          <t>5989418849</t>
        </is>
      </c>
      <c r="B138" s="13" t="n">
        <v>45711</v>
      </c>
      <c r="C138" t="inlineStr">
        <is>
          <t>51</t>
        </is>
      </c>
      <c r="D138" t="inlineStr">
        <is>
          <t>Descuentos Publ</t>
        </is>
      </c>
      <c r="E138" t="inlineStr">
        <is>
          <t>Acuerdo 0000233355</t>
        </is>
      </c>
      <c r="F138" t="inlineStr">
        <is>
          <t>Publicidad</t>
        </is>
      </c>
      <c r="G138" t="inlineStr">
        <is>
          <t>Acuerdo</t>
        </is>
      </c>
      <c r="H138" t="n">
        <v>2</v>
      </c>
      <c r="I138" t="n">
        <v>2025</v>
      </c>
      <c r="J138" t="inlineStr">
        <is>
          <t>34391467</t>
        </is>
      </c>
      <c r="K138" s="9" t="n">
        <v>-748234</v>
      </c>
    </row>
    <row r="139">
      <c r="A139" t="inlineStr">
        <is>
          <t>5992922900</t>
        </is>
      </c>
      <c r="B139" s="13" t="n">
        <v>45716</v>
      </c>
      <c r="C139" t="inlineStr">
        <is>
          <t>51</t>
        </is>
      </c>
      <c r="D139" t="inlineStr">
        <is>
          <t>Descuentos Publ</t>
        </is>
      </c>
      <c r="E139" t="inlineStr">
        <is>
          <t>Acuerdo 0000233355</t>
        </is>
      </c>
      <c r="F139" t="inlineStr">
        <is>
          <t>Publicidad</t>
        </is>
      </c>
      <c r="G139" t="inlineStr">
        <is>
          <t>Acuerdo</t>
        </is>
      </c>
      <c r="H139" t="n">
        <v>2</v>
      </c>
      <c r="I139" t="n">
        <v>2025</v>
      </c>
      <c r="J139" t="inlineStr">
        <is>
          <t>34593999</t>
        </is>
      </c>
      <c r="K139" s="9" t="n">
        <v>-1295911</v>
      </c>
    </row>
    <row r="140">
      <c r="A140" t="inlineStr">
        <is>
          <t>5998461001</t>
        </is>
      </c>
      <c r="B140" s="13" t="n">
        <v>45725</v>
      </c>
      <c r="C140" t="inlineStr">
        <is>
          <t>51</t>
        </is>
      </c>
      <c r="D140" t="inlineStr">
        <is>
          <t>Descuentos Publ</t>
        </is>
      </c>
      <c r="E140" t="inlineStr">
        <is>
          <t>Acuerdo 0000233355</t>
        </is>
      </c>
      <c r="F140" t="inlineStr">
        <is>
          <t>Publicidad</t>
        </is>
      </c>
      <c r="G140" t="inlineStr">
        <is>
          <t>Acuerdo</t>
        </is>
      </c>
      <c r="H140" t="n">
        <v>3</v>
      </c>
      <c r="I140" t="n">
        <v>2025</v>
      </c>
      <c r="J140" t="inlineStr">
        <is>
          <t>34596198</t>
        </is>
      </c>
      <c r="K140" s="9" t="n">
        <v>-652045</v>
      </c>
    </row>
    <row r="141">
      <c r="A141" t="inlineStr">
        <is>
          <t>6003206825</t>
        </is>
      </c>
      <c r="B141" s="13" t="n">
        <v>45732</v>
      </c>
      <c r="C141" t="inlineStr">
        <is>
          <t>51</t>
        </is>
      </c>
      <c r="D141" t="inlineStr">
        <is>
          <t>Descuentos Publ</t>
        </is>
      </c>
      <c r="E141" t="inlineStr">
        <is>
          <t>Acuerdo 0000233355</t>
        </is>
      </c>
      <c r="F141" t="inlineStr">
        <is>
          <t>Publicidad</t>
        </is>
      </c>
      <c r="G141" t="inlineStr">
        <is>
          <t>Acuerdo</t>
        </is>
      </c>
      <c r="H141" t="n">
        <v>3</v>
      </c>
      <c r="I141" t="n">
        <v>2025</v>
      </c>
      <c r="J141" t="inlineStr">
        <is>
          <t>34598173</t>
        </is>
      </c>
      <c r="K141" s="9" t="n">
        <v>-884510</v>
      </c>
    </row>
    <row r="142">
      <c r="A142" t="inlineStr">
        <is>
          <t>6007597293</t>
        </is>
      </c>
      <c r="B142" s="13" t="n">
        <v>45739</v>
      </c>
      <c r="C142" t="inlineStr">
        <is>
          <t>51</t>
        </is>
      </c>
      <c r="D142" t="inlineStr">
        <is>
          <t>Descuentos Publ</t>
        </is>
      </c>
      <c r="E142" t="inlineStr">
        <is>
          <t>Acuerdo 0000233355</t>
        </is>
      </c>
      <c r="F142" t="inlineStr">
        <is>
          <t>Publicidad</t>
        </is>
      </c>
      <c r="G142" t="inlineStr">
        <is>
          <t>Acuerdo</t>
        </is>
      </c>
      <c r="H142" t="n">
        <v>3</v>
      </c>
      <c r="I142" t="n">
        <v>2025</v>
      </c>
      <c r="J142" t="inlineStr">
        <is>
          <t>34601466</t>
        </is>
      </c>
      <c r="K142" s="9" t="n">
        <v>-1201548</v>
      </c>
    </row>
    <row r="143">
      <c r="A143" t="inlineStr">
        <is>
          <t>6013007703</t>
        </is>
      </c>
      <c r="B143" s="13" t="n">
        <v>45747</v>
      </c>
      <c r="C143" t="inlineStr">
        <is>
          <t>51</t>
        </is>
      </c>
      <c r="D143" t="inlineStr">
        <is>
          <t>Descuentos Publ</t>
        </is>
      </c>
      <c r="E143" t="inlineStr">
        <is>
          <t>Acuerdo 0000233355</t>
        </is>
      </c>
      <c r="F143" t="inlineStr">
        <is>
          <t>Publicidad</t>
        </is>
      </c>
      <c r="G143" t="inlineStr">
        <is>
          <t>Acuerdo</t>
        </is>
      </c>
      <c r="H143" t="n">
        <v>3</v>
      </c>
      <c r="I143" t="n">
        <v>2025</v>
      </c>
      <c r="J143" t="inlineStr">
        <is>
          <t>34605366</t>
        </is>
      </c>
      <c r="K143" s="9" t="n">
        <v>-789435</v>
      </c>
    </row>
    <row r="144">
      <c r="A144" t="inlineStr">
        <is>
          <t>6017193774</t>
        </is>
      </c>
      <c r="B144" s="13" t="n">
        <v>45753</v>
      </c>
      <c r="C144" t="inlineStr">
        <is>
          <t>51</t>
        </is>
      </c>
      <c r="D144" t="inlineStr">
        <is>
          <t>Descuentos Publ</t>
        </is>
      </c>
      <c r="E144" t="inlineStr">
        <is>
          <t>Acuerdo 0000233355</t>
        </is>
      </c>
      <c r="F144" t="inlineStr">
        <is>
          <t>Publicidad</t>
        </is>
      </c>
      <c r="G144" t="inlineStr">
        <is>
          <t>Acuerdo</t>
        </is>
      </c>
      <c r="H144" t="n">
        <v>4</v>
      </c>
      <c r="I144" t="n">
        <v>2025</v>
      </c>
      <c r="J144" t="inlineStr">
        <is>
          <t>34607780</t>
        </is>
      </c>
      <c r="K144" s="9" t="n">
        <v>-305137</v>
      </c>
    </row>
    <row r="145">
      <c r="A145" t="inlineStr">
        <is>
          <t>6017225229</t>
        </is>
      </c>
      <c r="B145" s="13" t="n">
        <v>45753</v>
      </c>
      <c r="C145" t="inlineStr">
        <is>
          <t>51</t>
        </is>
      </c>
      <c r="D145" t="inlineStr">
        <is>
          <t>Ingreso por pub</t>
        </is>
      </c>
      <c r="E145" t="inlineStr">
        <is>
          <t>Acuerdo 0000234430</t>
        </is>
      </c>
      <c r="F145" t="inlineStr">
        <is>
          <t>Publicidad</t>
        </is>
      </c>
      <c r="G145" t="inlineStr">
        <is>
          <t>Acuerdo</t>
        </is>
      </c>
      <c r="H145" t="n">
        <v>4</v>
      </c>
      <c r="I145" t="n">
        <v>2025</v>
      </c>
      <c r="J145" t="inlineStr">
        <is>
          <t>34607883</t>
        </is>
      </c>
      <c r="K145" s="9" t="n">
        <v>-22432</v>
      </c>
    </row>
    <row r="146">
      <c r="A146" t="inlineStr">
        <is>
          <t>6021724516</t>
        </is>
      </c>
      <c r="B146" s="13" t="n">
        <v>45760</v>
      </c>
      <c r="C146" t="inlineStr">
        <is>
          <t>51</t>
        </is>
      </c>
      <c r="D146" t="inlineStr">
        <is>
          <t>Descuentos Publ</t>
        </is>
      </c>
      <c r="E146" t="inlineStr">
        <is>
          <t>Acuerdo 0000233355</t>
        </is>
      </c>
      <c r="F146" t="inlineStr">
        <is>
          <t>Publicidad</t>
        </is>
      </c>
      <c r="G146" t="inlineStr">
        <is>
          <t>Acuerdo</t>
        </is>
      </c>
      <c r="H146" t="n">
        <v>4</v>
      </c>
      <c r="I146" t="n">
        <v>2025</v>
      </c>
      <c r="J146" t="inlineStr">
        <is>
          <t>34979167</t>
        </is>
      </c>
      <c r="K146" s="9" t="n">
        <v>-260355</v>
      </c>
    </row>
    <row r="147">
      <c r="A147" t="inlineStr">
        <is>
          <t>6021724521</t>
        </is>
      </c>
      <c r="B147" s="13" t="n">
        <v>45760</v>
      </c>
      <c r="C147" t="inlineStr">
        <is>
          <t>51</t>
        </is>
      </c>
      <c r="D147" t="inlineStr">
        <is>
          <t>Descuentos Publ</t>
        </is>
      </c>
      <c r="E147" t="inlineStr">
        <is>
          <t>Acuerdo 0000233355</t>
        </is>
      </c>
      <c r="F147" t="inlineStr">
        <is>
          <t>Publicidad</t>
        </is>
      </c>
      <c r="G147" t="inlineStr">
        <is>
          <t>Acuerdo</t>
        </is>
      </c>
      <c r="H147" t="n">
        <v>4</v>
      </c>
      <c r="I147" t="n">
        <v>2025</v>
      </c>
      <c r="J147" t="inlineStr">
        <is>
          <t>34979168</t>
        </is>
      </c>
      <c r="K147" s="9" t="n">
        <v>-73843</v>
      </c>
    </row>
    <row r="148">
      <c r="A148" t="inlineStr">
        <is>
          <t>6021767872</t>
        </is>
      </c>
      <c r="B148" s="13" t="n">
        <v>45760</v>
      </c>
      <c r="C148" t="inlineStr">
        <is>
          <t>51</t>
        </is>
      </c>
      <c r="D148" t="inlineStr">
        <is>
          <t>Ingreso por pub</t>
        </is>
      </c>
      <c r="E148" t="inlineStr">
        <is>
          <t>Acuerdo 0000234430</t>
        </is>
      </c>
      <c r="F148" t="inlineStr">
        <is>
          <t>Publicidad</t>
        </is>
      </c>
      <c r="G148" t="inlineStr">
        <is>
          <t>Acuerdo</t>
        </is>
      </c>
      <c r="H148" t="n">
        <v>4</v>
      </c>
      <c r="I148" t="n">
        <v>2025</v>
      </c>
      <c r="J148" t="inlineStr">
        <is>
          <t>34979283</t>
        </is>
      </c>
      <c r="K148" s="9" t="n">
        <v>-22744</v>
      </c>
    </row>
    <row r="149">
      <c r="A149" t="inlineStr">
        <is>
          <t>6026006949</t>
        </is>
      </c>
      <c r="B149" s="13" t="n">
        <v>45767</v>
      </c>
      <c r="C149" t="inlineStr">
        <is>
          <t>51</t>
        </is>
      </c>
      <c r="D149" t="inlineStr">
        <is>
          <t>Descuentos Publ</t>
        </is>
      </c>
      <c r="E149" t="inlineStr">
        <is>
          <t>Acuerdo 0000233355</t>
        </is>
      </c>
      <c r="F149" t="inlineStr">
        <is>
          <t>Publicidad</t>
        </is>
      </c>
      <c r="G149" t="inlineStr">
        <is>
          <t>Acuerdo</t>
        </is>
      </c>
      <c r="H149" t="n">
        <v>4</v>
      </c>
      <c r="I149" t="n">
        <v>2025</v>
      </c>
      <c r="J149" t="inlineStr">
        <is>
          <t>34980764</t>
        </is>
      </c>
      <c r="K149" s="9" t="n">
        <v>-664797</v>
      </c>
    </row>
    <row r="150">
      <c r="A150" t="inlineStr">
        <is>
          <t>6030549310</t>
        </is>
      </c>
      <c r="B150" s="13" t="n">
        <v>45774</v>
      </c>
      <c r="C150" t="inlineStr">
        <is>
          <t>51</t>
        </is>
      </c>
      <c r="D150" t="inlineStr">
        <is>
          <t>Descuentos Publ</t>
        </is>
      </c>
      <c r="E150" t="inlineStr">
        <is>
          <t>Acuerdo 0000233355</t>
        </is>
      </c>
      <c r="F150" t="inlineStr">
        <is>
          <t>Publicidad</t>
        </is>
      </c>
      <c r="G150" t="inlineStr">
        <is>
          <t>Acuerdo</t>
        </is>
      </c>
      <c r="H150" t="n">
        <v>4</v>
      </c>
      <c r="I150" t="n">
        <v>2025</v>
      </c>
      <c r="J150" t="inlineStr">
        <is>
          <t>34984735</t>
        </is>
      </c>
      <c r="K150" s="9" t="n">
        <v>-1584526</v>
      </c>
    </row>
    <row r="151">
      <c r="A151" t="inlineStr">
        <is>
          <t>6032765145</t>
        </is>
      </c>
      <c r="B151" s="13" t="n">
        <v>45777</v>
      </c>
      <c r="C151" t="inlineStr">
        <is>
          <t>51</t>
        </is>
      </c>
      <c r="D151" t="inlineStr">
        <is>
          <t>Descuentos Publ</t>
        </is>
      </c>
      <c r="E151" t="inlineStr">
        <is>
          <t>Acuerdo 0000233355</t>
        </is>
      </c>
      <c r="F151" t="inlineStr">
        <is>
          <t>Publicidad</t>
        </is>
      </c>
      <c r="G151" t="inlineStr">
        <is>
          <t>Acuerdo</t>
        </is>
      </c>
      <c r="H151" t="n">
        <v>4</v>
      </c>
      <c r="I151" t="n">
        <v>2025</v>
      </c>
      <c r="J151" t="inlineStr">
        <is>
          <t>34986920</t>
        </is>
      </c>
      <c r="K151" s="9" t="n">
        <v>-629527</v>
      </c>
    </row>
    <row r="152">
      <c r="A152" t="inlineStr">
        <is>
          <t>6039644105</t>
        </is>
      </c>
      <c r="B152" s="13" t="n">
        <v>45788</v>
      </c>
      <c r="C152" t="inlineStr">
        <is>
          <t>51</t>
        </is>
      </c>
      <c r="D152" t="inlineStr">
        <is>
          <t>Descuentos Publ</t>
        </is>
      </c>
      <c r="E152" t="inlineStr">
        <is>
          <t>Acuerdo 0000233355</t>
        </is>
      </c>
      <c r="F152" t="inlineStr">
        <is>
          <t>Publicidad</t>
        </is>
      </c>
      <c r="G152" t="inlineStr">
        <is>
          <t>Acuerdo</t>
        </is>
      </c>
      <c r="H152" t="n">
        <v>5</v>
      </c>
      <c r="I152" t="n">
        <v>2025</v>
      </c>
      <c r="J152" t="inlineStr">
        <is>
          <t>34989906</t>
        </is>
      </c>
      <c r="K152" s="9" t="n">
        <v>-1334166</v>
      </c>
    </row>
    <row r="153">
      <c r="A153" t="inlineStr">
        <is>
          <t>6039711035</t>
        </is>
      </c>
      <c r="B153" s="13" t="n">
        <v>45788</v>
      </c>
      <c r="C153" t="inlineStr">
        <is>
          <t>51</t>
        </is>
      </c>
      <c r="D153" t="inlineStr">
        <is>
          <t>Ingreso por pub</t>
        </is>
      </c>
      <c r="E153" t="inlineStr">
        <is>
          <t>Acuerdo 0000234430</t>
        </is>
      </c>
      <c r="F153" t="inlineStr">
        <is>
          <t>Publicidad</t>
        </is>
      </c>
      <c r="G153" t="inlineStr">
        <is>
          <t>Acuerdo</t>
        </is>
      </c>
      <c r="H153" t="n">
        <v>5</v>
      </c>
      <c r="I153" t="n">
        <v>2025</v>
      </c>
      <c r="J153" t="inlineStr">
        <is>
          <t>34990068</t>
        </is>
      </c>
      <c r="K153" s="9" t="n">
        <v>-5753</v>
      </c>
    </row>
    <row r="154">
      <c r="A154" t="inlineStr">
        <is>
          <t>6043977997</t>
        </is>
      </c>
      <c r="B154" s="13" t="n">
        <v>45795</v>
      </c>
      <c r="C154" t="inlineStr">
        <is>
          <t>51</t>
        </is>
      </c>
      <c r="D154" t="inlineStr">
        <is>
          <t>Descuentos Publ</t>
        </is>
      </c>
      <c r="E154" t="inlineStr">
        <is>
          <t>Acuerdo 0000233355</t>
        </is>
      </c>
      <c r="F154" t="inlineStr">
        <is>
          <t>Publicidad</t>
        </is>
      </c>
      <c r="G154" t="inlineStr">
        <is>
          <t>Acuerdo</t>
        </is>
      </c>
      <c r="H154" t="n">
        <v>5</v>
      </c>
      <c r="I154" t="n">
        <v>2025</v>
      </c>
      <c r="J154" t="inlineStr">
        <is>
          <t>34992722</t>
        </is>
      </c>
      <c r="K154" s="9" t="n">
        <v>-1378558</v>
      </c>
    </row>
    <row r="155">
      <c r="A155" t="inlineStr">
        <is>
          <t>6048358097</t>
        </is>
      </c>
      <c r="B155" s="13" t="n">
        <v>45802</v>
      </c>
      <c r="C155" t="inlineStr">
        <is>
          <t>51</t>
        </is>
      </c>
      <c r="D155" t="inlineStr">
        <is>
          <t>Descuentos Publ</t>
        </is>
      </c>
      <c r="E155" t="inlineStr">
        <is>
          <t>Acuerdo 0000233355</t>
        </is>
      </c>
      <c r="F155" t="inlineStr">
        <is>
          <t>Publicidad</t>
        </is>
      </c>
      <c r="G155" t="inlineStr">
        <is>
          <t>Acuerdo</t>
        </is>
      </c>
      <c r="H155" t="n">
        <v>5</v>
      </c>
      <c r="I155" t="n">
        <v>2025</v>
      </c>
      <c r="J155" t="inlineStr">
        <is>
          <t>34994597</t>
        </is>
      </c>
      <c r="K155" s="9" t="n">
        <v>-980303</v>
      </c>
    </row>
    <row r="156">
      <c r="A156" t="inlineStr">
        <is>
          <t>6052451419</t>
        </is>
      </c>
      <c r="B156" s="13" t="n">
        <v>45808</v>
      </c>
      <c r="C156" t="inlineStr">
        <is>
          <t>51</t>
        </is>
      </c>
      <c r="D156" t="inlineStr">
        <is>
          <t>Descuentos Publ</t>
        </is>
      </c>
      <c r="E156" t="inlineStr">
        <is>
          <t>Acuerdo 0000233355</t>
        </is>
      </c>
      <c r="F156" t="inlineStr">
        <is>
          <t>Publicidad</t>
        </is>
      </c>
      <c r="G156" t="inlineStr">
        <is>
          <t>Acuerdo</t>
        </is>
      </c>
      <c r="H156" t="n">
        <v>5</v>
      </c>
      <c r="I156" t="n">
        <v>2025</v>
      </c>
      <c r="J156" t="inlineStr">
        <is>
          <t>34997025</t>
        </is>
      </c>
      <c r="K156" s="9" t="n">
        <v>-779117</v>
      </c>
    </row>
    <row r="157">
      <c r="A157" t="inlineStr">
        <is>
          <t>6057607961</t>
        </is>
      </c>
      <c r="B157" s="13" t="n">
        <v>45816</v>
      </c>
      <c r="C157" t="inlineStr">
        <is>
          <t>51</t>
        </is>
      </c>
      <c r="D157" t="inlineStr">
        <is>
          <t>Descuentos Publ</t>
        </is>
      </c>
      <c r="E157" t="inlineStr">
        <is>
          <t>Acuerdo 0000233355</t>
        </is>
      </c>
      <c r="F157" t="inlineStr">
        <is>
          <t>Publicidad</t>
        </is>
      </c>
      <c r="G157" t="inlineStr">
        <is>
          <t>Acuerdo</t>
        </is>
      </c>
      <c r="H157" t="n">
        <v>6</v>
      </c>
      <c r="I157" t="n">
        <v>2025</v>
      </c>
      <c r="J157" t="inlineStr">
        <is>
          <t>35585119</t>
        </is>
      </c>
      <c r="K157" s="9" t="n">
        <v>-1205128</v>
      </c>
    </row>
    <row r="158">
      <c r="A158" t="inlineStr">
        <is>
          <t>6062328291</t>
        </is>
      </c>
      <c r="B158" s="13" t="n">
        <v>45823</v>
      </c>
      <c r="C158" t="inlineStr">
        <is>
          <t>51</t>
        </is>
      </c>
      <c r="D158" t="inlineStr">
        <is>
          <t>Descuentos Publ</t>
        </is>
      </c>
      <c r="E158" t="inlineStr">
        <is>
          <t>Acuerdo 0000233355</t>
        </is>
      </c>
      <c r="F158" t="inlineStr">
        <is>
          <t>Publicidad</t>
        </is>
      </c>
      <c r="G158" t="inlineStr">
        <is>
          <t>Acuerdo</t>
        </is>
      </c>
      <c r="H158" t="n">
        <v>6</v>
      </c>
      <c r="I158" t="n">
        <v>2025</v>
      </c>
      <c r="J158" t="inlineStr">
        <is>
          <t>35587120</t>
        </is>
      </c>
      <c r="K158" s="9" t="n">
        <v>-1003140</v>
      </c>
    </row>
    <row r="159">
      <c r="A159" t="inlineStr">
        <is>
          <t>6066448052</t>
        </is>
      </c>
      <c r="B159" s="13" t="n">
        <v>45830</v>
      </c>
      <c r="C159" t="inlineStr">
        <is>
          <t>51</t>
        </is>
      </c>
      <c r="D159" t="inlineStr">
        <is>
          <t>Descuentos Publ</t>
        </is>
      </c>
      <c r="E159" t="inlineStr">
        <is>
          <t>Acuerdo 0000233355</t>
        </is>
      </c>
      <c r="F159" t="inlineStr">
        <is>
          <t>Publicidad</t>
        </is>
      </c>
      <c r="G159" t="inlineStr">
        <is>
          <t>Acuerdo</t>
        </is>
      </c>
      <c r="H159" t="n">
        <v>6</v>
      </c>
      <c r="I159" t="n">
        <v>2025</v>
      </c>
      <c r="J159" t="inlineStr">
        <is>
          <t>35589125</t>
        </is>
      </c>
      <c r="K159" s="9" t="n">
        <v>-935117</v>
      </c>
    </row>
    <row r="160">
      <c r="A160" t="inlineStr">
        <is>
          <t>6071584369</t>
        </is>
      </c>
      <c r="B160" s="13" t="n">
        <v>45838</v>
      </c>
      <c r="C160" t="inlineStr">
        <is>
          <t>51</t>
        </is>
      </c>
      <c r="D160" t="inlineStr">
        <is>
          <t>Descuentos Publ</t>
        </is>
      </c>
      <c r="E160" t="inlineStr">
        <is>
          <t>Acuerdo 0000233355</t>
        </is>
      </c>
      <c r="F160" t="inlineStr">
        <is>
          <t>Publicidad</t>
        </is>
      </c>
      <c r="G160" t="inlineStr">
        <is>
          <t>Acuerdo</t>
        </is>
      </c>
      <c r="H160" t="n">
        <v>6</v>
      </c>
      <c r="I160" t="n">
        <v>2025</v>
      </c>
      <c r="J160" t="inlineStr">
        <is>
          <t>35591712</t>
        </is>
      </c>
      <c r="K160" s="9" t="n">
        <v>-1232374</v>
      </c>
    </row>
    <row r="161">
      <c r="A161" t="inlineStr">
        <is>
          <t>6075554890</t>
        </is>
      </c>
      <c r="B161" s="13" t="n">
        <v>45844</v>
      </c>
      <c r="C161" t="inlineStr">
        <is>
          <t>51</t>
        </is>
      </c>
      <c r="D161" t="inlineStr">
        <is>
          <t>Descuentos Publ</t>
        </is>
      </c>
      <c r="E161" t="inlineStr">
        <is>
          <t>Acuerdo 0000233355</t>
        </is>
      </c>
      <c r="F161" t="inlineStr">
        <is>
          <t>Publicidad</t>
        </is>
      </c>
      <c r="G161" t="inlineStr">
        <is>
          <t>Acuerdo</t>
        </is>
      </c>
      <c r="H161" t="n">
        <v>7</v>
      </c>
      <c r="I161" t="n">
        <v>2025</v>
      </c>
      <c r="J161" t="inlineStr">
        <is>
          <t>35593587</t>
        </is>
      </c>
      <c r="K161" s="9" t="n">
        <v>-950527</v>
      </c>
    </row>
    <row r="162">
      <c r="A162" t="inlineStr">
        <is>
          <t>6079900882</t>
        </is>
      </c>
      <c r="B162" s="13" t="n">
        <v>45851</v>
      </c>
      <c r="C162" t="inlineStr">
        <is>
          <t>51</t>
        </is>
      </c>
      <c r="D162" t="inlineStr">
        <is>
          <t>Descuentos Publ</t>
        </is>
      </c>
      <c r="E162" t="inlineStr">
        <is>
          <t>Acuerdo 0000233355</t>
        </is>
      </c>
      <c r="F162" t="inlineStr">
        <is>
          <t>Publicidad</t>
        </is>
      </c>
      <c r="G162" t="inlineStr">
        <is>
          <t>Acuerdo</t>
        </is>
      </c>
      <c r="H162" t="n">
        <v>7</v>
      </c>
      <c r="I162" t="n">
        <v>2025</v>
      </c>
      <c r="J162" t="inlineStr">
        <is>
          <t>35595858</t>
        </is>
      </c>
      <c r="K162" s="9" t="n">
        <v>-1096531</v>
      </c>
    </row>
    <row r="163">
      <c r="A163" t="inlineStr">
        <is>
          <t>6084233851</t>
        </is>
      </c>
      <c r="B163" s="13" t="n">
        <v>45858</v>
      </c>
      <c r="C163" t="inlineStr">
        <is>
          <t>51</t>
        </is>
      </c>
      <c r="D163" t="inlineStr">
        <is>
          <t>Descuentos Publ</t>
        </is>
      </c>
      <c r="E163" t="inlineStr">
        <is>
          <t>Acuerdo 0000233355</t>
        </is>
      </c>
      <c r="F163" t="inlineStr">
        <is>
          <t>Publicidad</t>
        </is>
      </c>
      <c r="G163" t="inlineStr">
        <is>
          <t>Acuerdo</t>
        </is>
      </c>
      <c r="H163" t="n">
        <v>7</v>
      </c>
      <c r="I163" t="n">
        <v>2025</v>
      </c>
      <c r="J163" t="inlineStr">
        <is>
          <t>35598102</t>
        </is>
      </c>
      <c r="K163" s="9" t="n">
        <v>-1145630</v>
      </c>
    </row>
    <row r="164">
      <c r="A164" t="inlineStr">
        <is>
          <t>6088852459</t>
        </is>
      </c>
      <c r="B164" s="13" t="n">
        <v>45865</v>
      </c>
      <c r="C164" t="inlineStr">
        <is>
          <t>51</t>
        </is>
      </c>
      <c r="D164" t="inlineStr">
        <is>
          <t>Descuentos Publ</t>
        </is>
      </c>
      <c r="E164" t="inlineStr">
        <is>
          <t>Acuerdo 0000233355</t>
        </is>
      </c>
      <c r="F164" t="inlineStr">
        <is>
          <t>Publicidad</t>
        </is>
      </c>
      <c r="G164" t="inlineStr">
        <is>
          <t>Acuerdo</t>
        </is>
      </c>
      <c r="H164" t="n">
        <v>7</v>
      </c>
      <c r="I164" t="n">
        <v>2025</v>
      </c>
      <c r="J164" t="inlineStr">
        <is>
          <t>35820663</t>
        </is>
      </c>
      <c r="K164" s="9" t="n">
        <v>-1159117</v>
      </c>
    </row>
    <row r="165">
      <c r="A165" t="inlineStr">
        <is>
          <t>6088883946</t>
        </is>
      </c>
      <c r="B165" s="13" t="n">
        <v>45865</v>
      </c>
      <c r="C165" t="inlineStr">
        <is>
          <t>51</t>
        </is>
      </c>
      <c r="D165" t="inlineStr">
        <is>
          <t>Ingreso por pub</t>
        </is>
      </c>
      <c r="E165" t="inlineStr">
        <is>
          <t>Acuerdo 0000234430</t>
        </is>
      </c>
      <c r="F165" t="inlineStr">
        <is>
          <t>Publicidad</t>
        </is>
      </c>
      <c r="G165" t="inlineStr">
        <is>
          <t>Acuerdo</t>
        </is>
      </c>
      <c r="H165" t="n">
        <v>7</v>
      </c>
      <c r="I165" t="n">
        <v>2025</v>
      </c>
      <c r="J165" t="inlineStr">
        <is>
          <t>35820838</t>
        </is>
      </c>
      <c r="K165" s="9" t="n">
        <v>-16769</v>
      </c>
    </row>
    <row r="166">
      <c r="A166" t="inlineStr">
        <is>
          <t>6091683532</t>
        </is>
      </c>
      <c r="B166" s="13" t="n">
        <v>45869</v>
      </c>
      <c r="C166" t="inlineStr">
        <is>
          <t>51</t>
        </is>
      </c>
      <c r="D166" t="inlineStr">
        <is>
          <t>Descuentos Publ</t>
        </is>
      </c>
      <c r="E166" t="inlineStr">
        <is>
          <t>Acuerdo 0000233355</t>
        </is>
      </c>
      <c r="F166" t="inlineStr">
        <is>
          <t>Publicidad</t>
        </is>
      </c>
      <c r="G166" t="inlineStr">
        <is>
          <t>Acuerdo</t>
        </is>
      </c>
      <c r="H166" t="n">
        <v>7</v>
      </c>
      <c r="I166" t="n">
        <v>2025</v>
      </c>
      <c r="J166" t="inlineStr">
        <is>
          <t>35822990</t>
        </is>
      </c>
      <c r="K166" s="9" t="n">
        <v>-367078</v>
      </c>
    </row>
    <row r="167">
      <c r="A167" t="inlineStr">
        <is>
          <t>6097944884</t>
        </is>
      </c>
      <c r="B167" s="13" t="n">
        <v>45879</v>
      </c>
      <c r="C167" t="inlineStr">
        <is>
          <t>51</t>
        </is>
      </c>
      <c r="D167" t="inlineStr">
        <is>
          <t>Descuentos Publ</t>
        </is>
      </c>
      <c r="E167" t="inlineStr">
        <is>
          <t>Acuerdo 0000233355</t>
        </is>
      </c>
      <c r="F167" t="inlineStr">
        <is>
          <t>Publicidad</t>
        </is>
      </c>
      <c r="G167" t="inlineStr">
        <is>
          <t>Acuerdo</t>
        </is>
      </c>
      <c r="H167" t="n">
        <v>8</v>
      </c>
      <c r="I167" t="n">
        <v>2025</v>
      </c>
      <c r="J167" t="inlineStr">
        <is>
          <t>35825839</t>
        </is>
      </c>
      <c r="K167" s="9" t="n">
        <v>-2512048</v>
      </c>
    </row>
    <row r="168">
      <c r="A168" t="inlineStr">
        <is>
          <t>6102119527</t>
        </is>
      </c>
      <c r="B168" s="13" t="n">
        <v>45886</v>
      </c>
      <c r="C168" t="inlineStr">
        <is>
          <t>51</t>
        </is>
      </c>
      <c r="D168" t="inlineStr">
        <is>
          <t>Descuentos Publ</t>
        </is>
      </c>
      <c r="E168" t="inlineStr">
        <is>
          <t>Acuerdo 0000233355</t>
        </is>
      </c>
      <c r="F168" t="inlineStr">
        <is>
          <t>Publicidad</t>
        </is>
      </c>
      <c r="G168" t="inlineStr">
        <is>
          <t>Acuerdo</t>
        </is>
      </c>
      <c r="H168" t="n">
        <v>8</v>
      </c>
      <c r="I168" t="n">
        <v>2025</v>
      </c>
      <c r="J168" t="inlineStr">
        <is>
          <t>35827972</t>
        </is>
      </c>
      <c r="K168" s="9" t="n">
        <v>-905664</v>
      </c>
    </row>
    <row r="169">
      <c r="A169" t="inlineStr">
        <is>
          <t>6106518705</t>
        </is>
      </c>
      <c r="B169" s="13" t="n">
        <v>45893</v>
      </c>
      <c r="C169" t="inlineStr">
        <is>
          <t>51</t>
        </is>
      </c>
      <c r="D169" t="inlineStr">
        <is>
          <t>Descuentos Publ</t>
        </is>
      </c>
      <c r="E169" t="inlineStr">
        <is>
          <t>Acuerdo 0000233355</t>
        </is>
      </c>
      <c r="F169" t="inlineStr">
        <is>
          <t>Publicidad</t>
        </is>
      </c>
      <c r="G169" t="inlineStr">
        <is>
          <t>Acuerdo</t>
        </is>
      </c>
      <c r="H169" t="n">
        <v>8</v>
      </c>
      <c r="I169" t="n">
        <v>2025</v>
      </c>
      <c r="J169" t="inlineStr">
        <is>
          <t>35830085</t>
        </is>
      </c>
      <c r="K169" s="9" t="n">
        <v>-1345640</v>
      </c>
    </row>
    <row r="170">
      <c r="A170" t="inlineStr">
        <is>
          <t>6111431262</t>
        </is>
      </c>
      <c r="B170" s="13" t="n">
        <v>45900</v>
      </c>
      <c r="C170" t="inlineStr">
        <is>
          <t>51</t>
        </is>
      </c>
      <c r="D170" t="inlineStr">
        <is>
          <t>Descuentos Publ</t>
        </is>
      </c>
      <c r="E170" t="inlineStr">
        <is>
          <t>Acuerdo 0000233355</t>
        </is>
      </c>
      <c r="F170" t="inlineStr">
        <is>
          <t>Publicidad</t>
        </is>
      </c>
      <c r="G170" t="inlineStr">
        <is>
          <t>Acuerdo</t>
        </is>
      </c>
      <c r="H170" t="n">
        <v>8</v>
      </c>
      <c r="I170" t="n">
        <v>2025</v>
      </c>
      <c r="J170" t="inlineStr">
        <is>
          <t>35832755</t>
        </is>
      </c>
      <c r="K170" s="9" t="n">
        <v>-1117722</v>
      </c>
    </row>
    <row r="171">
      <c r="A171" t="inlineStr">
        <is>
          <t>6115824079</t>
        </is>
      </c>
      <c r="B171" s="13" t="n">
        <v>45907</v>
      </c>
      <c r="C171" t="inlineStr">
        <is>
          <t>51</t>
        </is>
      </c>
      <c r="D171" t="inlineStr">
        <is>
          <t>Descuentos Publ</t>
        </is>
      </c>
      <c r="E171" t="inlineStr">
        <is>
          <t>Acuerdo 0000233355</t>
        </is>
      </c>
      <c r="F171" t="inlineStr">
        <is>
          <t>Publicidad</t>
        </is>
      </c>
      <c r="G171" t="inlineStr">
        <is>
          <t>Acuerdo</t>
        </is>
      </c>
      <c r="H171" t="n">
        <v>9</v>
      </c>
      <c r="I171" t="n">
        <v>2025</v>
      </c>
      <c r="J171" t="inlineStr">
        <is>
          <t>36155096</t>
        </is>
      </c>
      <c r="K171" s="9" t="n">
        <v>-949358</v>
      </c>
    </row>
    <row r="172">
      <c r="A172" t="inlineStr">
        <is>
          <t>6120163751</t>
        </is>
      </c>
      <c r="B172" s="13" t="n">
        <v>45914</v>
      </c>
      <c r="C172" t="inlineStr">
        <is>
          <t>51</t>
        </is>
      </c>
      <c r="D172" t="inlineStr">
        <is>
          <t>Descuentos Publ</t>
        </is>
      </c>
      <c r="E172" t="inlineStr">
        <is>
          <t>Acuerdo 0000233355</t>
        </is>
      </c>
      <c r="F172" t="inlineStr">
        <is>
          <t>Publicidad</t>
        </is>
      </c>
      <c r="G172" t="inlineStr">
        <is>
          <t>Acuerdo</t>
        </is>
      </c>
      <c r="H172" t="n">
        <v>9</v>
      </c>
      <c r="I172" t="n">
        <v>2025</v>
      </c>
      <c r="J172" t="inlineStr">
        <is>
          <t>36157565</t>
        </is>
      </c>
      <c r="K172" s="9" t="n">
        <v>-936443</v>
      </c>
    </row>
    <row r="173">
      <c r="A173" t="inlineStr">
        <is>
          <t>6124374731</t>
        </is>
      </c>
      <c r="B173" s="13" t="n">
        <v>45921</v>
      </c>
      <c r="C173" t="inlineStr">
        <is>
          <t>51</t>
        </is>
      </c>
      <c r="D173" t="inlineStr">
        <is>
          <t>Descuentos Publ</t>
        </is>
      </c>
      <c r="E173" t="inlineStr">
        <is>
          <t>Acuerdo 0000233355</t>
        </is>
      </c>
      <c r="F173" t="inlineStr">
        <is>
          <t>Publicidad</t>
        </is>
      </c>
      <c r="G173" t="inlineStr">
        <is>
          <t>Acuerdo</t>
        </is>
      </c>
      <c r="H173" t="n">
        <v>9</v>
      </c>
      <c r="I173" t="n">
        <v>2025</v>
      </c>
      <c r="J173" t="inlineStr">
        <is>
          <t>36158857</t>
        </is>
      </c>
      <c r="K173" s="9" t="n">
        <v>-247965</v>
      </c>
    </row>
    <row r="174">
      <c r="A174" t="inlineStr">
        <is>
          <t>6130639262</t>
        </is>
      </c>
      <c r="B174" s="13" t="n">
        <v>45930</v>
      </c>
      <c r="C174" t="inlineStr">
        <is>
          <t>51</t>
        </is>
      </c>
      <c r="D174" t="inlineStr">
        <is>
          <t>Descuentos Publ</t>
        </is>
      </c>
      <c r="E174" t="inlineStr">
        <is>
          <t>Acuerdo 0000233355</t>
        </is>
      </c>
      <c r="F174" t="inlineStr">
        <is>
          <t>Publicidad</t>
        </is>
      </c>
      <c r="G174" t="inlineStr">
        <is>
          <t>Acuerdo</t>
        </is>
      </c>
      <c r="H174" t="n">
        <v>9</v>
      </c>
      <c r="I174" t="n">
        <v>2025</v>
      </c>
      <c r="J174" t="inlineStr">
        <is>
          <t>36161667</t>
        </is>
      </c>
      <c r="K174" s="9" t="n">
        <v>-2169607</v>
      </c>
    </row>
    <row r="175">
      <c r="A175" t="inlineStr">
        <is>
          <t>6130639265</t>
        </is>
      </c>
      <c r="B175" s="13" t="n">
        <v>45930</v>
      </c>
      <c r="C175" t="inlineStr">
        <is>
          <t>51</t>
        </is>
      </c>
      <c r="D175" t="inlineStr">
        <is>
          <t>Descuentos Publ</t>
        </is>
      </c>
      <c r="E175" t="inlineStr">
        <is>
          <t>Acuerdo 0000233355</t>
        </is>
      </c>
      <c r="F175" t="inlineStr">
        <is>
          <t>Publicidad</t>
        </is>
      </c>
      <c r="G175" t="inlineStr">
        <is>
          <t>Acuerdo</t>
        </is>
      </c>
      <c r="H175" t="n">
        <v>9</v>
      </c>
      <c r="I175" t="n">
        <v>2025</v>
      </c>
      <c r="J175" t="inlineStr">
        <is>
          <t>36161668</t>
        </is>
      </c>
      <c r="K175" s="9" t="n">
        <v>-86480</v>
      </c>
    </row>
    <row r="176">
      <c r="A176" t="inlineStr">
        <is>
          <t>6134027344</t>
        </is>
      </c>
      <c r="B176" s="13" t="n">
        <v>45935</v>
      </c>
      <c r="C176" t="inlineStr">
        <is>
          <t>51</t>
        </is>
      </c>
      <c r="D176" t="inlineStr">
        <is>
          <t>Descuentos Publ</t>
        </is>
      </c>
      <c r="E176" t="inlineStr">
        <is>
          <t>Acuerdo 0000233355</t>
        </is>
      </c>
      <c r="F176" t="inlineStr">
        <is>
          <t>Publicidad</t>
        </is>
      </c>
      <c r="G176" t="inlineStr">
        <is>
          <t>Acuerdo</t>
        </is>
      </c>
      <c r="H176" t="n">
        <v>10</v>
      </c>
      <c r="I176" t="n">
        <v>2025</v>
      </c>
      <c r="J176" t="inlineStr">
        <is>
          <t>36313938</t>
        </is>
      </c>
      <c r="K176" s="9" t="n">
        <v>-235520</v>
      </c>
    </row>
    <row r="177">
      <c r="A177" t="inlineStr">
        <is>
          <t>6138548567</t>
        </is>
      </c>
      <c r="B177" s="13" t="n">
        <v>45942</v>
      </c>
      <c r="C177" t="inlineStr">
        <is>
          <t>51</t>
        </is>
      </c>
      <c r="D177" t="inlineStr">
        <is>
          <t>Descuentos Publ</t>
        </is>
      </c>
      <c r="E177" t="inlineStr">
        <is>
          <t>Acuerdo 0000233355</t>
        </is>
      </c>
      <c r="F177" t="inlineStr">
        <is>
          <t>Publicidad</t>
        </is>
      </c>
      <c r="G177" t="inlineStr">
        <is>
          <t>Acuerdo</t>
        </is>
      </c>
      <c r="H177" t="n">
        <v>10</v>
      </c>
      <c r="I177" t="n">
        <v>2025</v>
      </c>
      <c r="J177" t="inlineStr">
        <is>
          <t>36322753</t>
        </is>
      </c>
      <c r="K177" s="9" t="n">
        <v>-947960</v>
      </c>
    </row>
    <row r="178">
      <c r="A178" t="inlineStr">
        <is>
          <t>6143610787</t>
        </is>
      </c>
      <c r="B178" s="13" t="n">
        <v>45949</v>
      </c>
      <c r="C178" t="inlineStr">
        <is>
          <t>51</t>
        </is>
      </c>
      <c r="D178" t="inlineStr">
        <is>
          <t>Descuentos Publ</t>
        </is>
      </c>
      <c r="E178" t="inlineStr">
        <is>
          <t>Acuerdo 0000233355</t>
        </is>
      </c>
      <c r="F178" t="inlineStr">
        <is>
          <t>Publicidad</t>
        </is>
      </c>
      <c r="G178" t="inlineStr">
        <is>
          <t>Acuerdo</t>
        </is>
      </c>
      <c r="H178" t="n">
        <v>10</v>
      </c>
      <c r="I178" t="n">
        <v>2025</v>
      </c>
      <c r="J178" t="inlineStr">
        <is>
          <t>36525001</t>
        </is>
      </c>
      <c r="K178" s="9" t="n">
        <v>-865004</v>
      </c>
    </row>
    <row r="179">
      <c r="A179" t="inlineStr">
        <is>
          <t>6143610791</t>
        </is>
      </c>
      <c r="B179" s="13" t="n">
        <v>45949</v>
      </c>
      <c r="C179" t="inlineStr">
        <is>
          <t>51</t>
        </is>
      </c>
      <c r="D179" t="inlineStr">
        <is>
          <t>Descuentos Publ</t>
        </is>
      </c>
      <c r="E179" t="inlineStr">
        <is>
          <t>Acuerdo 0000233355</t>
        </is>
      </c>
      <c r="F179" t="inlineStr">
        <is>
          <t>Publicidad</t>
        </is>
      </c>
      <c r="G179" t="inlineStr">
        <is>
          <t>Acuerdo</t>
        </is>
      </c>
      <c r="H179" t="n">
        <v>10</v>
      </c>
      <c r="I179" t="n">
        <v>2025</v>
      </c>
      <c r="J179" t="inlineStr">
        <is>
          <t>36525002</t>
        </is>
      </c>
      <c r="K179" s="9" t="n">
        <v>-52330</v>
      </c>
    </row>
    <row r="180">
      <c r="A180" t="inlineStr">
        <is>
          <t>6148311508</t>
        </is>
      </c>
      <c r="B180" s="13" t="n">
        <v>45956</v>
      </c>
      <c r="C180" t="inlineStr">
        <is>
          <t>51</t>
        </is>
      </c>
      <c r="D180" t="inlineStr">
        <is>
          <t>Descuentos Publ</t>
        </is>
      </c>
      <c r="E180" t="inlineStr">
        <is>
          <t>Acuerdo 0000233355</t>
        </is>
      </c>
      <c r="F180" t="inlineStr">
        <is>
          <t>Publicidad</t>
        </is>
      </c>
      <c r="G180" t="inlineStr">
        <is>
          <t>Acuerdo</t>
        </is>
      </c>
      <c r="H180" t="n">
        <v>10</v>
      </c>
      <c r="I180" t="n">
        <v>2025</v>
      </c>
      <c r="J180" t="inlineStr">
        <is>
          <t>36527056</t>
        </is>
      </c>
      <c r="K180" s="9" t="n">
        <v>-1121618</v>
      </c>
    </row>
    <row r="181">
      <c r="A181" t="inlineStr">
        <is>
          <t>6152045996</t>
        </is>
      </c>
      <c r="B181" s="13" t="n">
        <v>45961</v>
      </c>
      <c r="C181" t="inlineStr">
        <is>
          <t>51</t>
        </is>
      </c>
      <c r="D181" t="inlineStr">
        <is>
          <t>Descuentos Publ</t>
        </is>
      </c>
      <c r="E181" t="inlineStr">
        <is>
          <t>Acuerdo 0000233355</t>
        </is>
      </c>
      <c r="F181" t="inlineStr">
        <is>
          <t>Publicidad</t>
        </is>
      </c>
      <c r="G181" t="inlineStr">
        <is>
          <t>Acuerdo</t>
        </is>
      </c>
      <c r="H181" t="n">
        <v>10</v>
      </c>
      <c r="I181" t="n">
        <v>2025</v>
      </c>
      <c r="J181" t="inlineStr">
        <is>
          <t>36529398</t>
        </is>
      </c>
      <c r="K181" s="9" t="n">
        <v>-391950</v>
      </c>
    </row>
    <row r="182">
      <c r="A182" t="inlineStr">
        <is>
          <t>6157735119</t>
        </is>
      </c>
      <c r="B182" s="13" t="n">
        <v>45970</v>
      </c>
      <c r="C182" t="inlineStr">
        <is>
          <t>51</t>
        </is>
      </c>
      <c r="D182" t="inlineStr">
        <is>
          <t>Descuentos Publ</t>
        </is>
      </c>
      <c r="E182" t="inlineStr">
        <is>
          <t>Acuerdo 0000233355</t>
        </is>
      </c>
      <c r="F182" t="inlineStr">
        <is>
          <t>Publicidad</t>
        </is>
      </c>
      <c r="G182" t="inlineStr">
        <is>
          <t>Acuerdo</t>
        </is>
      </c>
      <c r="H182" t="n">
        <v>11</v>
      </c>
      <c r="I182" t="n">
        <v>2025</v>
      </c>
      <c r="J182" t="inlineStr">
        <is>
          <t>36531686</t>
        </is>
      </c>
      <c r="K182" s="9" t="n">
        <v>-1043736</v>
      </c>
    </row>
    <row r="183">
      <c r="A183" t="inlineStr">
        <is>
          <t>6162003131</t>
        </is>
      </c>
      <c r="B183" s="13" t="n">
        <v>45977</v>
      </c>
      <c r="C183" t="inlineStr">
        <is>
          <t>51</t>
        </is>
      </c>
      <c r="D183" t="inlineStr">
        <is>
          <t>Descuentos Publ</t>
        </is>
      </c>
      <c r="E183" t="inlineStr">
        <is>
          <t>Acuerdo 0000233355</t>
        </is>
      </c>
      <c r="F183" t="inlineStr">
        <is>
          <t>Publicidad</t>
        </is>
      </c>
      <c r="G183" t="inlineStr">
        <is>
          <t>Acuerdo</t>
        </is>
      </c>
      <c r="H183" t="n">
        <v>11</v>
      </c>
      <c r="I183" t="n">
        <v>2025</v>
      </c>
      <c r="J183" t="inlineStr">
        <is>
          <t>36533717</t>
        </is>
      </c>
      <c r="K183" s="9" t="n">
        <v>-270059</v>
      </c>
    </row>
    <row r="184">
      <c r="A184" t="inlineStr">
        <is>
          <t>6166714397</t>
        </is>
      </c>
      <c r="B184" s="13" t="n">
        <v>45984</v>
      </c>
      <c r="C184" t="inlineStr">
        <is>
          <t>51</t>
        </is>
      </c>
      <c r="D184" t="inlineStr">
        <is>
          <t>Descuentos Publ</t>
        </is>
      </c>
      <c r="E184" t="inlineStr">
        <is>
          <t>Acuerdo 0000233355</t>
        </is>
      </c>
      <c r="F184" t="inlineStr">
        <is>
          <t>Publicidad</t>
        </is>
      </c>
      <c r="G184" t="inlineStr">
        <is>
          <t>Acuerdo</t>
        </is>
      </c>
      <c r="H184" t="n">
        <v>11</v>
      </c>
      <c r="I184" t="n">
        <v>2025</v>
      </c>
      <c r="J184" t="inlineStr">
        <is>
          <t>36736309</t>
        </is>
      </c>
      <c r="K184" s="9" t="n">
        <v>-4201354</v>
      </c>
    </row>
    <row r="185">
      <c r="A185" t="inlineStr">
        <is>
          <t>6173512025</t>
        </is>
      </c>
      <c r="B185" s="13" t="n">
        <v>45991</v>
      </c>
      <c r="C185" t="inlineStr">
        <is>
          <t>51</t>
        </is>
      </c>
      <c r="D185" t="inlineStr">
        <is>
          <t>Descuentos Publ</t>
        </is>
      </c>
      <c r="E185" t="inlineStr">
        <is>
          <t>Acuerdo 0000233355</t>
        </is>
      </c>
      <c r="F185" t="inlineStr">
        <is>
          <t>Publicidad</t>
        </is>
      </c>
      <c r="G185" t="inlineStr">
        <is>
          <t>Acuerdo</t>
        </is>
      </c>
      <c r="H185" t="n">
        <v>11</v>
      </c>
      <c r="I185" t="n">
        <v>2025</v>
      </c>
      <c r="J185" t="inlineStr">
        <is>
          <t>36741343</t>
        </is>
      </c>
      <c r="K185" s="9" t="n">
        <v>-1102229</v>
      </c>
    </row>
    <row r="186">
      <c r="A186" t="inlineStr">
        <is>
          <t>6173521846</t>
        </is>
      </c>
      <c r="B186" s="13" t="n">
        <v>45991</v>
      </c>
      <c r="C186" t="inlineStr">
        <is>
          <t>51</t>
        </is>
      </c>
      <c r="D186" t="inlineStr">
        <is>
          <t>Ingreso por pub</t>
        </is>
      </c>
      <c r="E186" t="inlineStr">
        <is>
          <t>Acuerdo 0000234430</t>
        </is>
      </c>
      <c r="F186" t="inlineStr">
        <is>
          <t>Publicidad</t>
        </is>
      </c>
      <c r="G186" t="inlineStr">
        <is>
          <t>Acuerdo</t>
        </is>
      </c>
      <c r="H186" t="n">
        <v>11</v>
      </c>
      <c r="I186" t="n">
        <v>2025</v>
      </c>
      <c r="J186" t="inlineStr">
        <is>
          <t>36741537</t>
        </is>
      </c>
      <c r="K186" s="9" t="n">
        <v>-159489</v>
      </c>
    </row>
    <row r="187">
      <c r="A187" t="inlineStr">
        <is>
          <t>6178868558</t>
        </is>
      </c>
      <c r="B187" s="13" t="n">
        <v>45998</v>
      </c>
      <c r="C187" t="inlineStr">
        <is>
          <t>51</t>
        </is>
      </c>
      <c r="D187" t="inlineStr">
        <is>
          <t>Ingreso por pub</t>
        </is>
      </c>
      <c r="E187" t="inlineStr">
        <is>
          <t>Acuerdo 0000234430</t>
        </is>
      </c>
      <c r="F187" t="inlineStr">
        <is>
          <t>Publicidad</t>
        </is>
      </c>
      <c r="G187" t="inlineStr">
        <is>
          <t>Acuerdo</t>
        </is>
      </c>
      <c r="H187" t="n">
        <v>12</v>
      </c>
      <c r="I187" t="n">
        <v>2025</v>
      </c>
      <c r="J187" t="inlineStr">
        <is>
          <t>36746033</t>
        </is>
      </c>
      <c r="K187" s="9" t="n">
        <v>-6887</v>
      </c>
    </row>
    <row r="188">
      <c r="A188" t="inlineStr">
        <is>
          <t>6183504394</t>
        </is>
      </c>
      <c r="B188" s="13" t="n">
        <v>46005</v>
      </c>
      <c r="C188" t="inlineStr">
        <is>
          <t>51</t>
        </is>
      </c>
      <c r="D188" t="inlineStr">
        <is>
          <t>Descuentos Publ</t>
        </is>
      </c>
      <c r="E188" t="inlineStr">
        <is>
          <t>Acuerdo 0000233355</t>
        </is>
      </c>
      <c r="F188" t="inlineStr">
        <is>
          <t>Publicidad</t>
        </is>
      </c>
      <c r="G188" t="inlineStr">
        <is>
          <t>Acuerdo</t>
        </is>
      </c>
      <c r="H188" t="n">
        <v>12</v>
      </c>
      <c r="I188" t="n">
        <v>2025</v>
      </c>
      <c r="J188" t="inlineStr">
        <is>
          <t>36747875</t>
        </is>
      </c>
      <c r="K188" s="9" t="n">
        <v>-12672</v>
      </c>
    </row>
    <row r="189">
      <c r="A189" t="inlineStr">
        <is>
          <t>6188517035</t>
        </is>
      </c>
      <c r="B189" s="13" t="n">
        <v>46012</v>
      </c>
      <c r="C189" t="inlineStr">
        <is>
          <t>51</t>
        </is>
      </c>
      <c r="D189" t="inlineStr">
        <is>
          <t>Descuentos Publ</t>
        </is>
      </c>
      <c r="E189" t="inlineStr">
        <is>
          <t>Acuerdo 0000233355</t>
        </is>
      </c>
      <c r="F189" t="inlineStr">
        <is>
          <t>Publicidad</t>
        </is>
      </c>
      <c r="G189" t="inlineStr">
        <is>
          <t>Acuerdo</t>
        </is>
      </c>
      <c r="H189" t="n">
        <v>12</v>
      </c>
      <c r="I189" t="n">
        <v>2025</v>
      </c>
      <c r="J189" t="inlineStr">
        <is>
          <t>36749782</t>
        </is>
      </c>
      <c r="K189" s="9" t="n">
        <v>-442605</v>
      </c>
    </row>
    <row r="190">
      <c r="A190" t="inlineStr">
        <is>
          <t>6193213551</t>
        </is>
      </c>
      <c r="B190" s="13" t="n">
        <v>46019</v>
      </c>
      <c r="C190" t="inlineStr">
        <is>
          <t>51</t>
        </is>
      </c>
      <c r="D190" t="inlineStr">
        <is>
          <t>Descuentos Publ</t>
        </is>
      </c>
      <c r="E190" t="inlineStr">
        <is>
          <t>Acuerdo 0000233355</t>
        </is>
      </c>
      <c r="F190" t="inlineStr">
        <is>
          <t>Publicidad</t>
        </is>
      </c>
      <c r="G190" t="inlineStr">
        <is>
          <t>Acuerdo</t>
        </is>
      </c>
      <c r="H190" t="n">
        <v>12</v>
      </c>
      <c r="I190" t="n">
        <v>2025</v>
      </c>
      <c r="J190" t="inlineStr">
        <is>
          <t>36751813</t>
        </is>
      </c>
      <c r="K190" s="9" t="n">
        <v>-805482</v>
      </c>
    </row>
    <row r="191">
      <c r="A191" t="inlineStr">
        <is>
          <t>6196548135</t>
        </is>
      </c>
      <c r="B191" s="13" t="n">
        <v>46022</v>
      </c>
      <c r="C191" t="inlineStr">
        <is>
          <t>51</t>
        </is>
      </c>
      <c r="D191" t="inlineStr">
        <is>
          <t>Descuentos Publ</t>
        </is>
      </c>
      <c r="E191" t="inlineStr">
        <is>
          <t>Acuerdo 0000233355</t>
        </is>
      </c>
      <c r="F191" t="inlineStr">
        <is>
          <t>Publicidad</t>
        </is>
      </c>
      <c r="G191" t="inlineStr">
        <is>
          <t>Acuerdo</t>
        </is>
      </c>
      <c r="H191" t="n">
        <v>12</v>
      </c>
      <c r="I191" t="n">
        <v>2025</v>
      </c>
      <c r="J191" t="inlineStr">
        <is>
          <t>36753630</t>
        </is>
      </c>
      <c r="K191" s="9" t="n">
        <v>-75384</v>
      </c>
    </row>
    <row r="192">
      <c r="A192" t="inlineStr">
        <is>
          <t>6196548135</t>
        </is>
      </c>
      <c r="B192" s="13" t="n">
        <v>46022</v>
      </c>
      <c r="C192" t="inlineStr">
        <is>
          <t>51</t>
        </is>
      </c>
      <c r="D192" t="inlineStr">
        <is>
          <t>Descuentos Publ</t>
        </is>
      </c>
      <c r="E192" t="inlineStr">
        <is>
          <t>Acuerdo 0000233355</t>
        </is>
      </c>
      <c r="F192" t="inlineStr">
        <is>
          <t>Publicidad</t>
        </is>
      </c>
      <c r="G192" t="inlineStr">
        <is>
          <t>Acuerdo</t>
        </is>
      </c>
      <c r="H192" t="n">
        <v>12</v>
      </c>
      <c r="I192" t="n">
        <v>2025</v>
      </c>
      <c r="J192" t="inlineStr">
        <is>
          <t>36753630</t>
        </is>
      </c>
      <c r="K192" s="9" t="n">
        <v>-89964</v>
      </c>
    </row>
    <row r="193">
      <c r="A193" t="inlineStr">
        <is>
          <t>6196548135</t>
        </is>
      </c>
      <c r="B193" s="13" t="n">
        <v>46022</v>
      </c>
      <c r="C193" t="inlineStr">
        <is>
          <t>51</t>
        </is>
      </c>
      <c r="D193" t="inlineStr">
        <is>
          <t>Descuentos Publ</t>
        </is>
      </c>
      <c r="E193" t="inlineStr">
        <is>
          <t>Acuerdo 0000233355</t>
        </is>
      </c>
      <c r="F193" t="inlineStr">
        <is>
          <t>Publicidad</t>
        </is>
      </c>
      <c r="G193" t="inlineStr">
        <is>
          <t>Acuerdo</t>
        </is>
      </c>
      <c r="H193" t="n">
        <v>12</v>
      </c>
      <c r="I193" t="n">
        <v>2025</v>
      </c>
      <c r="J193" t="inlineStr">
        <is>
          <t>36753630</t>
        </is>
      </c>
      <c r="K193" s="9" t="n">
        <v>-66241</v>
      </c>
    </row>
    <row r="194">
      <c r="A194" t="inlineStr">
        <is>
          <t>6196548135</t>
        </is>
      </c>
      <c r="B194" s="13" t="n">
        <v>46022</v>
      </c>
      <c r="C194" t="inlineStr">
        <is>
          <t>51</t>
        </is>
      </c>
      <c r="D194" t="inlineStr">
        <is>
          <t>Descuentos Publ</t>
        </is>
      </c>
      <c r="E194" t="inlineStr">
        <is>
          <t>Acuerdo 0000233355</t>
        </is>
      </c>
      <c r="F194" t="inlineStr">
        <is>
          <t>Publicidad</t>
        </is>
      </c>
      <c r="G194" t="inlineStr">
        <is>
          <t>Acuerdo</t>
        </is>
      </c>
      <c r="H194" t="n">
        <v>12</v>
      </c>
      <c r="I194" t="n">
        <v>2025</v>
      </c>
      <c r="J194" t="inlineStr">
        <is>
          <t>36753630</t>
        </is>
      </c>
      <c r="K194" s="9" t="n">
        <v>-114307</v>
      </c>
    </row>
    <row r="195">
      <c r="A195" t="inlineStr">
        <is>
          <t>6196548135</t>
        </is>
      </c>
      <c r="B195" s="13" t="n">
        <v>46022</v>
      </c>
      <c r="C195" t="inlineStr">
        <is>
          <t>51</t>
        </is>
      </c>
      <c r="D195" t="inlineStr">
        <is>
          <t>Descuentos Publ</t>
        </is>
      </c>
      <c r="E195" t="inlineStr">
        <is>
          <t>Acuerdo 0000233355</t>
        </is>
      </c>
      <c r="F195" t="inlineStr">
        <is>
          <t>Publicidad</t>
        </is>
      </c>
      <c r="G195" t="inlineStr">
        <is>
          <t>Acuerdo</t>
        </is>
      </c>
      <c r="H195" t="n">
        <v>12</v>
      </c>
      <c r="I195" t="n">
        <v>2025</v>
      </c>
      <c r="J195" t="inlineStr">
        <is>
          <t>36753630</t>
        </is>
      </c>
      <c r="K195" s="9" t="n">
        <v>-117186</v>
      </c>
    </row>
    <row r="196">
      <c r="A196" t="inlineStr">
        <is>
          <t>6196548135</t>
        </is>
      </c>
      <c r="B196" s="13" t="n">
        <v>46022</v>
      </c>
      <c r="C196" t="inlineStr">
        <is>
          <t>51</t>
        </is>
      </c>
      <c r="D196" t="inlineStr">
        <is>
          <t>Descuentos Publ</t>
        </is>
      </c>
      <c r="E196" t="inlineStr">
        <is>
          <t>Acuerdo 0000233355</t>
        </is>
      </c>
      <c r="F196" t="inlineStr">
        <is>
          <t>Publicidad</t>
        </is>
      </c>
      <c r="G196" t="inlineStr">
        <is>
          <t>Acuerdo</t>
        </is>
      </c>
      <c r="H196" t="n">
        <v>12</v>
      </c>
      <c r="I196" t="n">
        <v>2025</v>
      </c>
      <c r="J196" t="inlineStr">
        <is>
          <t>36753630</t>
        </is>
      </c>
      <c r="K196" s="9" t="n">
        <v>-116181</v>
      </c>
    </row>
    <row r="197">
      <c r="A197" t="inlineStr">
        <is>
          <t>6196548135</t>
        </is>
      </c>
      <c r="B197" s="13" t="n">
        <v>46022</v>
      </c>
      <c r="C197" t="inlineStr">
        <is>
          <t>51</t>
        </is>
      </c>
      <c r="D197" t="inlineStr">
        <is>
          <t>Descuentos Publ</t>
        </is>
      </c>
      <c r="E197" t="inlineStr">
        <is>
          <t>Acuerdo 0000233355</t>
        </is>
      </c>
      <c r="F197" t="inlineStr">
        <is>
          <t>Publicidad</t>
        </is>
      </c>
      <c r="G197" t="inlineStr">
        <is>
          <t>Acuerdo</t>
        </is>
      </c>
      <c r="H197" t="n">
        <v>12</v>
      </c>
      <c r="I197" t="n">
        <v>2025</v>
      </c>
      <c r="J197" t="inlineStr">
        <is>
          <t>36753630</t>
        </is>
      </c>
      <c r="K197" s="9" t="n">
        <v>-60370</v>
      </c>
    </row>
    <row r="198">
      <c r="A198" t="inlineStr">
        <is>
          <t>6196548135</t>
        </is>
      </c>
      <c r="B198" s="13" t="n">
        <v>46022</v>
      </c>
      <c r="C198" t="inlineStr">
        <is>
          <t>51</t>
        </is>
      </c>
      <c r="D198" t="inlineStr">
        <is>
          <t>Descuentos Publ</t>
        </is>
      </c>
      <c r="E198" t="inlineStr">
        <is>
          <t>Acuerdo 0000233355</t>
        </is>
      </c>
      <c r="F198" t="inlineStr">
        <is>
          <t>Publicidad</t>
        </is>
      </c>
      <c r="G198" t="inlineStr">
        <is>
          <t>Acuerdo</t>
        </is>
      </c>
      <c r="H198" t="n">
        <v>12</v>
      </c>
      <c r="I198" t="n">
        <v>2025</v>
      </c>
      <c r="J198" t="inlineStr">
        <is>
          <t>36753630</t>
        </is>
      </c>
      <c r="K198" s="9" t="n">
        <v>-60727</v>
      </c>
    </row>
    <row r="199">
      <c r="A199" t="inlineStr">
        <is>
          <t>6196548135</t>
        </is>
      </c>
      <c r="B199" s="13" t="n">
        <v>46022</v>
      </c>
      <c r="C199" t="inlineStr">
        <is>
          <t>51</t>
        </is>
      </c>
      <c r="D199" t="inlineStr">
        <is>
          <t>Descuentos Publ</t>
        </is>
      </c>
      <c r="E199" t="inlineStr">
        <is>
          <t>Acuerdo 0000233355</t>
        </is>
      </c>
      <c r="F199" t="inlineStr">
        <is>
          <t>Publicidad</t>
        </is>
      </c>
      <c r="G199" t="inlineStr">
        <is>
          <t>Acuerdo</t>
        </is>
      </c>
      <c r="H199" t="n">
        <v>12</v>
      </c>
      <c r="I199" t="n">
        <v>2025</v>
      </c>
      <c r="J199" t="inlineStr">
        <is>
          <t>36753630</t>
        </is>
      </c>
      <c r="K199" s="9" t="n">
        <v>-45383</v>
      </c>
    </row>
    <row r="200">
      <c r="A200" t="inlineStr">
        <is>
          <t>6196548135</t>
        </is>
      </c>
      <c r="B200" s="13" t="n">
        <v>46022</v>
      </c>
      <c r="C200" t="inlineStr">
        <is>
          <t>51</t>
        </is>
      </c>
      <c r="D200" t="inlineStr">
        <is>
          <t>Descuentos Publ</t>
        </is>
      </c>
      <c r="E200" t="inlineStr">
        <is>
          <t>Acuerdo 0000233355</t>
        </is>
      </c>
      <c r="F200" t="inlineStr">
        <is>
          <t>Publicidad</t>
        </is>
      </c>
      <c r="G200" t="inlineStr">
        <is>
          <t>Acuerdo</t>
        </is>
      </c>
      <c r="H200" t="n">
        <v>12</v>
      </c>
      <c r="I200" t="n">
        <v>2025</v>
      </c>
      <c r="J200" t="inlineStr">
        <is>
          <t>36753630</t>
        </is>
      </c>
      <c r="K200" s="9" t="n">
        <v>-73372</v>
      </c>
    </row>
    <row r="201">
      <c r="A201" t="inlineStr">
        <is>
          <t>6202531249</t>
        </is>
      </c>
      <c r="B201" s="13" t="n">
        <v>46033</v>
      </c>
      <c r="C201" t="inlineStr">
        <is>
          <t>51</t>
        </is>
      </c>
      <c r="D201" t="inlineStr">
        <is>
          <t>Descuentos Publ</t>
        </is>
      </c>
      <c r="E201" t="inlineStr">
        <is>
          <t>Acuerdo 0000233355</t>
        </is>
      </c>
      <c r="F201" t="inlineStr">
        <is>
          <t>Publicidad</t>
        </is>
      </c>
      <c r="G201" t="inlineStr">
        <is>
          <t>Acuerdo</t>
        </is>
      </c>
      <c r="H201" t="n">
        <v>12</v>
      </c>
      <c r="I201" t="n">
        <v>2025</v>
      </c>
      <c r="J201" t="inlineStr">
        <is>
          <t>37186288</t>
        </is>
      </c>
      <c r="K201" s="9" t="n">
        <v>-1918861</v>
      </c>
    </row>
    <row r="202">
      <c r="A202" t="inlineStr">
        <is>
          <t>6202531250</t>
        </is>
      </c>
      <c r="B202" s="13" t="n">
        <v>46033</v>
      </c>
      <c r="C202" t="inlineStr">
        <is>
          <t>51</t>
        </is>
      </c>
      <c r="D202" t="inlineStr">
        <is>
          <t>Descuentos Publ</t>
        </is>
      </c>
      <c r="E202" t="inlineStr">
        <is>
          <t>Acuerdo 0000233355</t>
        </is>
      </c>
      <c r="F202" t="inlineStr">
        <is>
          <t>Publicidad</t>
        </is>
      </c>
      <c r="G202" t="inlineStr">
        <is>
          <t>Acuerdo</t>
        </is>
      </c>
      <c r="H202" t="n">
        <v>12</v>
      </c>
      <c r="I202" t="n">
        <v>2025</v>
      </c>
      <c r="J202" t="inlineStr">
        <is>
          <t>37186289</t>
        </is>
      </c>
      <c r="K202" s="9" t="n">
        <v>-823</v>
      </c>
    </row>
    <row r="203">
      <c r="A203" t="inlineStr">
        <is>
          <t>6202531250</t>
        </is>
      </c>
      <c r="B203" s="13" t="n">
        <v>46033</v>
      </c>
      <c r="C203" t="inlineStr">
        <is>
          <t>51</t>
        </is>
      </c>
      <c r="D203" t="inlineStr">
        <is>
          <t>Descuentos Publ</t>
        </is>
      </c>
      <c r="E203" t="inlineStr">
        <is>
          <t>Acuerdo 0000233355</t>
        </is>
      </c>
      <c r="F203" t="inlineStr">
        <is>
          <t>Publicidad</t>
        </is>
      </c>
      <c r="G203" t="inlineStr">
        <is>
          <t>Acuerdo</t>
        </is>
      </c>
      <c r="H203" t="n">
        <v>12</v>
      </c>
      <c r="I203" t="n">
        <v>2025</v>
      </c>
      <c r="J203" t="inlineStr">
        <is>
          <t>37186289</t>
        </is>
      </c>
      <c r="K203" s="9" t="n">
        <v>-62117</v>
      </c>
    </row>
    <row r="204">
      <c r="A204" t="inlineStr">
        <is>
          <t>6202531250</t>
        </is>
      </c>
      <c r="B204" s="13" t="n">
        <v>46033</v>
      </c>
      <c r="C204" t="inlineStr">
        <is>
          <t>51</t>
        </is>
      </c>
      <c r="D204" t="inlineStr">
        <is>
          <t>Descuentos Publ</t>
        </is>
      </c>
      <c r="E204" t="inlineStr">
        <is>
          <t>Acuerdo 0000233355</t>
        </is>
      </c>
      <c r="F204" t="inlineStr">
        <is>
          <t>Publicidad</t>
        </is>
      </c>
      <c r="G204" t="inlineStr">
        <is>
          <t>Acuerdo</t>
        </is>
      </c>
      <c r="H204" t="n">
        <v>12</v>
      </c>
      <c r="I204" t="n">
        <v>2025</v>
      </c>
      <c r="J204" t="inlineStr">
        <is>
          <t>37186289</t>
        </is>
      </c>
      <c r="K204" s="9" t="n">
        <v>-3052</v>
      </c>
    </row>
    <row r="205">
      <c r="A205" t="inlineStr">
        <is>
          <t>6202531250</t>
        </is>
      </c>
      <c r="B205" s="13" t="n">
        <v>46033</v>
      </c>
      <c r="C205" t="inlineStr">
        <is>
          <t>51</t>
        </is>
      </c>
      <c r="D205" t="inlineStr">
        <is>
          <t>Descuentos Publ</t>
        </is>
      </c>
      <c r="E205" t="inlineStr">
        <is>
          <t>Acuerdo 0000233355</t>
        </is>
      </c>
      <c r="F205" t="inlineStr">
        <is>
          <t>Publicidad</t>
        </is>
      </c>
      <c r="G205" t="inlineStr">
        <is>
          <t>Acuerdo</t>
        </is>
      </c>
      <c r="H205" t="n">
        <v>12</v>
      </c>
      <c r="I205" t="n">
        <v>2025</v>
      </c>
      <c r="J205" t="inlineStr">
        <is>
          <t>37186289</t>
        </is>
      </c>
      <c r="K205" s="9" t="n">
        <v>-1</v>
      </c>
    </row>
    <row r="206">
      <c r="A206" t="inlineStr">
        <is>
          <t>6202531250</t>
        </is>
      </c>
      <c r="B206" s="13" t="n">
        <v>46033</v>
      </c>
      <c r="C206" t="inlineStr">
        <is>
          <t>51</t>
        </is>
      </c>
      <c r="D206" t="inlineStr">
        <is>
          <t>Descuentos Publ</t>
        </is>
      </c>
      <c r="E206" t="inlineStr">
        <is>
          <t>Acuerdo 0000233355</t>
        </is>
      </c>
      <c r="F206" t="inlineStr">
        <is>
          <t>Publicidad</t>
        </is>
      </c>
      <c r="G206" t="inlineStr">
        <is>
          <t>Acuerdo</t>
        </is>
      </c>
      <c r="H206" t="n">
        <v>12</v>
      </c>
      <c r="I206" t="n">
        <v>2025</v>
      </c>
      <c r="J206" t="inlineStr">
        <is>
          <t>37186289</t>
        </is>
      </c>
      <c r="K206" s="9" t="n">
        <v>-166633</v>
      </c>
    </row>
    <row r="207">
      <c r="A207" s="8" t="inlineStr">
        <is>
          <t>Total</t>
        </is>
      </c>
      <c r="K207" s="9" t="n">
        <v>-199494016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2026-10-08T12:14:45Z</dcterms:created>
  <dcterms:modified xmlns:dcterms="http://purl.org/dc/terms/" xmlns:xsi="http://www.w3.org/2001/XMLSchema-instance" xsi:type="dcterms:W3CDTF">2026-10-08T12:14:45Z</dcterms:modified>
</cp:coreProperties>
</file>