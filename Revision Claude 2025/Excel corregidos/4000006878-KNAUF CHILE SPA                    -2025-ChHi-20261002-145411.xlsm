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4000006878-KNAUF CHILE SPA  2025/"/>
    </mc:Choice>
  </mc:AlternateContent>
  <xr:revisionPtr revIDLastSave="68" documentId="11_751593A9CF411217EE35F3907AB43C4BFE516A48" xr6:coauthVersionLast="47" xr6:coauthVersionMax="47" xr10:uidLastSave="{0D9628EC-146C-404D-B490-54F0E2D21DB6}"/>
  <bookViews>
    <workbookView xWindow="-108" yWindow="-108" windowWidth="23256" windowHeight="12456" tabRatio="947" activeTab="1" xr2:uid="{00000000-000D-0000-FFFF-FFFF00000000}"/>
  </bookViews>
  <sheets>
    <sheet name="Presentacion" sheetId="13" r:id="rId1"/>
    <sheet name="Base de Calculo" sheetId="50" r:id="rId2"/>
    <sheet name="KSB1" sheetId="51" r:id="rId3"/>
    <sheet name="III_Compras_Detalladas" sheetId="6" r:id="rId4"/>
    <sheet name="IV_Compras_Totales" sheetId="36" r:id="rId5"/>
    <sheet name="IV_Compras_Logistica" sheetId="46" r:id="rId6"/>
    <sheet name="VI_Debitos" sheetId="11" r:id="rId7"/>
    <sheet name="VIII_Aportes_Manuales" sheetId="38" r:id="rId8"/>
    <sheet name="Analítico" sheetId="34" r:id="rId9"/>
    <sheet name="IV_Compras_Totales_Base" sheetId="8" state="hidden" r:id="rId10"/>
    <sheet name="Condiciones" sheetId="14" r:id="rId11"/>
    <sheet name="V_Compras_Logistica_Base" sheetId="10" state="hidden" r:id="rId12"/>
    <sheet name="IV_Compras_Totales_SI" sheetId="39" state="hidden" r:id="rId13"/>
    <sheet name="V_Compras_Logistica_SI" sheetId="41" state="hidden" r:id="rId14"/>
    <sheet name="PAGADO" sheetId="18" state="hidden" r:id="rId15"/>
    <sheet name="BASEANALITICO" sheetId="31" state="hidden" r:id="rId16"/>
    <sheet name="I_Cta_Cte" sheetId="42" r:id="rId17"/>
    <sheet name="VIII_Aperturas" sheetId="45" r:id="rId18"/>
    <sheet name="Versionado" sheetId="48" state="hidden" r:id="rId19"/>
    <sheet name="Config_Presentacion" sheetId="47" state="hidden" r:id="rId20"/>
    <sheet name="Config_BaseAnalitico" sheetId="49" state="hidden" r:id="rId21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>VI_Debitos!$A$1:$P$1389</definedName>
    <definedName name="_07_DEBITOS_POSTERIORES">#REF!</definedName>
    <definedName name="_08_ONFIJA">VIII_Aportes_Manuales!$A$1:$M$1</definedName>
    <definedName name="_xlnm._FilterDatabase" localSheetId="3" hidden="1">III_Compras_Detalladas!$A$1:$AC$915</definedName>
    <definedName name="_xlnm._FilterDatabase" localSheetId="6" hidden="1">VI_Debitos!$A$1:$Z$374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1072" r:id="rId22"/>
    <pivotCache cacheId="1100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50" l="1"/>
  <c r="H30" i="13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R401" i="18" s="1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R396" i="18" s="1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R393" i="18" s="1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R392" i="18" s="1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R389" i="18" s="1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R388" i="18" s="1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R387" i="18" s="1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R386" i="18" s="1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R384" i="18" s="1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R382" i="18" s="1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R379" i="18" s="1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R378" i="18" s="1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R377" i="18" s="1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R369" i="18" s="1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R366" i="18" s="1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R365" i="18" s="1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R361" i="18" s="1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R360" i="18" s="1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R357" i="18" s="1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R353" i="18" s="1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R352" i="18" s="1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R349" i="18" s="1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R346" i="18" s="1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R345" i="18" s="1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R344" i="18" s="1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R339" i="18" s="1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R336" i="18" s="1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R331" i="18" s="1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R330" i="18" s="1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R329" i="18" s="1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R328" i="18" s="1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R321" i="18" s="1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R320" i="18" s="1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R319" i="18" s="1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R318" i="18" s="1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R317" i="18" s="1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R316" i="18" s="1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R314" i="18" s="1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R313" i="18" s="1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R312" i="18" s="1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R311" i="18" s="1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R308" i="18" s="1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R307" i="18" s="1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R305" i="18" s="1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R303" i="18" s="1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R302" i="18" s="1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R298" i="18" s="1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R297" i="18" s="1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R295" i="18" s="1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R294" i="18" s="1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R292" i="18" s="1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R290" i="18" s="1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R289" i="18" s="1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R285" i="18" s="1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R281" i="18" s="1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R278" i="18" s="1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R276" i="18" s="1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R273" i="18" s="1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R270" i="18" s="1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R267" i="18" s="1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R266" i="18" s="1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R265" i="18" s="1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R264" i="18" s="1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R263" i="18" s="1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R261" i="18" s="1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R260" i="18" s="1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R259" i="18" s="1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R258" i="18" s="1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R256" i="18" s="1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R255" i="18" s="1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R254" i="18" s="1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R253" i="18" s="1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R252" i="18" s="1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R251" i="18" s="1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R250" i="18" s="1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R249" i="18" s="1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R245" i="18" s="1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R244" i="18" s="1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R242" i="18" s="1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R241" i="18" s="1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R240" i="18" s="1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R239" i="18" s="1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R238" i="18" s="1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R233" i="18" s="1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R232" i="18" s="1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R231" i="18" s="1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R229" i="18" s="1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R228" i="18" s="1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R226" i="18" s="1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R225" i="18" s="1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R224" i="18" s="1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R222" i="18" s="1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R221" i="18" s="1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R219" i="18" s="1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R218" i="18" s="1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R216" i="18" s="1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R212" i="18" s="1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R211" i="18" s="1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R207" i="18" s="1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R206" i="18" s="1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R204" i="18" s="1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R202" i="18" s="1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R201" i="18" s="1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R200" i="18" s="1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R198" i="18" s="1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R187" i="18" s="1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R185" i="18" s="1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R183" i="18" s="1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R180" i="18" s="1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R179" i="18" s="1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R177" i="18" s="1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R173" i="18" s="1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R172" i="18" s="1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R164" i="18" s="1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R160" i="18" s="1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R152" i="18" s="1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R149" i="18" s="1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R148" i="18" s="1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R147" i="18" s="1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R145" i="18" s="1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R140" i="18" s="1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R134" i="18" s="1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R133" i="18" s="1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R131" i="18" s="1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R130" i="18" s="1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R128" i="18" s="1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R125" i="18" s="1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R122" i="18" s="1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R121" i="18" s="1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R116" i="18" s="1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R115" i="18" s="1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R113" i="18" s="1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R112" i="18" s="1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R110" i="18" s="1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R109" i="18" s="1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R108" i="18" s="1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R107" i="18" s="1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R106" i="18" s="1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R103" i="18" s="1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R102" i="18" s="1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R101" i="18" s="1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R100" i="18" s="1"/>
  <c r="Q99" i="18"/>
  <c r="P99" i="18"/>
  <c r="O99" i="18"/>
  <c r="N99" i="18"/>
  <c r="M99" i="18"/>
  <c r="L99" i="18"/>
  <c r="K99" i="18"/>
  <c r="J99" i="18"/>
  <c r="I99" i="18"/>
  <c r="H99" i="18"/>
  <c r="G99" i="18"/>
  <c r="F99" i="18"/>
  <c r="R99" i="18" s="1"/>
  <c r="Q98" i="18"/>
  <c r="P98" i="18"/>
  <c r="O98" i="18"/>
  <c r="N98" i="18"/>
  <c r="M98" i="18"/>
  <c r="L98" i="18"/>
  <c r="K98" i="18"/>
  <c r="J98" i="18"/>
  <c r="I98" i="18"/>
  <c r="H98" i="18"/>
  <c r="G98" i="18"/>
  <c r="F98" i="18"/>
  <c r="R98" i="18" s="1"/>
  <c r="Q97" i="18"/>
  <c r="P97" i="18"/>
  <c r="O97" i="18"/>
  <c r="N97" i="18"/>
  <c r="M97" i="18"/>
  <c r="L97" i="18"/>
  <c r="K97" i="18"/>
  <c r="J97" i="18"/>
  <c r="I97" i="18"/>
  <c r="H97" i="18"/>
  <c r="G97" i="18"/>
  <c r="F97" i="18"/>
  <c r="R97" i="18" s="1"/>
  <c r="Q96" i="18"/>
  <c r="P96" i="18"/>
  <c r="O96" i="18"/>
  <c r="N96" i="18"/>
  <c r="M96" i="18"/>
  <c r="L96" i="18"/>
  <c r="K96" i="18"/>
  <c r="J96" i="18"/>
  <c r="I96" i="18"/>
  <c r="H96" i="18"/>
  <c r="G96" i="18"/>
  <c r="F96" i="18"/>
  <c r="R96" i="18" s="1"/>
  <c r="Q95" i="18"/>
  <c r="P95" i="18"/>
  <c r="O95" i="18"/>
  <c r="N95" i="18"/>
  <c r="M95" i="18"/>
  <c r="L95" i="18"/>
  <c r="K95" i="18"/>
  <c r="J95" i="18"/>
  <c r="I95" i="18"/>
  <c r="H95" i="18"/>
  <c r="G95" i="18"/>
  <c r="F95" i="18"/>
  <c r="R95" i="18" s="1"/>
  <c r="Q94" i="18"/>
  <c r="P94" i="18"/>
  <c r="O94" i="18"/>
  <c r="N94" i="18"/>
  <c r="M94" i="18"/>
  <c r="L94" i="18"/>
  <c r="K94" i="18"/>
  <c r="J94" i="18"/>
  <c r="I94" i="18"/>
  <c r="H94" i="18"/>
  <c r="G94" i="18"/>
  <c r="F94" i="18"/>
  <c r="R94" i="18" s="1"/>
  <c r="Q93" i="18"/>
  <c r="P93" i="18"/>
  <c r="O93" i="18"/>
  <c r="N93" i="18"/>
  <c r="M93" i="18"/>
  <c r="L93" i="18"/>
  <c r="K93" i="18"/>
  <c r="J93" i="18"/>
  <c r="I93" i="18"/>
  <c r="H93" i="18"/>
  <c r="G93" i="18"/>
  <c r="F93" i="18"/>
  <c r="R93" i="18" s="1"/>
  <c r="Q92" i="18"/>
  <c r="P92" i="18"/>
  <c r="O92" i="18"/>
  <c r="N92" i="18"/>
  <c r="M92" i="18"/>
  <c r="L92" i="18"/>
  <c r="K92" i="18"/>
  <c r="J92" i="18"/>
  <c r="I92" i="18"/>
  <c r="H92" i="18"/>
  <c r="G92" i="18"/>
  <c r="F92" i="18"/>
  <c r="R92" i="18" s="1"/>
  <c r="Q91" i="18"/>
  <c r="P91" i="18"/>
  <c r="O91" i="18"/>
  <c r="N91" i="18"/>
  <c r="M91" i="18"/>
  <c r="L91" i="18"/>
  <c r="K91" i="18"/>
  <c r="J91" i="18"/>
  <c r="I91" i="18"/>
  <c r="H91" i="18"/>
  <c r="G91" i="18"/>
  <c r="F91" i="18"/>
  <c r="R91" i="18" s="1"/>
  <c r="Q90" i="18"/>
  <c r="P90" i="18"/>
  <c r="O90" i="18"/>
  <c r="N90" i="18"/>
  <c r="M90" i="18"/>
  <c r="L90" i="18"/>
  <c r="K90" i="18"/>
  <c r="J90" i="18"/>
  <c r="I90" i="18"/>
  <c r="H90" i="18"/>
  <c r="G90" i="18"/>
  <c r="F90" i="18"/>
  <c r="R90" i="18" s="1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R88" i="18" s="1"/>
  <c r="Q87" i="18"/>
  <c r="P87" i="18"/>
  <c r="O87" i="18"/>
  <c r="N87" i="18"/>
  <c r="M87" i="18"/>
  <c r="L87" i="18"/>
  <c r="K87" i="18"/>
  <c r="J87" i="18"/>
  <c r="I87" i="18"/>
  <c r="H87" i="18"/>
  <c r="G87" i="18"/>
  <c r="F87" i="18"/>
  <c r="R87" i="18" s="1"/>
  <c r="Q86" i="18"/>
  <c r="P86" i="18"/>
  <c r="O86" i="18"/>
  <c r="N86" i="18"/>
  <c r="M86" i="18"/>
  <c r="L86" i="18"/>
  <c r="K86" i="18"/>
  <c r="J86" i="18"/>
  <c r="I86" i="18"/>
  <c r="H86" i="18"/>
  <c r="G86" i="18"/>
  <c r="F86" i="18"/>
  <c r="R86" i="18" s="1"/>
  <c r="Q85" i="18"/>
  <c r="P85" i="18"/>
  <c r="O85" i="18"/>
  <c r="N85" i="18"/>
  <c r="M85" i="18"/>
  <c r="L85" i="18"/>
  <c r="K85" i="18"/>
  <c r="J85" i="18"/>
  <c r="I85" i="18"/>
  <c r="H85" i="18"/>
  <c r="G85" i="18"/>
  <c r="F85" i="18"/>
  <c r="R85" i="18" s="1"/>
  <c r="Q84" i="18"/>
  <c r="P84" i="18"/>
  <c r="O84" i="18"/>
  <c r="N84" i="18"/>
  <c r="M84" i="18"/>
  <c r="L84" i="18"/>
  <c r="K84" i="18"/>
  <c r="J84" i="18"/>
  <c r="I84" i="18"/>
  <c r="H84" i="18"/>
  <c r="G84" i="18"/>
  <c r="F84" i="18"/>
  <c r="R84" i="18" s="1"/>
  <c r="Q83" i="18"/>
  <c r="P83" i="18"/>
  <c r="O83" i="18"/>
  <c r="N83" i="18"/>
  <c r="M83" i="18"/>
  <c r="L83" i="18"/>
  <c r="K83" i="18"/>
  <c r="J83" i="18"/>
  <c r="I83" i="18"/>
  <c r="H83" i="18"/>
  <c r="G83" i="18"/>
  <c r="F83" i="18"/>
  <c r="R83" i="18" s="1"/>
  <c r="Q82" i="18"/>
  <c r="P82" i="18"/>
  <c r="O82" i="18"/>
  <c r="N82" i="18"/>
  <c r="M82" i="18"/>
  <c r="L82" i="18"/>
  <c r="K82" i="18"/>
  <c r="J82" i="18"/>
  <c r="I82" i="18"/>
  <c r="H82" i="18"/>
  <c r="G82" i="18"/>
  <c r="F82" i="18"/>
  <c r="R82" i="18" s="1"/>
  <c r="Q81" i="18"/>
  <c r="P81" i="18"/>
  <c r="O81" i="18"/>
  <c r="N81" i="18"/>
  <c r="M81" i="18"/>
  <c r="L81" i="18"/>
  <c r="K81" i="18"/>
  <c r="J81" i="18"/>
  <c r="I81" i="18"/>
  <c r="H81" i="18"/>
  <c r="G81" i="18"/>
  <c r="F81" i="18"/>
  <c r="R81" i="18" s="1"/>
  <c r="Q80" i="18"/>
  <c r="P80" i="18"/>
  <c r="O80" i="18"/>
  <c r="N80" i="18"/>
  <c r="M80" i="18"/>
  <c r="L80" i="18"/>
  <c r="K80" i="18"/>
  <c r="J80" i="18"/>
  <c r="I80" i="18"/>
  <c r="H80" i="18"/>
  <c r="G80" i="18"/>
  <c r="F80" i="18"/>
  <c r="R80" i="18" s="1"/>
  <c r="Q79" i="18"/>
  <c r="P79" i="18"/>
  <c r="O79" i="18"/>
  <c r="N79" i="18"/>
  <c r="M79" i="18"/>
  <c r="L79" i="18"/>
  <c r="K79" i="18"/>
  <c r="J79" i="18"/>
  <c r="I79" i="18"/>
  <c r="H79" i="18"/>
  <c r="G79" i="18"/>
  <c r="F79" i="18"/>
  <c r="R79" i="18" s="1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R77" i="18" s="1"/>
  <c r="Q76" i="18"/>
  <c r="P76" i="18"/>
  <c r="O76" i="18"/>
  <c r="N76" i="18"/>
  <c r="M76" i="18"/>
  <c r="L76" i="18"/>
  <c r="K76" i="18"/>
  <c r="J76" i="18"/>
  <c r="I76" i="18"/>
  <c r="H76" i="18"/>
  <c r="G76" i="18"/>
  <c r="F76" i="18"/>
  <c r="R76" i="18" s="1"/>
  <c r="Q75" i="18"/>
  <c r="P75" i="18"/>
  <c r="O75" i="18"/>
  <c r="N75" i="18"/>
  <c r="M75" i="18"/>
  <c r="L75" i="18"/>
  <c r="K75" i="18"/>
  <c r="J75" i="18"/>
  <c r="I75" i="18"/>
  <c r="H75" i="18"/>
  <c r="G75" i="18"/>
  <c r="F75" i="18"/>
  <c r="R75" i="18" s="1"/>
  <c r="Q74" i="18"/>
  <c r="P74" i="18"/>
  <c r="O74" i="18"/>
  <c r="N74" i="18"/>
  <c r="M74" i="18"/>
  <c r="L74" i="18"/>
  <c r="K74" i="18"/>
  <c r="J74" i="18"/>
  <c r="I74" i="18"/>
  <c r="H74" i="18"/>
  <c r="G74" i="18"/>
  <c r="F74" i="18"/>
  <c r="R74" i="18" s="1"/>
  <c r="Q73" i="18"/>
  <c r="P73" i="18"/>
  <c r="O73" i="18"/>
  <c r="N73" i="18"/>
  <c r="M73" i="18"/>
  <c r="L73" i="18"/>
  <c r="K73" i="18"/>
  <c r="J73" i="18"/>
  <c r="I73" i="18"/>
  <c r="H73" i="18"/>
  <c r="G73" i="18"/>
  <c r="F73" i="18"/>
  <c r="R73" i="18" s="1"/>
  <c r="Q72" i="18"/>
  <c r="P72" i="18"/>
  <c r="O72" i="18"/>
  <c r="N72" i="18"/>
  <c r="M72" i="18"/>
  <c r="L72" i="18"/>
  <c r="K72" i="18"/>
  <c r="J72" i="18"/>
  <c r="I72" i="18"/>
  <c r="H72" i="18"/>
  <c r="G72" i="18"/>
  <c r="F72" i="18"/>
  <c r="R72" i="18" s="1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R70" i="18" s="1"/>
  <c r="Q69" i="18"/>
  <c r="P69" i="18"/>
  <c r="O69" i="18"/>
  <c r="N69" i="18"/>
  <c r="M69" i="18"/>
  <c r="L69" i="18"/>
  <c r="K69" i="18"/>
  <c r="J69" i="18"/>
  <c r="I69" i="18"/>
  <c r="H69" i="18"/>
  <c r="G69" i="18"/>
  <c r="F69" i="18"/>
  <c r="R69" i="18" s="1"/>
  <c r="Q68" i="18"/>
  <c r="P68" i="18"/>
  <c r="O68" i="18"/>
  <c r="N68" i="18"/>
  <c r="M68" i="18"/>
  <c r="L68" i="18"/>
  <c r="K68" i="18"/>
  <c r="J68" i="18"/>
  <c r="I68" i="18"/>
  <c r="H68" i="18"/>
  <c r="G68" i="18"/>
  <c r="F68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R67" i="18" s="1"/>
  <c r="Q66" i="18"/>
  <c r="P66" i="18"/>
  <c r="O66" i="18"/>
  <c r="N66" i="18"/>
  <c r="M66" i="18"/>
  <c r="L66" i="18"/>
  <c r="K66" i="18"/>
  <c r="J66" i="18"/>
  <c r="I66" i="18"/>
  <c r="H66" i="18"/>
  <c r="G66" i="18"/>
  <c r="F66" i="18"/>
  <c r="R66" i="18" s="1"/>
  <c r="Q65" i="18"/>
  <c r="P65" i="18"/>
  <c r="O65" i="18"/>
  <c r="N65" i="18"/>
  <c r="M65" i="18"/>
  <c r="L65" i="18"/>
  <c r="K65" i="18"/>
  <c r="J65" i="18"/>
  <c r="I65" i="18"/>
  <c r="H65" i="18"/>
  <c r="G65" i="18"/>
  <c r="F65" i="18"/>
  <c r="R65" i="18" s="1"/>
  <c r="Q64" i="18"/>
  <c r="P64" i="18"/>
  <c r="O64" i="18"/>
  <c r="N64" i="18"/>
  <c r="M64" i="18"/>
  <c r="L64" i="18"/>
  <c r="K64" i="18"/>
  <c r="J64" i="18"/>
  <c r="I64" i="18"/>
  <c r="H64" i="18"/>
  <c r="G64" i="18"/>
  <c r="F64" i="18"/>
  <c r="R64" i="18" s="1"/>
  <c r="Q63" i="18"/>
  <c r="P63" i="18"/>
  <c r="O63" i="18"/>
  <c r="N63" i="18"/>
  <c r="M63" i="18"/>
  <c r="L63" i="18"/>
  <c r="K63" i="18"/>
  <c r="J63" i="18"/>
  <c r="I63" i="18"/>
  <c r="H63" i="18"/>
  <c r="G63" i="18"/>
  <c r="F63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R62" i="18" s="1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R60" i="18" s="1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R57" i="18" s="1"/>
  <c r="Q56" i="18"/>
  <c r="P56" i="18"/>
  <c r="O56" i="18"/>
  <c r="N56" i="18"/>
  <c r="M56" i="18"/>
  <c r="L56" i="18"/>
  <c r="K56" i="18"/>
  <c r="J56" i="18"/>
  <c r="I56" i="18"/>
  <c r="H56" i="18"/>
  <c r="G56" i="18"/>
  <c r="F56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R54" i="18" s="1"/>
  <c r="Q53" i="18"/>
  <c r="P53" i="18"/>
  <c r="O53" i="18"/>
  <c r="N53" i="18"/>
  <c r="M53" i="18"/>
  <c r="L53" i="18"/>
  <c r="K53" i="18"/>
  <c r="J53" i="18"/>
  <c r="I53" i="18"/>
  <c r="H53" i="18"/>
  <c r="G53" i="18"/>
  <c r="F53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R33" i="18" s="1"/>
  <c r="Q32" i="18"/>
  <c r="P32" i="18"/>
  <c r="O32" i="18"/>
  <c r="N32" i="18"/>
  <c r="M32" i="18"/>
  <c r="L32" i="18"/>
  <c r="K32" i="18"/>
  <c r="J32" i="18"/>
  <c r="I32" i="18"/>
  <c r="H32" i="18"/>
  <c r="G32" i="18"/>
  <c r="F32" i="18"/>
  <c r="R32" i="18" s="1"/>
  <c r="Q31" i="18"/>
  <c r="P31" i="18"/>
  <c r="O31" i="18"/>
  <c r="N31" i="18"/>
  <c r="M31" i="18"/>
  <c r="L31" i="18"/>
  <c r="K31" i="18"/>
  <c r="J31" i="18"/>
  <c r="I31" i="18"/>
  <c r="H31" i="18"/>
  <c r="G31" i="18"/>
  <c r="F31" i="18"/>
  <c r="R31" i="18" s="1"/>
  <c r="Q30" i="18"/>
  <c r="P30" i="18"/>
  <c r="O30" i="18"/>
  <c r="N30" i="18"/>
  <c r="M30" i="18"/>
  <c r="L30" i="18"/>
  <c r="K30" i="18"/>
  <c r="J30" i="18"/>
  <c r="I30" i="18"/>
  <c r="H30" i="18"/>
  <c r="G30" i="18"/>
  <c r="F30" i="18"/>
  <c r="R30" i="18" s="1"/>
  <c r="Q29" i="18"/>
  <c r="P29" i="18"/>
  <c r="O29" i="18"/>
  <c r="N29" i="18"/>
  <c r="M29" i="18"/>
  <c r="L29" i="18"/>
  <c r="K29" i="18"/>
  <c r="J29" i="18"/>
  <c r="I29" i="18"/>
  <c r="H29" i="18"/>
  <c r="G29" i="18"/>
  <c r="F29" i="18"/>
  <c r="R29" i="18" s="1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R27" i="18" s="1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R20" i="18" s="1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R18" i="18" s="1"/>
  <c r="Q17" i="18"/>
  <c r="P17" i="18"/>
  <c r="O17" i="18"/>
  <c r="N17" i="18"/>
  <c r="M17" i="18"/>
  <c r="L17" i="18"/>
  <c r="K17" i="18"/>
  <c r="J17" i="18"/>
  <c r="I17" i="18"/>
  <c r="H17" i="18"/>
  <c r="G17" i="18"/>
  <c r="F17" i="18"/>
  <c r="R17" i="18" s="1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R15" i="18" s="1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R13" i="18" s="1"/>
  <c r="Q12" i="18"/>
  <c r="P12" i="18"/>
  <c r="O12" i="18"/>
  <c r="N12" i="18"/>
  <c r="M12" i="18"/>
  <c r="L12" i="18"/>
  <c r="K12" i="18"/>
  <c r="J12" i="18"/>
  <c r="I12" i="18"/>
  <c r="H12" i="18"/>
  <c r="G12" i="18"/>
  <c r="F12" i="18"/>
  <c r="R12" i="18" s="1"/>
  <c r="Q11" i="18"/>
  <c r="P11" i="18"/>
  <c r="O11" i="18"/>
  <c r="N11" i="18"/>
  <c r="M11" i="18"/>
  <c r="L11" i="18"/>
  <c r="K11" i="18"/>
  <c r="J11" i="18"/>
  <c r="I11" i="18"/>
  <c r="H11" i="18"/>
  <c r="G11" i="18"/>
  <c r="F11" i="18"/>
  <c r="R11" i="18" s="1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R9" i="18" s="1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R7" i="18" s="1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R5" i="18" s="1"/>
  <c r="Q4" i="18"/>
  <c r="P4" i="18"/>
  <c r="O4" i="18"/>
  <c r="N4" i="18"/>
  <c r="M4" i="18"/>
  <c r="L4" i="18"/>
  <c r="K4" i="18"/>
  <c r="J4" i="18"/>
  <c r="I4" i="18"/>
  <c r="H4" i="18"/>
  <c r="G4" i="18"/>
  <c r="F4" i="18"/>
  <c r="R4" i="18" s="1"/>
  <c r="Q3" i="18"/>
  <c r="P3" i="18"/>
  <c r="O3" i="18"/>
  <c r="N3" i="18"/>
  <c r="M3" i="18"/>
  <c r="L3" i="18"/>
  <c r="K3" i="18"/>
  <c r="J3" i="18"/>
  <c r="I3" i="18"/>
  <c r="H3" i="18"/>
  <c r="G3" i="18"/>
  <c r="F3" i="18"/>
  <c r="R3" i="18" s="1"/>
  <c r="Q2" i="18"/>
  <c r="P2" i="18"/>
  <c r="O2" i="18"/>
  <c r="N2" i="18"/>
  <c r="M2" i="18"/>
  <c r="L2" i="18"/>
  <c r="K2" i="18"/>
  <c r="J2" i="18"/>
  <c r="I2" i="18"/>
  <c r="H2" i="18"/>
  <c r="G2" i="18"/>
  <c r="F2" i="18"/>
  <c r="R2" i="18" s="1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A1" i="4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M23" i="50"/>
  <c r="H41" i="13" s="1"/>
  <c r="L23" i="50"/>
  <c r="H40" i="13" s="1"/>
  <c r="K23" i="50"/>
  <c r="H39" i="13" s="1"/>
  <c r="J23" i="50"/>
  <c r="H38" i="13" s="1"/>
  <c r="I23" i="50"/>
  <c r="H37" i="13" s="1"/>
  <c r="H23" i="50"/>
  <c r="H36" i="13" s="1"/>
  <c r="G23" i="50"/>
  <c r="H35" i="13" s="1"/>
  <c r="F23" i="50"/>
  <c r="H34" i="13" s="1"/>
  <c r="E23" i="50"/>
  <c r="H33" i="13" s="1"/>
  <c r="D23" i="50"/>
  <c r="H32" i="13" s="1"/>
  <c r="C23" i="50"/>
  <c r="H31" i="13" s="1"/>
  <c r="N22" i="50"/>
  <c r="N21" i="50"/>
  <c r="N20" i="50"/>
  <c r="N19" i="50"/>
  <c r="N18" i="50"/>
  <c r="N23" i="50" s="1"/>
  <c r="AI54" i="13"/>
  <c r="AE54" i="13"/>
  <c r="AA54" i="13"/>
  <c r="W54" i="13"/>
  <c r="S54" i="13"/>
  <c r="O54" i="13"/>
  <c r="K54" i="13"/>
  <c r="G54" i="13"/>
  <c r="C54" i="13"/>
  <c r="D54" i="13" s="1"/>
  <c r="AI53" i="13"/>
  <c r="AE53" i="13"/>
  <c r="AA53" i="13"/>
  <c r="W53" i="13"/>
  <c r="S53" i="13"/>
  <c r="O53" i="13"/>
  <c r="K53" i="13"/>
  <c r="G53" i="13"/>
  <c r="C53" i="13"/>
  <c r="D53" i="13" s="1"/>
  <c r="AI52" i="13"/>
  <c r="AE52" i="13"/>
  <c r="AA52" i="13"/>
  <c r="W52" i="13"/>
  <c r="S52" i="13"/>
  <c r="O52" i="13"/>
  <c r="K52" i="13"/>
  <c r="G52" i="13"/>
  <c r="C52" i="13"/>
  <c r="D52" i="13" s="1"/>
  <c r="AI51" i="13"/>
  <c r="AE51" i="13"/>
  <c r="AA51" i="13"/>
  <c r="W51" i="13"/>
  <c r="S51" i="13"/>
  <c r="O51" i="13"/>
  <c r="K51" i="13"/>
  <c r="G51" i="13"/>
  <c r="C51" i="13"/>
  <c r="D51" i="13" s="1"/>
  <c r="AI50" i="13"/>
  <c r="AE50" i="13"/>
  <c r="AA50" i="13"/>
  <c r="W50" i="13"/>
  <c r="S50" i="13"/>
  <c r="O50" i="13"/>
  <c r="K50" i="13"/>
  <c r="G50" i="13"/>
  <c r="C50" i="13"/>
  <c r="D50" i="13" s="1"/>
  <c r="AI49" i="13"/>
  <c r="AE49" i="13"/>
  <c r="AA49" i="13"/>
  <c r="W49" i="13"/>
  <c r="S49" i="13"/>
  <c r="O49" i="13"/>
  <c r="K49" i="13"/>
  <c r="G49" i="13"/>
  <c r="C49" i="13"/>
  <c r="D49" i="13" s="1"/>
  <c r="AI48" i="13"/>
  <c r="AE48" i="13"/>
  <c r="AA48" i="13"/>
  <c r="W48" i="13"/>
  <c r="S48" i="13"/>
  <c r="O48" i="13"/>
  <c r="K48" i="13"/>
  <c r="G48" i="13"/>
  <c r="C48" i="13"/>
  <c r="D48" i="13" s="1"/>
  <c r="AI47" i="13"/>
  <c r="AE47" i="13"/>
  <c r="AA47" i="13"/>
  <c r="W47" i="13"/>
  <c r="S47" i="13"/>
  <c r="O47" i="13"/>
  <c r="K47" i="13"/>
  <c r="G47" i="13"/>
  <c r="C47" i="13"/>
  <c r="D47" i="13" s="1"/>
  <c r="AI46" i="13"/>
  <c r="AE46" i="13"/>
  <c r="AA46" i="13"/>
  <c r="W46" i="13"/>
  <c r="S46" i="13"/>
  <c r="O46" i="13"/>
  <c r="K46" i="13"/>
  <c r="G46" i="13"/>
  <c r="C46" i="13"/>
  <c r="D46" i="13" s="1"/>
  <c r="AI45" i="13"/>
  <c r="AE45" i="13"/>
  <c r="AA45" i="13"/>
  <c r="W45" i="13"/>
  <c r="S45" i="13"/>
  <c r="O45" i="13"/>
  <c r="K45" i="13"/>
  <c r="G45" i="13"/>
  <c r="C45" i="13"/>
  <c r="D45" i="13" s="1"/>
  <c r="AI44" i="13"/>
  <c r="AE44" i="13"/>
  <c r="AA44" i="13"/>
  <c r="W44" i="13"/>
  <c r="S44" i="13"/>
  <c r="O44" i="13"/>
  <c r="K44" i="13"/>
  <c r="G44" i="13"/>
  <c r="C44" i="13"/>
  <c r="D44" i="13" s="1"/>
  <c r="AI43" i="13"/>
  <c r="AE43" i="13"/>
  <c r="AA43" i="13"/>
  <c r="W43" i="13"/>
  <c r="S43" i="13"/>
  <c r="O43" i="13"/>
  <c r="K43" i="13"/>
  <c r="G43" i="13"/>
  <c r="C43" i="13"/>
  <c r="D43" i="13" s="1"/>
  <c r="AI41" i="13"/>
  <c r="AE41" i="13"/>
  <c r="AA41" i="13"/>
  <c r="W41" i="13"/>
  <c r="S41" i="13"/>
  <c r="O41" i="13"/>
  <c r="K41" i="13"/>
  <c r="G41" i="13"/>
  <c r="C41" i="13"/>
  <c r="D41" i="13" s="1"/>
  <c r="AI40" i="13"/>
  <c r="AE40" i="13"/>
  <c r="AA40" i="13"/>
  <c r="W40" i="13"/>
  <c r="S40" i="13"/>
  <c r="O40" i="13"/>
  <c r="K40" i="13"/>
  <c r="G40" i="13"/>
  <c r="C40" i="13"/>
  <c r="D40" i="13" s="1"/>
  <c r="AI39" i="13"/>
  <c r="AE39" i="13"/>
  <c r="AA39" i="13"/>
  <c r="W39" i="13"/>
  <c r="S39" i="13"/>
  <c r="O39" i="13"/>
  <c r="K39" i="13"/>
  <c r="G39" i="13"/>
  <c r="C39" i="13"/>
  <c r="D39" i="13" s="1"/>
  <c r="AI38" i="13"/>
  <c r="AE38" i="13"/>
  <c r="AA38" i="13"/>
  <c r="W38" i="13"/>
  <c r="S38" i="13"/>
  <c r="O38" i="13"/>
  <c r="K38" i="13"/>
  <c r="G38" i="13"/>
  <c r="C38" i="13"/>
  <c r="D38" i="13" s="1"/>
  <c r="AI37" i="13"/>
  <c r="AE37" i="13"/>
  <c r="AA37" i="13"/>
  <c r="W37" i="13"/>
  <c r="S37" i="13"/>
  <c r="O37" i="13"/>
  <c r="K37" i="13"/>
  <c r="G37" i="13"/>
  <c r="C37" i="13"/>
  <c r="D37" i="13" s="1"/>
  <c r="AI36" i="13"/>
  <c r="AE36" i="13"/>
  <c r="AA36" i="13"/>
  <c r="W36" i="13"/>
  <c r="S36" i="13"/>
  <c r="O36" i="13"/>
  <c r="K36" i="13"/>
  <c r="G36" i="13"/>
  <c r="C36" i="13"/>
  <c r="D36" i="13" s="1"/>
  <c r="AI35" i="13"/>
  <c r="AE35" i="13"/>
  <c r="AA35" i="13"/>
  <c r="W35" i="13"/>
  <c r="S35" i="13"/>
  <c r="O35" i="13"/>
  <c r="K35" i="13"/>
  <c r="G35" i="13"/>
  <c r="C35" i="13"/>
  <c r="D35" i="13" s="1"/>
  <c r="AI34" i="13"/>
  <c r="AE34" i="13"/>
  <c r="AA34" i="13"/>
  <c r="W34" i="13"/>
  <c r="S34" i="13"/>
  <c r="O34" i="13"/>
  <c r="K34" i="13"/>
  <c r="G34" i="13"/>
  <c r="C34" i="13"/>
  <c r="D34" i="13" s="1"/>
  <c r="AI33" i="13"/>
  <c r="AE33" i="13"/>
  <c r="AA33" i="13"/>
  <c r="W33" i="13"/>
  <c r="S33" i="13"/>
  <c r="O33" i="13"/>
  <c r="K33" i="13"/>
  <c r="G33" i="13"/>
  <c r="C33" i="13"/>
  <c r="D33" i="13" s="1"/>
  <c r="AI32" i="13"/>
  <c r="AE32" i="13"/>
  <c r="AA32" i="13"/>
  <c r="W32" i="13"/>
  <c r="S32" i="13"/>
  <c r="O32" i="13"/>
  <c r="K32" i="13"/>
  <c r="G32" i="13"/>
  <c r="C32" i="13"/>
  <c r="D32" i="13" s="1"/>
  <c r="AI31" i="13"/>
  <c r="AE31" i="13"/>
  <c r="AA31" i="13"/>
  <c r="W31" i="13"/>
  <c r="S31" i="13"/>
  <c r="O31" i="13"/>
  <c r="K31" i="13"/>
  <c r="G31" i="13"/>
  <c r="C31" i="13"/>
  <c r="D31" i="13" s="1"/>
  <c r="AI30" i="13"/>
  <c r="AE30" i="13"/>
  <c r="AA30" i="13"/>
  <c r="W30" i="13"/>
  <c r="S30" i="13"/>
  <c r="O30" i="13"/>
  <c r="K30" i="13"/>
  <c r="G30" i="13"/>
  <c r="C30" i="13"/>
  <c r="D30" i="13" s="1"/>
  <c r="AI28" i="13"/>
  <c r="AE28" i="13"/>
  <c r="AA28" i="13"/>
  <c r="W28" i="13"/>
  <c r="S28" i="13"/>
  <c r="O28" i="13"/>
  <c r="K28" i="13"/>
  <c r="G28" i="13"/>
  <c r="C28" i="13"/>
  <c r="D28" i="13" s="1"/>
  <c r="AI27" i="13"/>
  <c r="AE27" i="13"/>
  <c r="AA27" i="13"/>
  <c r="W27" i="13"/>
  <c r="S27" i="13"/>
  <c r="O27" i="13"/>
  <c r="K27" i="13"/>
  <c r="G27" i="13"/>
  <c r="C27" i="13"/>
  <c r="D27" i="13" s="1"/>
  <c r="AI26" i="13"/>
  <c r="AE26" i="13"/>
  <c r="AA26" i="13"/>
  <c r="W26" i="13"/>
  <c r="S26" i="13"/>
  <c r="O26" i="13"/>
  <c r="K26" i="13"/>
  <c r="G26" i="13"/>
  <c r="C26" i="13"/>
  <c r="D26" i="13" s="1"/>
  <c r="AI25" i="13"/>
  <c r="AE25" i="13"/>
  <c r="AA25" i="13"/>
  <c r="W25" i="13"/>
  <c r="S25" i="13"/>
  <c r="O25" i="13"/>
  <c r="K25" i="13"/>
  <c r="G25" i="13"/>
  <c r="C25" i="13"/>
  <c r="D25" i="13" s="1"/>
  <c r="AI24" i="13"/>
  <c r="AE24" i="13"/>
  <c r="AA24" i="13"/>
  <c r="W24" i="13"/>
  <c r="S24" i="13"/>
  <c r="O24" i="13"/>
  <c r="K24" i="13"/>
  <c r="G24" i="13"/>
  <c r="C24" i="13"/>
  <c r="D24" i="13" s="1"/>
  <c r="AI23" i="13"/>
  <c r="AE23" i="13"/>
  <c r="AA23" i="13"/>
  <c r="W23" i="13"/>
  <c r="S23" i="13"/>
  <c r="O23" i="13"/>
  <c r="K23" i="13"/>
  <c r="G23" i="13"/>
  <c r="C23" i="13"/>
  <c r="D23" i="13" s="1"/>
  <c r="AI22" i="13"/>
  <c r="AE22" i="13"/>
  <c r="AA22" i="13"/>
  <c r="W22" i="13"/>
  <c r="S22" i="13"/>
  <c r="O22" i="13"/>
  <c r="K22" i="13"/>
  <c r="G22" i="13"/>
  <c r="C22" i="13"/>
  <c r="D22" i="13" s="1"/>
  <c r="AI21" i="13"/>
  <c r="AE21" i="13"/>
  <c r="AA21" i="13"/>
  <c r="W21" i="13"/>
  <c r="S21" i="13"/>
  <c r="O21" i="13"/>
  <c r="K21" i="13"/>
  <c r="G21" i="13"/>
  <c r="C21" i="13"/>
  <c r="D21" i="13" s="1"/>
  <c r="AI20" i="13"/>
  <c r="AE20" i="13"/>
  <c r="AA20" i="13"/>
  <c r="W20" i="13"/>
  <c r="S20" i="13"/>
  <c r="O20" i="13"/>
  <c r="K20" i="13"/>
  <c r="G20" i="13"/>
  <c r="C20" i="13"/>
  <c r="D20" i="13" s="1"/>
  <c r="AI19" i="13"/>
  <c r="AE19" i="13"/>
  <c r="AA19" i="13"/>
  <c r="W19" i="13"/>
  <c r="S19" i="13"/>
  <c r="O19" i="13"/>
  <c r="K19" i="13"/>
  <c r="G19" i="13"/>
  <c r="C19" i="13"/>
  <c r="D19" i="13" s="1"/>
  <c r="AI18" i="13"/>
  <c r="AE18" i="13"/>
  <c r="AA18" i="13"/>
  <c r="W18" i="13"/>
  <c r="S18" i="13"/>
  <c r="O18" i="13"/>
  <c r="K18" i="13"/>
  <c r="G18" i="13"/>
  <c r="C18" i="13"/>
  <c r="D18" i="13" s="1"/>
  <c r="AI17" i="13"/>
  <c r="AE17" i="13"/>
  <c r="AA17" i="13"/>
  <c r="W17" i="13"/>
  <c r="S17" i="13"/>
  <c r="O17" i="13"/>
  <c r="K17" i="13"/>
  <c r="G17" i="13"/>
  <c r="C17" i="13"/>
  <c r="D17" i="13" s="1"/>
  <c r="AI15" i="13"/>
  <c r="AE15" i="13"/>
  <c r="AA15" i="13"/>
  <c r="W15" i="13"/>
  <c r="S15" i="13"/>
  <c r="O15" i="13"/>
  <c r="K15" i="13"/>
  <c r="G15" i="13"/>
  <c r="C15" i="13"/>
  <c r="D15" i="13" s="1"/>
  <c r="AI14" i="13"/>
  <c r="AE14" i="13"/>
  <c r="AA14" i="13"/>
  <c r="W14" i="13"/>
  <c r="S14" i="13"/>
  <c r="O14" i="13"/>
  <c r="K14" i="13"/>
  <c r="G14" i="13"/>
  <c r="C14" i="13"/>
  <c r="D14" i="13" s="1"/>
  <c r="AI13" i="13"/>
  <c r="AE13" i="13"/>
  <c r="AA13" i="13"/>
  <c r="W13" i="13"/>
  <c r="S13" i="13"/>
  <c r="O13" i="13"/>
  <c r="K13" i="13"/>
  <c r="G13" i="13"/>
  <c r="C13" i="13"/>
  <c r="D13" i="13" s="1"/>
  <c r="AI12" i="13"/>
  <c r="AE12" i="13"/>
  <c r="AA12" i="13"/>
  <c r="W12" i="13"/>
  <c r="S12" i="13"/>
  <c r="O12" i="13"/>
  <c r="K12" i="13"/>
  <c r="G12" i="13"/>
  <c r="C12" i="13"/>
  <c r="D12" i="13" s="1"/>
  <c r="AI11" i="13"/>
  <c r="AE11" i="13"/>
  <c r="AA11" i="13"/>
  <c r="W11" i="13"/>
  <c r="S11" i="13"/>
  <c r="O11" i="13"/>
  <c r="K11" i="13"/>
  <c r="G11" i="13"/>
  <c r="C11" i="13"/>
  <c r="D11" i="13" s="1"/>
  <c r="AI10" i="13"/>
  <c r="AE10" i="13"/>
  <c r="AA10" i="13"/>
  <c r="W10" i="13"/>
  <c r="S10" i="13"/>
  <c r="O10" i="13"/>
  <c r="K10" i="13"/>
  <c r="G10" i="13"/>
  <c r="C10" i="13"/>
  <c r="D10" i="13" s="1"/>
  <c r="AI9" i="13"/>
  <c r="AE9" i="13"/>
  <c r="AA9" i="13"/>
  <c r="W9" i="13"/>
  <c r="S9" i="13"/>
  <c r="O9" i="13"/>
  <c r="K9" i="13"/>
  <c r="G9" i="13"/>
  <c r="C9" i="13"/>
  <c r="D9" i="13" s="1"/>
  <c r="AI8" i="13"/>
  <c r="AE8" i="13"/>
  <c r="AA8" i="13"/>
  <c r="W8" i="13"/>
  <c r="S8" i="13"/>
  <c r="O8" i="13"/>
  <c r="K8" i="13"/>
  <c r="G8" i="13"/>
  <c r="C8" i="13"/>
  <c r="D8" i="13" s="1"/>
  <c r="AI7" i="13"/>
  <c r="AE7" i="13"/>
  <c r="AA7" i="13"/>
  <c r="W7" i="13"/>
  <c r="S7" i="13"/>
  <c r="O7" i="13"/>
  <c r="K7" i="13"/>
  <c r="G7" i="13"/>
  <c r="C7" i="13"/>
  <c r="D7" i="13" s="1"/>
  <c r="AI6" i="13"/>
  <c r="AE6" i="13"/>
  <c r="AA6" i="13"/>
  <c r="W6" i="13"/>
  <c r="S6" i="13"/>
  <c r="O6" i="13"/>
  <c r="K6" i="13"/>
  <c r="G6" i="13"/>
  <c r="C6" i="13"/>
  <c r="D6" i="13" s="1"/>
  <c r="AI5" i="13"/>
  <c r="AE5" i="13"/>
  <c r="AA5" i="13"/>
  <c r="W5" i="13"/>
  <c r="S5" i="13"/>
  <c r="O5" i="13"/>
  <c r="K5" i="13"/>
  <c r="G5" i="13"/>
  <c r="C5" i="13"/>
  <c r="D5" i="13" s="1"/>
  <c r="AI4" i="13"/>
  <c r="AE4" i="13"/>
  <c r="AA4" i="13"/>
  <c r="W4" i="13"/>
  <c r="S4" i="13"/>
  <c r="O4" i="13"/>
  <c r="K4" i="13"/>
  <c r="G4" i="13"/>
  <c r="C4" i="13"/>
  <c r="D4" i="13" s="1"/>
  <c r="U214" i="51"/>
  <c r="T214" i="51"/>
  <c r="U213" i="51"/>
  <c r="T213" i="51"/>
  <c r="U212" i="51"/>
  <c r="T212" i="51"/>
  <c r="U211" i="51"/>
  <c r="T211" i="51"/>
  <c r="U210" i="51"/>
  <c r="T210" i="51"/>
  <c r="U209" i="51"/>
  <c r="T209" i="51"/>
  <c r="U208" i="51"/>
  <c r="T208" i="51"/>
  <c r="U207" i="51"/>
  <c r="T207" i="51"/>
  <c r="U206" i="51"/>
  <c r="T206" i="51"/>
  <c r="U205" i="51"/>
  <c r="T205" i="51"/>
  <c r="U204" i="51"/>
  <c r="T204" i="51"/>
  <c r="U203" i="51"/>
  <c r="T203" i="51"/>
  <c r="U202" i="51"/>
  <c r="T202" i="51"/>
  <c r="U201" i="51"/>
  <c r="T201" i="51"/>
  <c r="U200" i="51"/>
  <c r="T200" i="51"/>
  <c r="U199" i="51"/>
  <c r="T199" i="51"/>
  <c r="U198" i="51"/>
  <c r="T198" i="51"/>
  <c r="U197" i="51"/>
  <c r="T197" i="51"/>
  <c r="U196" i="51"/>
  <c r="T196" i="51"/>
  <c r="U195" i="51"/>
  <c r="T195" i="51"/>
  <c r="U194" i="51"/>
  <c r="T194" i="51"/>
  <c r="U193" i="51"/>
  <c r="T193" i="51"/>
  <c r="U192" i="51"/>
  <c r="T192" i="51"/>
  <c r="U191" i="51"/>
  <c r="T191" i="51"/>
  <c r="U190" i="51"/>
  <c r="T190" i="51"/>
  <c r="U189" i="51"/>
  <c r="T189" i="51"/>
  <c r="U188" i="51"/>
  <c r="T188" i="51"/>
  <c r="U187" i="51"/>
  <c r="T187" i="51"/>
  <c r="U186" i="51"/>
  <c r="T186" i="51"/>
  <c r="U185" i="51"/>
  <c r="T185" i="51"/>
  <c r="U184" i="51"/>
  <c r="T184" i="51"/>
  <c r="U183" i="51"/>
  <c r="T183" i="51"/>
  <c r="U182" i="51"/>
  <c r="T182" i="51"/>
  <c r="U181" i="51"/>
  <c r="T181" i="51"/>
  <c r="U180" i="51"/>
  <c r="T180" i="51"/>
  <c r="U179" i="51"/>
  <c r="T179" i="51"/>
  <c r="U178" i="51"/>
  <c r="T178" i="51"/>
  <c r="U177" i="51"/>
  <c r="T177" i="51"/>
  <c r="U176" i="51"/>
  <c r="T176" i="51"/>
  <c r="U175" i="51"/>
  <c r="T175" i="51"/>
  <c r="U174" i="51"/>
  <c r="T174" i="51"/>
  <c r="U173" i="51"/>
  <c r="T173" i="51"/>
  <c r="U172" i="51"/>
  <c r="T172" i="51"/>
  <c r="U171" i="51"/>
  <c r="T171" i="51"/>
  <c r="U170" i="51"/>
  <c r="T170" i="51"/>
  <c r="U169" i="51"/>
  <c r="T169" i="51"/>
  <c r="U168" i="51"/>
  <c r="T168" i="51"/>
  <c r="U167" i="51"/>
  <c r="T167" i="51"/>
  <c r="U166" i="51"/>
  <c r="T166" i="51"/>
  <c r="U165" i="51"/>
  <c r="T165" i="51"/>
  <c r="U164" i="51"/>
  <c r="T164" i="51"/>
  <c r="U163" i="51"/>
  <c r="T163" i="51"/>
  <c r="U162" i="51"/>
  <c r="T162" i="51"/>
  <c r="U161" i="51"/>
  <c r="T161" i="51"/>
  <c r="U160" i="51"/>
  <c r="T160" i="51"/>
  <c r="U159" i="51"/>
  <c r="T159" i="51"/>
  <c r="U158" i="51"/>
  <c r="T158" i="51"/>
  <c r="U157" i="51"/>
  <c r="T157" i="51"/>
  <c r="U156" i="51"/>
  <c r="T156" i="51"/>
  <c r="U155" i="51"/>
  <c r="T155" i="51"/>
  <c r="U154" i="51"/>
  <c r="T154" i="51"/>
  <c r="U153" i="51"/>
  <c r="T153" i="51"/>
  <c r="U152" i="51"/>
  <c r="T152" i="51"/>
  <c r="U151" i="51"/>
  <c r="T151" i="51"/>
  <c r="U150" i="51"/>
  <c r="T150" i="51"/>
  <c r="U149" i="51"/>
  <c r="T149" i="51"/>
  <c r="U148" i="51"/>
  <c r="T148" i="51"/>
  <c r="U147" i="51"/>
  <c r="T147" i="51"/>
  <c r="U146" i="51"/>
  <c r="T146" i="51"/>
  <c r="U145" i="51"/>
  <c r="T145" i="51"/>
  <c r="U144" i="51"/>
  <c r="T144" i="51"/>
  <c r="U143" i="51"/>
  <c r="T143" i="51"/>
  <c r="U142" i="51"/>
  <c r="T142" i="51"/>
  <c r="U141" i="51"/>
  <c r="T141" i="51"/>
  <c r="U140" i="51"/>
  <c r="T140" i="51"/>
  <c r="U139" i="51"/>
  <c r="T139" i="51"/>
  <c r="U138" i="51"/>
  <c r="T138" i="51"/>
  <c r="U137" i="51"/>
  <c r="T137" i="51"/>
  <c r="U136" i="51"/>
  <c r="T136" i="51"/>
  <c r="U135" i="51"/>
  <c r="T135" i="51"/>
  <c r="U134" i="51"/>
  <c r="T134" i="51"/>
  <c r="U133" i="51"/>
  <c r="T133" i="51"/>
  <c r="U132" i="51"/>
  <c r="T132" i="51"/>
  <c r="U131" i="51"/>
  <c r="T131" i="51"/>
  <c r="U130" i="51"/>
  <c r="T130" i="51"/>
  <c r="U129" i="51"/>
  <c r="T129" i="51"/>
  <c r="U128" i="51"/>
  <c r="T128" i="51"/>
  <c r="U127" i="51"/>
  <c r="T127" i="51"/>
  <c r="U126" i="51"/>
  <c r="T126" i="51"/>
  <c r="U125" i="51"/>
  <c r="T125" i="51"/>
  <c r="U124" i="51"/>
  <c r="T124" i="51"/>
  <c r="U123" i="51"/>
  <c r="T123" i="51"/>
  <c r="U122" i="51"/>
  <c r="T122" i="51"/>
  <c r="U121" i="51"/>
  <c r="T121" i="51"/>
  <c r="U120" i="51"/>
  <c r="T120" i="51"/>
  <c r="U119" i="51"/>
  <c r="T119" i="51"/>
  <c r="U118" i="51"/>
  <c r="T118" i="51"/>
  <c r="U117" i="51"/>
  <c r="T117" i="51"/>
  <c r="U116" i="51"/>
  <c r="T116" i="51"/>
  <c r="U115" i="51"/>
  <c r="T115" i="51"/>
  <c r="U114" i="51"/>
  <c r="T114" i="51"/>
  <c r="U113" i="51"/>
  <c r="T113" i="51"/>
  <c r="U112" i="51"/>
  <c r="T112" i="51"/>
  <c r="U111" i="51"/>
  <c r="T111" i="51"/>
  <c r="U110" i="51"/>
  <c r="T110" i="51"/>
  <c r="U109" i="51"/>
  <c r="T109" i="51"/>
  <c r="U108" i="51"/>
  <c r="T108" i="51"/>
  <c r="U107" i="51"/>
  <c r="T107" i="51"/>
  <c r="U106" i="51"/>
  <c r="T106" i="51"/>
  <c r="U105" i="51"/>
  <c r="T105" i="51"/>
  <c r="U104" i="51"/>
  <c r="T104" i="51"/>
  <c r="U103" i="51"/>
  <c r="T103" i="51"/>
  <c r="U102" i="51"/>
  <c r="T102" i="51"/>
  <c r="U101" i="51"/>
  <c r="T101" i="51"/>
  <c r="U100" i="51"/>
  <c r="T100" i="51"/>
  <c r="U99" i="51"/>
  <c r="T99" i="51"/>
  <c r="U98" i="51"/>
  <c r="T98" i="51"/>
  <c r="U97" i="51"/>
  <c r="T97" i="51"/>
  <c r="U96" i="51"/>
  <c r="T96" i="51"/>
  <c r="U95" i="51"/>
  <c r="T95" i="51"/>
  <c r="U94" i="51"/>
  <c r="T94" i="51"/>
  <c r="U93" i="51"/>
  <c r="T93" i="51"/>
  <c r="U92" i="51"/>
  <c r="T92" i="51"/>
  <c r="U91" i="51"/>
  <c r="T91" i="51"/>
  <c r="U90" i="51"/>
  <c r="T90" i="51"/>
  <c r="U89" i="51"/>
  <c r="T89" i="51"/>
  <c r="U88" i="51"/>
  <c r="T88" i="51"/>
  <c r="U87" i="51"/>
  <c r="T87" i="51"/>
  <c r="U86" i="51"/>
  <c r="T86" i="51"/>
  <c r="U85" i="51"/>
  <c r="T85" i="51"/>
  <c r="U84" i="51"/>
  <c r="T84" i="51"/>
  <c r="U83" i="51"/>
  <c r="T83" i="51"/>
  <c r="U82" i="51"/>
  <c r="T82" i="51"/>
  <c r="U81" i="51"/>
  <c r="T81" i="51"/>
  <c r="U80" i="51"/>
  <c r="T80" i="51"/>
  <c r="U79" i="51"/>
  <c r="T79" i="51"/>
  <c r="U78" i="51"/>
  <c r="T78" i="51"/>
  <c r="U77" i="51"/>
  <c r="T77" i="51"/>
  <c r="U76" i="51"/>
  <c r="T76" i="51"/>
  <c r="U75" i="51"/>
  <c r="T75" i="51"/>
  <c r="U74" i="51"/>
  <c r="T74" i="51"/>
  <c r="U73" i="51"/>
  <c r="T73" i="51"/>
  <c r="U72" i="51"/>
  <c r="T72" i="51"/>
  <c r="U71" i="51"/>
  <c r="T71" i="51"/>
  <c r="U70" i="51"/>
  <c r="T70" i="51"/>
  <c r="U69" i="51"/>
  <c r="T69" i="51"/>
  <c r="U68" i="51"/>
  <c r="T68" i="51"/>
  <c r="U67" i="51"/>
  <c r="T67" i="51"/>
  <c r="U66" i="51"/>
  <c r="T66" i="51"/>
  <c r="U65" i="51"/>
  <c r="T65" i="51"/>
  <c r="U64" i="51"/>
  <c r="T64" i="51"/>
  <c r="U63" i="51"/>
  <c r="T63" i="51"/>
  <c r="U62" i="51"/>
  <c r="T62" i="51"/>
  <c r="U61" i="51"/>
  <c r="T61" i="51"/>
  <c r="U60" i="51"/>
  <c r="T60" i="51"/>
  <c r="U59" i="51"/>
  <c r="T59" i="51"/>
  <c r="U58" i="51"/>
  <c r="T58" i="51"/>
  <c r="U57" i="51"/>
  <c r="T57" i="51"/>
  <c r="U56" i="51"/>
  <c r="T56" i="51"/>
  <c r="U55" i="51"/>
  <c r="T55" i="51"/>
  <c r="U54" i="51"/>
  <c r="T54" i="51"/>
  <c r="U53" i="51"/>
  <c r="T53" i="51"/>
  <c r="U52" i="51"/>
  <c r="T52" i="51"/>
  <c r="U51" i="51"/>
  <c r="T51" i="51"/>
  <c r="U50" i="51"/>
  <c r="T50" i="51"/>
  <c r="U49" i="51"/>
  <c r="T49" i="51"/>
  <c r="U48" i="51"/>
  <c r="T48" i="51"/>
  <c r="U47" i="51"/>
  <c r="T47" i="51"/>
  <c r="U46" i="51"/>
  <c r="T46" i="51"/>
  <c r="U45" i="51"/>
  <c r="T45" i="51"/>
  <c r="U44" i="51"/>
  <c r="T44" i="51"/>
  <c r="U43" i="51"/>
  <c r="T43" i="51"/>
  <c r="U42" i="51"/>
  <c r="T42" i="51"/>
  <c r="U41" i="51"/>
  <c r="T41" i="51"/>
  <c r="U40" i="51"/>
  <c r="T40" i="51"/>
  <c r="U39" i="51"/>
  <c r="T39" i="51"/>
  <c r="U38" i="51"/>
  <c r="T38" i="51"/>
  <c r="U37" i="51"/>
  <c r="T37" i="51"/>
  <c r="U36" i="51"/>
  <c r="T36" i="51"/>
  <c r="U35" i="51"/>
  <c r="T35" i="51"/>
  <c r="U34" i="51"/>
  <c r="T34" i="51"/>
  <c r="U33" i="51"/>
  <c r="T33" i="51"/>
  <c r="U32" i="51"/>
  <c r="T32" i="51"/>
  <c r="U31" i="51"/>
  <c r="T31" i="51"/>
  <c r="U30" i="51"/>
  <c r="T30" i="51"/>
  <c r="U29" i="51"/>
  <c r="T29" i="51"/>
  <c r="U28" i="51"/>
  <c r="T28" i="51"/>
  <c r="U27" i="51"/>
  <c r="T27" i="51"/>
  <c r="U26" i="51"/>
  <c r="T26" i="51"/>
  <c r="U25" i="51"/>
  <c r="T25" i="51"/>
  <c r="U24" i="51"/>
  <c r="T24" i="51"/>
  <c r="U23" i="51"/>
  <c r="T23" i="51"/>
  <c r="U22" i="51"/>
  <c r="T22" i="51"/>
  <c r="U21" i="51"/>
  <c r="T21" i="51"/>
  <c r="U20" i="51"/>
  <c r="T20" i="51"/>
  <c r="U19" i="51"/>
  <c r="T19" i="51"/>
  <c r="U18" i="51"/>
  <c r="T18" i="51"/>
  <c r="U17" i="51"/>
  <c r="T17" i="51"/>
  <c r="U16" i="51"/>
  <c r="T16" i="51"/>
  <c r="U15" i="51"/>
  <c r="T15" i="51"/>
  <c r="U14" i="51"/>
  <c r="T14" i="51"/>
  <c r="U13" i="51"/>
  <c r="T13" i="51"/>
  <c r="U12" i="51"/>
  <c r="T12" i="51"/>
  <c r="U11" i="51"/>
  <c r="T11" i="51"/>
  <c r="U10" i="51"/>
  <c r="T10" i="51"/>
  <c r="U9" i="51"/>
  <c r="T9" i="51"/>
  <c r="U8" i="51"/>
  <c r="T8" i="51"/>
  <c r="U7" i="51"/>
  <c r="T7" i="51"/>
  <c r="U6" i="51"/>
  <c r="T6" i="51"/>
  <c r="U5" i="51"/>
  <c r="T5" i="51"/>
  <c r="U4" i="51"/>
  <c r="T4" i="51"/>
  <c r="U3" i="51"/>
  <c r="T3" i="51"/>
  <c r="U2" i="51"/>
  <c r="T2" i="51"/>
  <c r="R322" i="18" l="1"/>
  <c r="R63" i="18"/>
  <c r="R52" i="18"/>
  <c r="R335" i="18"/>
  <c r="R283" i="18"/>
  <c r="R166" i="18"/>
  <c r="R337" i="18"/>
  <c r="R296" i="18"/>
  <c r="R174" i="18"/>
  <c r="R171" i="18"/>
  <c r="R350" i="18"/>
  <c r="R176" i="18"/>
  <c r="R169" i="18"/>
  <c r="R68" i="18"/>
  <c r="R56" i="18"/>
  <c r="R53" i="18"/>
  <c r="R334" i="18"/>
  <c r="R315" i="18"/>
  <c r="R304" i="18"/>
  <c r="R282" i="18"/>
  <c r="R163" i="18"/>
  <c r="R137" i="18"/>
  <c r="R44" i="18"/>
  <c r="R309" i="18"/>
  <c r="R301" i="18"/>
  <c r="P34" i="31"/>
  <c r="O34" i="31"/>
  <c r="N34" i="31"/>
  <c r="M34" i="31"/>
  <c r="L34" i="31"/>
  <c r="K34" i="31"/>
  <c r="J34" i="31"/>
  <c r="I34" i="31"/>
  <c r="H34" i="31"/>
  <c r="G34" i="31"/>
  <c r="F34" i="31"/>
  <c r="H42" i="13"/>
  <c r="Q34" i="31" s="1"/>
  <c r="E34" i="31"/>
  <c r="I54" i="13"/>
  <c r="Q54" i="13"/>
  <c r="P55" i="31" s="1"/>
  <c r="AC54" i="13"/>
  <c r="P61" i="31" s="1"/>
  <c r="AK54" i="13"/>
  <c r="P65" i="31" s="1"/>
  <c r="E54" i="13"/>
  <c r="F54" i="13"/>
  <c r="L54" i="13" s="1"/>
  <c r="M54" i="13"/>
  <c r="P53" i="31" s="1"/>
  <c r="U54" i="13"/>
  <c r="P57" i="31" s="1"/>
  <c r="Y54" i="13"/>
  <c r="P59" i="31" s="1"/>
  <c r="AG54" i="13"/>
  <c r="P63" i="31" s="1"/>
  <c r="E53" i="13"/>
  <c r="F53" i="13"/>
  <c r="L53" i="13" s="1"/>
  <c r="M53" i="13"/>
  <c r="O53" i="31" s="1"/>
  <c r="U53" i="13"/>
  <c r="O57" i="31" s="1"/>
  <c r="AC53" i="13"/>
  <c r="O61" i="31" s="1"/>
  <c r="AK53" i="13"/>
  <c r="O65" i="31" s="1"/>
  <c r="I53" i="13"/>
  <c r="Q53" i="13"/>
  <c r="O55" i="31" s="1"/>
  <c r="Y53" i="13"/>
  <c r="O59" i="31" s="1"/>
  <c r="AG53" i="13"/>
  <c r="O63" i="31" s="1"/>
  <c r="F52" i="13"/>
  <c r="L52" i="13" s="1"/>
  <c r="M52" i="13"/>
  <c r="N53" i="31" s="1"/>
  <c r="U52" i="13"/>
  <c r="N57" i="31" s="1"/>
  <c r="AC52" i="13"/>
  <c r="N61" i="31" s="1"/>
  <c r="E52" i="13"/>
  <c r="I52" i="13"/>
  <c r="Q52" i="13"/>
  <c r="N55" i="31" s="1"/>
  <c r="Y52" i="13"/>
  <c r="N59" i="31" s="1"/>
  <c r="AG52" i="13"/>
  <c r="N63" i="31" s="1"/>
  <c r="AK52" i="13"/>
  <c r="N65" i="31" s="1"/>
  <c r="E51" i="13"/>
  <c r="F51" i="13"/>
  <c r="L51" i="13" s="1"/>
  <c r="M51" i="13"/>
  <c r="M53" i="31" s="1"/>
  <c r="Q51" i="13"/>
  <c r="M55" i="31" s="1"/>
  <c r="U51" i="13"/>
  <c r="M57" i="31" s="1"/>
  <c r="Y51" i="13"/>
  <c r="M59" i="31" s="1"/>
  <c r="AC51" i="13"/>
  <c r="M61" i="31" s="1"/>
  <c r="AG51" i="13"/>
  <c r="M63" i="31" s="1"/>
  <c r="AK51" i="13"/>
  <c r="M65" i="31" s="1"/>
  <c r="I51" i="13"/>
  <c r="M50" i="13"/>
  <c r="L53" i="31" s="1"/>
  <c r="Q50" i="13"/>
  <c r="L55" i="31" s="1"/>
  <c r="Y50" i="13"/>
  <c r="L59" i="31" s="1"/>
  <c r="I50" i="13"/>
  <c r="U50" i="13"/>
  <c r="L57" i="31" s="1"/>
  <c r="E50" i="13"/>
  <c r="F50" i="13"/>
  <c r="L50" i="13" s="1"/>
  <c r="AC50" i="13"/>
  <c r="L61" i="31" s="1"/>
  <c r="AG50" i="13"/>
  <c r="L63" i="31" s="1"/>
  <c r="AK50" i="13"/>
  <c r="L65" i="31" s="1"/>
  <c r="E49" i="13"/>
  <c r="F49" i="13"/>
  <c r="L49" i="13" s="1"/>
  <c r="Q49" i="13"/>
  <c r="K55" i="31" s="1"/>
  <c r="AC49" i="13"/>
  <c r="K61" i="31" s="1"/>
  <c r="AG49" i="13"/>
  <c r="K63" i="31" s="1"/>
  <c r="AK49" i="13"/>
  <c r="K65" i="31" s="1"/>
  <c r="U49" i="13"/>
  <c r="K57" i="31" s="1"/>
  <c r="I49" i="13"/>
  <c r="M49" i="13"/>
  <c r="K53" i="31" s="1"/>
  <c r="Y49" i="13"/>
  <c r="K59" i="31" s="1"/>
  <c r="E48" i="13"/>
  <c r="F48" i="13"/>
  <c r="L48" i="13" s="1"/>
  <c r="I48" i="13"/>
  <c r="M48" i="13"/>
  <c r="J53" i="31" s="1"/>
  <c r="Q48" i="13"/>
  <c r="J55" i="31" s="1"/>
  <c r="AC48" i="13"/>
  <c r="J61" i="31" s="1"/>
  <c r="AG48" i="13"/>
  <c r="J63" i="31" s="1"/>
  <c r="AK48" i="13"/>
  <c r="J65" i="31" s="1"/>
  <c r="Y48" i="13"/>
  <c r="J59" i="31" s="1"/>
  <c r="U48" i="13"/>
  <c r="J57" i="31" s="1"/>
  <c r="E47" i="13"/>
  <c r="F47" i="13"/>
  <c r="L47" i="13" s="1"/>
  <c r="I47" i="13"/>
  <c r="M47" i="13"/>
  <c r="I53" i="31" s="1"/>
  <c r="Q47" i="13"/>
  <c r="I55" i="31" s="1"/>
  <c r="U47" i="13"/>
  <c r="I57" i="31" s="1"/>
  <c r="Y47" i="13"/>
  <c r="I59" i="31" s="1"/>
  <c r="AC47" i="13"/>
  <c r="I61" i="31" s="1"/>
  <c r="AG47" i="13"/>
  <c r="I63" i="31" s="1"/>
  <c r="AK47" i="13"/>
  <c r="I65" i="31" s="1"/>
  <c r="E46" i="13"/>
  <c r="F46" i="13"/>
  <c r="L46" i="13" s="1"/>
  <c r="I46" i="13"/>
  <c r="M46" i="13"/>
  <c r="H53" i="31" s="1"/>
  <c r="Q46" i="13"/>
  <c r="H55" i="31" s="1"/>
  <c r="U46" i="13"/>
  <c r="H57" i="31" s="1"/>
  <c r="Y46" i="13"/>
  <c r="H59" i="31" s="1"/>
  <c r="AC46" i="13"/>
  <c r="H61" i="31" s="1"/>
  <c r="AG46" i="13"/>
  <c r="H63" i="31" s="1"/>
  <c r="AK46" i="13"/>
  <c r="H65" i="31" s="1"/>
  <c r="E45" i="13"/>
  <c r="F45" i="13"/>
  <c r="L45" i="13" s="1"/>
  <c r="I45" i="13"/>
  <c r="M45" i="13"/>
  <c r="G53" i="31" s="1"/>
  <c r="Q45" i="13"/>
  <c r="G55" i="31" s="1"/>
  <c r="U45" i="13"/>
  <c r="G57" i="31" s="1"/>
  <c r="Y45" i="13"/>
  <c r="G59" i="31" s="1"/>
  <c r="AC45" i="13"/>
  <c r="G61" i="31" s="1"/>
  <c r="AG45" i="13"/>
  <c r="G63" i="31" s="1"/>
  <c r="AK45" i="13"/>
  <c r="G65" i="31" s="1"/>
  <c r="E44" i="13"/>
  <c r="F44" i="13"/>
  <c r="L44" i="13" s="1"/>
  <c r="I44" i="13"/>
  <c r="M44" i="13"/>
  <c r="F53" i="31" s="1"/>
  <c r="Q44" i="13"/>
  <c r="F55" i="31" s="1"/>
  <c r="U44" i="13"/>
  <c r="F57" i="31" s="1"/>
  <c r="Y44" i="13"/>
  <c r="F59" i="31" s="1"/>
  <c r="AC44" i="13"/>
  <c r="F61" i="31" s="1"/>
  <c r="AG44" i="13"/>
  <c r="F63" i="31" s="1"/>
  <c r="AK44" i="13"/>
  <c r="F65" i="31" s="1"/>
  <c r="E43" i="13"/>
  <c r="F43" i="13"/>
  <c r="I43" i="13"/>
  <c r="M43" i="13"/>
  <c r="Q43" i="13"/>
  <c r="U43" i="13"/>
  <c r="Y43" i="13"/>
  <c r="AC43" i="13"/>
  <c r="AG43" i="13"/>
  <c r="AK43" i="13"/>
  <c r="E41" i="13"/>
  <c r="F41" i="13"/>
  <c r="L41" i="13" s="1"/>
  <c r="I41" i="13"/>
  <c r="J41" i="13" s="1"/>
  <c r="M41" i="13"/>
  <c r="P37" i="31" s="1"/>
  <c r="Q41" i="13"/>
  <c r="P39" i="31" s="1"/>
  <c r="U41" i="13"/>
  <c r="P41" i="31" s="1"/>
  <c r="Y41" i="13"/>
  <c r="P43" i="31" s="1"/>
  <c r="AC41" i="13"/>
  <c r="P45" i="31" s="1"/>
  <c r="AG41" i="13"/>
  <c r="P47" i="31" s="1"/>
  <c r="AK41" i="13"/>
  <c r="P49" i="31" s="1"/>
  <c r="E40" i="13"/>
  <c r="F40" i="13"/>
  <c r="L40" i="13" s="1"/>
  <c r="I40" i="13"/>
  <c r="J40" i="13" s="1"/>
  <c r="M40" i="13"/>
  <c r="O37" i="31" s="1"/>
  <c r="Q40" i="13"/>
  <c r="O39" i="31" s="1"/>
  <c r="U40" i="13"/>
  <c r="O41" i="31" s="1"/>
  <c r="Y40" i="13"/>
  <c r="O43" i="31" s="1"/>
  <c r="AC40" i="13"/>
  <c r="O45" i="31" s="1"/>
  <c r="AG40" i="13"/>
  <c r="O47" i="31" s="1"/>
  <c r="AK40" i="13"/>
  <c r="O49" i="31" s="1"/>
  <c r="E39" i="13"/>
  <c r="F39" i="13"/>
  <c r="L39" i="13" s="1"/>
  <c r="I39" i="13"/>
  <c r="J39" i="13" s="1"/>
  <c r="M39" i="13"/>
  <c r="N37" i="31" s="1"/>
  <c r="Q39" i="13"/>
  <c r="N39" i="31" s="1"/>
  <c r="U39" i="13"/>
  <c r="N41" i="31" s="1"/>
  <c r="Y39" i="13"/>
  <c r="N43" i="31" s="1"/>
  <c r="AC39" i="13"/>
  <c r="N45" i="31" s="1"/>
  <c r="AG39" i="13"/>
  <c r="N47" i="31" s="1"/>
  <c r="AK39" i="13"/>
  <c r="N49" i="31" s="1"/>
  <c r="E38" i="13"/>
  <c r="F38" i="13"/>
  <c r="L38" i="13" s="1"/>
  <c r="I38" i="13"/>
  <c r="J38" i="13" s="1"/>
  <c r="M38" i="13"/>
  <c r="M37" i="31" s="1"/>
  <c r="Q38" i="13"/>
  <c r="M39" i="31" s="1"/>
  <c r="U38" i="13"/>
  <c r="M41" i="31" s="1"/>
  <c r="Y38" i="13"/>
  <c r="M43" i="31" s="1"/>
  <c r="AC38" i="13"/>
  <c r="M45" i="31" s="1"/>
  <c r="AG38" i="13"/>
  <c r="M47" i="31" s="1"/>
  <c r="AK38" i="13"/>
  <c r="M49" i="31" s="1"/>
  <c r="E37" i="13"/>
  <c r="F37" i="13"/>
  <c r="L37" i="13" s="1"/>
  <c r="I37" i="13"/>
  <c r="J37" i="13" s="1"/>
  <c r="M37" i="13"/>
  <c r="L37" i="31" s="1"/>
  <c r="Q37" i="13"/>
  <c r="L39" i="31" s="1"/>
  <c r="U37" i="13"/>
  <c r="L41" i="31" s="1"/>
  <c r="Y37" i="13"/>
  <c r="L43" i="31" s="1"/>
  <c r="AC37" i="13"/>
  <c r="L45" i="31" s="1"/>
  <c r="AG37" i="13"/>
  <c r="L47" i="31" s="1"/>
  <c r="AK37" i="13"/>
  <c r="L49" i="31" s="1"/>
  <c r="E36" i="13"/>
  <c r="F36" i="13"/>
  <c r="L36" i="13" s="1"/>
  <c r="I36" i="13"/>
  <c r="J36" i="13" s="1"/>
  <c r="M36" i="13"/>
  <c r="K37" i="31" s="1"/>
  <c r="Q36" i="13"/>
  <c r="K39" i="31" s="1"/>
  <c r="U36" i="13"/>
  <c r="K41" i="31" s="1"/>
  <c r="Y36" i="13"/>
  <c r="K43" i="31" s="1"/>
  <c r="AC36" i="13"/>
  <c r="K45" i="31" s="1"/>
  <c r="AG36" i="13"/>
  <c r="K47" i="31" s="1"/>
  <c r="AK36" i="13"/>
  <c r="K49" i="31" s="1"/>
  <c r="E35" i="13"/>
  <c r="F35" i="13"/>
  <c r="L35" i="13" s="1"/>
  <c r="I35" i="13"/>
  <c r="J35" i="13" s="1"/>
  <c r="M35" i="13"/>
  <c r="J37" i="31" s="1"/>
  <c r="Q35" i="13"/>
  <c r="J39" i="31" s="1"/>
  <c r="U35" i="13"/>
  <c r="J41" i="31" s="1"/>
  <c r="Y35" i="13"/>
  <c r="J43" i="31" s="1"/>
  <c r="AC35" i="13"/>
  <c r="J45" i="31" s="1"/>
  <c r="AG35" i="13"/>
  <c r="J47" i="31" s="1"/>
  <c r="AK35" i="13"/>
  <c r="J49" i="31" s="1"/>
  <c r="E34" i="13"/>
  <c r="F34" i="13"/>
  <c r="L34" i="13" s="1"/>
  <c r="I34" i="13"/>
  <c r="J34" i="13" s="1"/>
  <c r="M34" i="13"/>
  <c r="I37" i="31" s="1"/>
  <c r="Q34" i="13"/>
  <c r="I39" i="31" s="1"/>
  <c r="U34" i="13"/>
  <c r="I41" i="31" s="1"/>
  <c r="Y34" i="13"/>
  <c r="I43" i="31" s="1"/>
  <c r="AC34" i="13"/>
  <c r="I45" i="31" s="1"/>
  <c r="AG34" i="13"/>
  <c r="I47" i="31" s="1"/>
  <c r="AK34" i="13"/>
  <c r="I49" i="31" s="1"/>
  <c r="E33" i="13"/>
  <c r="F33" i="13"/>
  <c r="L33" i="13" s="1"/>
  <c r="I33" i="13"/>
  <c r="J33" i="13" s="1"/>
  <c r="M33" i="13"/>
  <c r="H37" i="31" s="1"/>
  <c r="Q33" i="13"/>
  <c r="H39" i="31" s="1"/>
  <c r="U33" i="13"/>
  <c r="H41" i="31" s="1"/>
  <c r="Y33" i="13"/>
  <c r="H43" i="31" s="1"/>
  <c r="AC33" i="13"/>
  <c r="H45" i="31" s="1"/>
  <c r="AG33" i="13"/>
  <c r="H47" i="31" s="1"/>
  <c r="AK33" i="13"/>
  <c r="H49" i="31" s="1"/>
  <c r="E32" i="13"/>
  <c r="F32" i="13"/>
  <c r="L32" i="13" s="1"/>
  <c r="I32" i="13"/>
  <c r="J32" i="13" s="1"/>
  <c r="M32" i="13"/>
  <c r="G37" i="31" s="1"/>
  <c r="Q32" i="13"/>
  <c r="G39" i="31" s="1"/>
  <c r="U32" i="13"/>
  <c r="G41" i="31" s="1"/>
  <c r="Y32" i="13"/>
  <c r="G43" i="31" s="1"/>
  <c r="AC32" i="13"/>
  <c r="G45" i="31" s="1"/>
  <c r="AG32" i="13"/>
  <c r="G47" i="31" s="1"/>
  <c r="AK32" i="13"/>
  <c r="G49" i="31" s="1"/>
  <c r="E31" i="13"/>
  <c r="F31" i="13"/>
  <c r="L31" i="13" s="1"/>
  <c r="I31" i="13"/>
  <c r="J31" i="13" s="1"/>
  <c r="M31" i="13"/>
  <c r="F37" i="31" s="1"/>
  <c r="Q31" i="13"/>
  <c r="F39" i="31" s="1"/>
  <c r="U31" i="13"/>
  <c r="F41" i="31" s="1"/>
  <c r="Y31" i="13"/>
  <c r="F43" i="31" s="1"/>
  <c r="AC31" i="13"/>
  <c r="F45" i="31" s="1"/>
  <c r="AG31" i="13"/>
  <c r="F47" i="31" s="1"/>
  <c r="AK31" i="13"/>
  <c r="F49" i="31" s="1"/>
  <c r="E30" i="13"/>
  <c r="F30" i="13"/>
  <c r="I30" i="13"/>
  <c r="J30" i="13" s="1"/>
  <c r="M30" i="13"/>
  <c r="Q30" i="13"/>
  <c r="U30" i="13"/>
  <c r="Y30" i="13"/>
  <c r="AC30" i="13"/>
  <c r="AG30" i="13"/>
  <c r="AK30" i="13"/>
  <c r="E28" i="13"/>
  <c r="F28" i="13"/>
  <c r="L28" i="13" s="1"/>
  <c r="I28" i="13"/>
  <c r="M28" i="13"/>
  <c r="P21" i="31" s="1"/>
  <c r="Q28" i="13"/>
  <c r="P23" i="31" s="1"/>
  <c r="U28" i="13"/>
  <c r="P25" i="31" s="1"/>
  <c r="Y28" i="13"/>
  <c r="P27" i="31" s="1"/>
  <c r="AC28" i="13"/>
  <c r="P29" i="31" s="1"/>
  <c r="AG28" i="13"/>
  <c r="P31" i="31" s="1"/>
  <c r="AK28" i="13"/>
  <c r="P33" i="31" s="1"/>
  <c r="E27" i="13"/>
  <c r="F27" i="13"/>
  <c r="L27" i="13" s="1"/>
  <c r="I27" i="13"/>
  <c r="M27" i="13"/>
  <c r="O21" i="31" s="1"/>
  <c r="Q27" i="13"/>
  <c r="O23" i="31" s="1"/>
  <c r="U27" i="13"/>
  <c r="O25" i="31" s="1"/>
  <c r="Y27" i="13"/>
  <c r="O27" i="31" s="1"/>
  <c r="AC27" i="13"/>
  <c r="O29" i="31" s="1"/>
  <c r="AG27" i="13"/>
  <c r="O31" i="31" s="1"/>
  <c r="AK27" i="13"/>
  <c r="O33" i="31" s="1"/>
  <c r="E26" i="13"/>
  <c r="F26" i="13"/>
  <c r="L26" i="13" s="1"/>
  <c r="I26" i="13"/>
  <c r="M26" i="13"/>
  <c r="N21" i="31" s="1"/>
  <c r="Q26" i="13"/>
  <c r="N23" i="31" s="1"/>
  <c r="U26" i="13"/>
  <c r="N25" i="31" s="1"/>
  <c r="Y26" i="13"/>
  <c r="N27" i="31" s="1"/>
  <c r="AC26" i="13"/>
  <c r="N29" i="31" s="1"/>
  <c r="AG26" i="13"/>
  <c r="N31" i="31" s="1"/>
  <c r="AK26" i="13"/>
  <c r="N33" i="31" s="1"/>
  <c r="E25" i="13"/>
  <c r="F25" i="13"/>
  <c r="L25" i="13" s="1"/>
  <c r="I25" i="13"/>
  <c r="M25" i="13"/>
  <c r="M21" i="31" s="1"/>
  <c r="Q25" i="13"/>
  <c r="M23" i="31" s="1"/>
  <c r="U25" i="13"/>
  <c r="M25" i="31" s="1"/>
  <c r="Y25" i="13"/>
  <c r="M27" i="31" s="1"/>
  <c r="AC25" i="13"/>
  <c r="M29" i="31" s="1"/>
  <c r="AG25" i="13"/>
  <c r="M31" i="31" s="1"/>
  <c r="AK25" i="13"/>
  <c r="M33" i="31" s="1"/>
  <c r="E24" i="13"/>
  <c r="F24" i="13"/>
  <c r="L24" i="13" s="1"/>
  <c r="I24" i="13"/>
  <c r="M24" i="13"/>
  <c r="L21" i="31" s="1"/>
  <c r="Q24" i="13"/>
  <c r="L23" i="31" s="1"/>
  <c r="U24" i="13"/>
  <c r="L25" i="31" s="1"/>
  <c r="Y24" i="13"/>
  <c r="L27" i="31" s="1"/>
  <c r="AC24" i="13"/>
  <c r="L29" i="31" s="1"/>
  <c r="AG24" i="13"/>
  <c r="L31" i="31" s="1"/>
  <c r="AK24" i="13"/>
  <c r="L33" i="31" s="1"/>
  <c r="E23" i="13"/>
  <c r="F23" i="13"/>
  <c r="L23" i="13" s="1"/>
  <c r="I23" i="13"/>
  <c r="M23" i="13"/>
  <c r="K21" i="31" s="1"/>
  <c r="Q23" i="13"/>
  <c r="K23" i="31" s="1"/>
  <c r="U23" i="13"/>
  <c r="K25" i="31" s="1"/>
  <c r="Y23" i="13"/>
  <c r="K27" i="31" s="1"/>
  <c r="AC23" i="13"/>
  <c r="K29" i="31" s="1"/>
  <c r="AG23" i="13"/>
  <c r="K31" i="31" s="1"/>
  <c r="AK23" i="13"/>
  <c r="K33" i="31" s="1"/>
  <c r="E22" i="13"/>
  <c r="F22" i="13"/>
  <c r="L22" i="13" s="1"/>
  <c r="I22" i="13"/>
  <c r="M22" i="13"/>
  <c r="J21" i="31" s="1"/>
  <c r="Q22" i="13"/>
  <c r="J23" i="31" s="1"/>
  <c r="U22" i="13"/>
  <c r="J25" i="31" s="1"/>
  <c r="Y22" i="13"/>
  <c r="J27" i="31" s="1"/>
  <c r="AC22" i="13"/>
  <c r="J29" i="31" s="1"/>
  <c r="AG22" i="13"/>
  <c r="J31" i="31" s="1"/>
  <c r="AK22" i="13"/>
  <c r="J33" i="31" s="1"/>
  <c r="E21" i="13"/>
  <c r="F21" i="13"/>
  <c r="L21" i="13" s="1"/>
  <c r="I21" i="13"/>
  <c r="M21" i="13"/>
  <c r="I21" i="31" s="1"/>
  <c r="Q21" i="13"/>
  <c r="I23" i="31" s="1"/>
  <c r="U21" i="13"/>
  <c r="I25" i="31" s="1"/>
  <c r="Y21" i="13"/>
  <c r="I27" i="31" s="1"/>
  <c r="AC21" i="13"/>
  <c r="I29" i="31" s="1"/>
  <c r="AG21" i="13"/>
  <c r="I31" i="31" s="1"/>
  <c r="AK21" i="13"/>
  <c r="I33" i="31" s="1"/>
  <c r="E20" i="13"/>
  <c r="F20" i="13"/>
  <c r="L20" i="13" s="1"/>
  <c r="I20" i="13"/>
  <c r="M20" i="13"/>
  <c r="H21" i="31" s="1"/>
  <c r="Q20" i="13"/>
  <c r="H23" i="31" s="1"/>
  <c r="U20" i="13"/>
  <c r="H25" i="31" s="1"/>
  <c r="Y20" i="13"/>
  <c r="H27" i="31" s="1"/>
  <c r="AC20" i="13"/>
  <c r="H29" i="31" s="1"/>
  <c r="AG20" i="13"/>
  <c r="H31" i="31" s="1"/>
  <c r="AK20" i="13"/>
  <c r="H33" i="31" s="1"/>
  <c r="E19" i="13"/>
  <c r="F19" i="13"/>
  <c r="L19" i="13" s="1"/>
  <c r="I19" i="13"/>
  <c r="M19" i="13"/>
  <c r="G21" i="31" s="1"/>
  <c r="Q19" i="13"/>
  <c r="G23" i="31" s="1"/>
  <c r="U19" i="13"/>
  <c r="G25" i="31" s="1"/>
  <c r="Y19" i="13"/>
  <c r="G27" i="31" s="1"/>
  <c r="AC19" i="13"/>
  <c r="G29" i="31" s="1"/>
  <c r="AG19" i="13"/>
  <c r="G31" i="31" s="1"/>
  <c r="AK19" i="13"/>
  <c r="G33" i="31" s="1"/>
  <c r="E18" i="13"/>
  <c r="F18" i="13"/>
  <c r="L18" i="13" s="1"/>
  <c r="I18" i="13"/>
  <c r="M18" i="13"/>
  <c r="F21" i="31" s="1"/>
  <c r="Q18" i="13"/>
  <c r="F23" i="31" s="1"/>
  <c r="U18" i="13"/>
  <c r="F25" i="31" s="1"/>
  <c r="Y18" i="13"/>
  <c r="F27" i="31" s="1"/>
  <c r="AC18" i="13"/>
  <c r="F29" i="31" s="1"/>
  <c r="AG18" i="13"/>
  <c r="F31" i="31" s="1"/>
  <c r="AK18" i="13"/>
  <c r="F33" i="31" s="1"/>
  <c r="E17" i="13"/>
  <c r="F17" i="13"/>
  <c r="I17" i="13"/>
  <c r="M17" i="13"/>
  <c r="Q17" i="13"/>
  <c r="U17" i="13"/>
  <c r="Y17" i="13"/>
  <c r="AC17" i="13"/>
  <c r="AG17" i="13"/>
  <c r="AK17" i="13"/>
  <c r="E15" i="13"/>
  <c r="F15" i="13"/>
  <c r="L15" i="13" s="1"/>
  <c r="I15" i="13"/>
  <c r="M15" i="13"/>
  <c r="P5" i="31" s="1"/>
  <c r="Q15" i="13"/>
  <c r="P7" i="31" s="1"/>
  <c r="U15" i="13"/>
  <c r="P9" i="31" s="1"/>
  <c r="Y15" i="13"/>
  <c r="P11" i="31" s="1"/>
  <c r="AC15" i="13"/>
  <c r="P13" i="31" s="1"/>
  <c r="AG15" i="13"/>
  <c r="P15" i="31" s="1"/>
  <c r="AK15" i="13"/>
  <c r="P17" i="31" s="1"/>
  <c r="E14" i="13"/>
  <c r="F14" i="13"/>
  <c r="L14" i="13" s="1"/>
  <c r="I14" i="13"/>
  <c r="M14" i="13"/>
  <c r="O5" i="31" s="1"/>
  <c r="Q14" i="13"/>
  <c r="O7" i="31" s="1"/>
  <c r="U14" i="13"/>
  <c r="O9" i="31" s="1"/>
  <c r="Y14" i="13"/>
  <c r="O11" i="31" s="1"/>
  <c r="AC14" i="13"/>
  <c r="O13" i="31" s="1"/>
  <c r="AG14" i="13"/>
  <c r="O15" i="31" s="1"/>
  <c r="AK14" i="13"/>
  <c r="O17" i="31" s="1"/>
  <c r="E13" i="13"/>
  <c r="F13" i="13"/>
  <c r="L13" i="13" s="1"/>
  <c r="I13" i="13"/>
  <c r="M13" i="13"/>
  <c r="N5" i="31" s="1"/>
  <c r="Q13" i="13"/>
  <c r="N7" i="31" s="1"/>
  <c r="U13" i="13"/>
  <c r="N9" i="31" s="1"/>
  <c r="Y13" i="13"/>
  <c r="N11" i="31" s="1"/>
  <c r="AC13" i="13"/>
  <c r="N13" i="31" s="1"/>
  <c r="AG13" i="13"/>
  <c r="N15" i="31" s="1"/>
  <c r="AK13" i="13"/>
  <c r="N17" i="31" s="1"/>
  <c r="E12" i="13"/>
  <c r="F12" i="13"/>
  <c r="L12" i="13" s="1"/>
  <c r="I12" i="13"/>
  <c r="M12" i="13"/>
  <c r="M5" i="31" s="1"/>
  <c r="Q12" i="13"/>
  <c r="M7" i="31" s="1"/>
  <c r="U12" i="13"/>
  <c r="M9" i="31" s="1"/>
  <c r="Y12" i="13"/>
  <c r="M11" i="31" s="1"/>
  <c r="AC12" i="13"/>
  <c r="M13" i="31" s="1"/>
  <c r="AG12" i="13"/>
  <c r="M15" i="31" s="1"/>
  <c r="AK12" i="13"/>
  <c r="M17" i="31" s="1"/>
  <c r="E11" i="13"/>
  <c r="F11" i="13"/>
  <c r="L11" i="13" s="1"/>
  <c r="I11" i="13"/>
  <c r="M11" i="13"/>
  <c r="L5" i="31" s="1"/>
  <c r="Q11" i="13"/>
  <c r="L7" i="31" s="1"/>
  <c r="U11" i="13"/>
  <c r="L9" i="31" s="1"/>
  <c r="Y11" i="13"/>
  <c r="L11" i="31" s="1"/>
  <c r="AC11" i="13"/>
  <c r="L13" i="31" s="1"/>
  <c r="AG11" i="13"/>
  <c r="L15" i="31" s="1"/>
  <c r="AK11" i="13"/>
  <c r="L17" i="31" s="1"/>
  <c r="E10" i="13"/>
  <c r="F10" i="13"/>
  <c r="L10" i="13" s="1"/>
  <c r="I10" i="13"/>
  <c r="M10" i="13"/>
  <c r="K5" i="31" s="1"/>
  <c r="Q10" i="13"/>
  <c r="K7" i="31" s="1"/>
  <c r="U10" i="13"/>
  <c r="K9" i="31" s="1"/>
  <c r="Y10" i="13"/>
  <c r="K11" i="31" s="1"/>
  <c r="AC10" i="13"/>
  <c r="K13" i="31" s="1"/>
  <c r="AG10" i="13"/>
  <c r="K15" i="31" s="1"/>
  <c r="AK10" i="13"/>
  <c r="K17" i="31" s="1"/>
  <c r="E9" i="13"/>
  <c r="F9" i="13"/>
  <c r="L9" i="13" s="1"/>
  <c r="I9" i="13"/>
  <c r="M9" i="13"/>
  <c r="J5" i="31" s="1"/>
  <c r="Q9" i="13"/>
  <c r="J7" i="31" s="1"/>
  <c r="U9" i="13"/>
  <c r="J9" i="31" s="1"/>
  <c r="Y9" i="13"/>
  <c r="J11" i="31" s="1"/>
  <c r="AC9" i="13"/>
  <c r="J13" i="31" s="1"/>
  <c r="AG9" i="13"/>
  <c r="J15" i="31" s="1"/>
  <c r="AK9" i="13"/>
  <c r="J17" i="31" s="1"/>
  <c r="E8" i="13"/>
  <c r="F8" i="13"/>
  <c r="L8" i="13" s="1"/>
  <c r="I8" i="13"/>
  <c r="M8" i="13"/>
  <c r="I5" i="31" s="1"/>
  <c r="Q8" i="13"/>
  <c r="I7" i="31" s="1"/>
  <c r="U8" i="13"/>
  <c r="I9" i="31" s="1"/>
  <c r="Y8" i="13"/>
  <c r="I11" i="31" s="1"/>
  <c r="AC8" i="13"/>
  <c r="I13" i="31" s="1"/>
  <c r="AG8" i="13"/>
  <c r="I15" i="31" s="1"/>
  <c r="AK8" i="13"/>
  <c r="I17" i="31" s="1"/>
  <c r="E7" i="13"/>
  <c r="F7" i="13"/>
  <c r="L7" i="13" s="1"/>
  <c r="I7" i="13"/>
  <c r="M7" i="13"/>
  <c r="H5" i="31" s="1"/>
  <c r="Q7" i="13"/>
  <c r="H7" i="31" s="1"/>
  <c r="U7" i="13"/>
  <c r="H9" i="31" s="1"/>
  <c r="Y7" i="13"/>
  <c r="H11" i="31" s="1"/>
  <c r="AC7" i="13"/>
  <c r="H13" i="31" s="1"/>
  <c r="AG7" i="13"/>
  <c r="H15" i="31" s="1"/>
  <c r="AK7" i="13"/>
  <c r="H17" i="31" s="1"/>
  <c r="E6" i="13"/>
  <c r="F6" i="13"/>
  <c r="L6" i="13" s="1"/>
  <c r="I6" i="13"/>
  <c r="M6" i="13"/>
  <c r="G5" i="31" s="1"/>
  <c r="Q6" i="13"/>
  <c r="G7" i="31" s="1"/>
  <c r="U6" i="13"/>
  <c r="G9" i="31" s="1"/>
  <c r="Y6" i="13"/>
  <c r="G11" i="31" s="1"/>
  <c r="AC6" i="13"/>
  <c r="G13" i="31" s="1"/>
  <c r="AG6" i="13"/>
  <c r="G15" i="31" s="1"/>
  <c r="AK6" i="13"/>
  <c r="G17" i="31" s="1"/>
  <c r="E5" i="13"/>
  <c r="F5" i="13"/>
  <c r="L5" i="13" s="1"/>
  <c r="I5" i="13"/>
  <c r="M5" i="13"/>
  <c r="F5" i="31" s="1"/>
  <c r="Q5" i="13"/>
  <c r="F7" i="31" s="1"/>
  <c r="U5" i="13"/>
  <c r="F9" i="31" s="1"/>
  <c r="Y5" i="13"/>
  <c r="F11" i="31" s="1"/>
  <c r="AC5" i="13"/>
  <c r="F13" i="31" s="1"/>
  <c r="AG5" i="13"/>
  <c r="F15" i="31" s="1"/>
  <c r="AK5" i="13"/>
  <c r="F17" i="31" s="1"/>
  <c r="E4" i="13"/>
  <c r="F4" i="13"/>
  <c r="I4" i="13"/>
  <c r="M4" i="13"/>
  <c r="Q4" i="13"/>
  <c r="U4" i="13"/>
  <c r="Y4" i="13"/>
  <c r="AC4" i="13"/>
  <c r="AG4" i="13"/>
  <c r="AK4" i="13"/>
  <c r="J42" i="13" l="1"/>
  <c r="AO54" i="13"/>
  <c r="P51" i="31"/>
  <c r="T54" i="13"/>
  <c r="X54" i="13"/>
  <c r="AF54" i="13"/>
  <c r="H54" i="13"/>
  <c r="P54" i="13"/>
  <c r="AB54" i="13"/>
  <c r="AJ54" i="13"/>
  <c r="N54" i="13"/>
  <c r="P52" i="31"/>
  <c r="T53" i="13"/>
  <c r="AB53" i="13"/>
  <c r="AJ53" i="13"/>
  <c r="H53" i="13"/>
  <c r="P53" i="13"/>
  <c r="X53" i="13"/>
  <c r="AF53" i="13"/>
  <c r="N53" i="13"/>
  <c r="O52" i="31"/>
  <c r="AO53" i="13"/>
  <c r="O51" i="31"/>
  <c r="N52" i="13"/>
  <c r="N52" i="31"/>
  <c r="H52" i="13"/>
  <c r="P52" i="13"/>
  <c r="X52" i="13"/>
  <c r="AF52" i="13"/>
  <c r="T52" i="13"/>
  <c r="AB52" i="13"/>
  <c r="AJ52" i="13"/>
  <c r="AO52" i="13"/>
  <c r="N51" i="31"/>
  <c r="P51" i="13"/>
  <c r="T51" i="13"/>
  <c r="X51" i="13"/>
  <c r="AJ51" i="13"/>
  <c r="AB51" i="13"/>
  <c r="AF51" i="13"/>
  <c r="H51" i="13"/>
  <c r="N51" i="13"/>
  <c r="M52" i="31"/>
  <c r="M51" i="31"/>
  <c r="AO51" i="13"/>
  <c r="L51" i="31"/>
  <c r="AO50" i="13"/>
  <c r="P50" i="13"/>
  <c r="AB50" i="13"/>
  <c r="AJ50" i="13"/>
  <c r="H50" i="13"/>
  <c r="T50" i="13"/>
  <c r="X50" i="13"/>
  <c r="AF50" i="13"/>
  <c r="L52" i="31"/>
  <c r="N50" i="13"/>
  <c r="P49" i="13"/>
  <c r="AB49" i="13"/>
  <c r="T49" i="13"/>
  <c r="AF49" i="13"/>
  <c r="AJ49" i="13"/>
  <c r="H49" i="13"/>
  <c r="X49" i="13"/>
  <c r="N49" i="13"/>
  <c r="K52" i="31"/>
  <c r="AO49" i="13"/>
  <c r="K51" i="31"/>
  <c r="H48" i="13"/>
  <c r="P48" i="13"/>
  <c r="T48" i="13"/>
  <c r="AB48" i="13"/>
  <c r="X48" i="13"/>
  <c r="AF48" i="13"/>
  <c r="AJ48" i="13"/>
  <c r="N48" i="13"/>
  <c r="J52" i="31"/>
  <c r="AO48" i="13"/>
  <c r="J51" i="31"/>
  <c r="H47" i="13"/>
  <c r="P47" i="13"/>
  <c r="T47" i="13"/>
  <c r="X47" i="13"/>
  <c r="AB47" i="13"/>
  <c r="AF47" i="13"/>
  <c r="AJ47" i="13"/>
  <c r="N47" i="13"/>
  <c r="I52" i="31"/>
  <c r="AO47" i="13"/>
  <c r="I51" i="31"/>
  <c r="H46" i="13"/>
  <c r="P46" i="13"/>
  <c r="T46" i="13"/>
  <c r="X46" i="13"/>
  <c r="AB46" i="13"/>
  <c r="AF46" i="13"/>
  <c r="AJ46" i="13"/>
  <c r="N46" i="13"/>
  <c r="H52" i="31"/>
  <c r="AO46" i="13"/>
  <c r="H51" i="31"/>
  <c r="H45" i="13"/>
  <c r="P45" i="13"/>
  <c r="T45" i="13"/>
  <c r="X45" i="13"/>
  <c r="AB45" i="13"/>
  <c r="AF45" i="13"/>
  <c r="AJ45" i="13"/>
  <c r="N45" i="13"/>
  <c r="G52" i="31"/>
  <c r="AO45" i="13"/>
  <c r="G51" i="31"/>
  <c r="H44" i="13"/>
  <c r="P44" i="13"/>
  <c r="T44" i="13"/>
  <c r="X44" i="13"/>
  <c r="AB44" i="13"/>
  <c r="AF44" i="13"/>
  <c r="AJ44" i="13"/>
  <c r="N44" i="13"/>
  <c r="F52" i="31"/>
  <c r="AO44" i="13"/>
  <c r="F51" i="31"/>
  <c r="H43" i="13"/>
  <c r="P43" i="13"/>
  <c r="T43" i="13"/>
  <c r="X43" i="13"/>
  <c r="AB43" i="13"/>
  <c r="AF43" i="13"/>
  <c r="AJ43" i="13"/>
  <c r="E55" i="13"/>
  <c r="L43" i="13"/>
  <c r="F55" i="13"/>
  <c r="AO43" i="13"/>
  <c r="AO55" i="13" s="1"/>
  <c r="E51" i="31"/>
  <c r="I55" i="13"/>
  <c r="Q51" i="31" s="1"/>
  <c r="E53" i="31"/>
  <c r="M55" i="13"/>
  <c r="Q53" i="31" s="1"/>
  <c r="E55" i="31"/>
  <c r="Q55" i="13"/>
  <c r="Q55" i="31" s="1"/>
  <c r="E57" i="31"/>
  <c r="U55" i="13"/>
  <c r="Q57" i="31" s="1"/>
  <c r="E59" i="31"/>
  <c r="Y55" i="13"/>
  <c r="Q59" i="31" s="1"/>
  <c r="E61" i="31"/>
  <c r="AC55" i="13"/>
  <c r="Q61" i="31" s="1"/>
  <c r="E63" i="31"/>
  <c r="AG55" i="13"/>
  <c r="Q63" i="31" s="1"/>
  <c r="E65" i="31"/>
  <c r="AK55" i="13"/>
  <c r="Q65" i="31" s="1"/>
  <c r="P41" i="13"/>
  <c r="T41" i="13"/>
  <c r="X41" i="13"/>
  <c r="AB41" i="13"/>
  <c r="AF41" i="13"/>
  <c r="AJ41" i="13"/>
  <c r="N41" i="13"/>
  <c r="P36" i="31"/>
  <c r="AO41" i="13"/>
  <c r="P35" i="31"/>
  <c r="P40" i="13"/>
  <c r="T40" i="13"/>
  <c r="X40" i="13"/>
  <c r="AB40" i="13"/>
  <c r="AF40" i="13"/>
  <c r="AJ40" i="13"/>
  <c r="N40" i="13"/>
  <c r="O36" i="31"/>
  <c r="AO40" i="13"/>
  <c r="O35" i="31"/>
  <c r="P39" i="13"/>
  <c r="T39" i="13"/>
  <c r="X39" i="13"/>
  <c r="AB39" i="13"/>
  <c r="AF39" i="13"/>
  <c r="AJ39" i="13"/>
  <c r="N39" i="13"/>
  <c r="N36" i="31"/>
  <c r="AO39" i="13"/>
  <c r="N35" i="31"/>
  <c r="P38" i="13"/>
  <c r="T38" i="13"/>
  <c r="X38" i="13"/>
  <c r="AB38" i="13"/>
  <c r="AF38" i="13"/>
  <c r="AJ38" i="13"/>
  <c r="N38" i="13"/>
  <c r="M36" i="31"/>
  <c r="AO38" i="13"/>
  <c r="M35" i="31"/>
  <c r="P37" i="13"/>
  <c r="T37" i="13"/>
  <c r="X37" i="13"/>
  <c r="AB37" i="13"/>
  <c r="AF37" i="13"/>
  <c r="AJ37" i="13"/>
  <c r="N37" i="13"/>
  <c r="L36" i="31"/>
  <c r="AO37" i="13"/>
  <c r="L35" i="31"/>
  <c r="P36" i="13"/>
  <c r="T36" i="13"/>
  <c r="X36" i="13"/>
  <c r="AB36" i="13"/>
  <c r="AF36" i="13"/>
  <c r="AJ36" i="13"/>
  <c r="N36" i="13"/>
  <c r="K36" i="31"/>
  <c r="AO36" i="13"/>
  <c r="K35" i="31"/>
  <c r="P35" i="13"/>
  <c r="T35" i="13"/>
  <c r="X35" i="13"/>
  <c r="AB35" i="13"/>
  <c r="AF35" i="13"/>
  <c r="AJ35" i="13"/>
  <c r="N35" i="13"/>
  <c r="J36" i="31"/>
  <c r="AO35" i="13"/>
  <c r="J35" i="31"/>
  <c r="P34" i="13"/>
  <c r="T34" i="13"/>
  <c r="X34" i="13"/>
  <c r="AB34" i="13"/>
  <c r="AF34" i="13"/>
  <c r="AJ34" i="13"/>
  <c r="N34" i="13"/>
  <c r="I36" i="31"/>
  <c r="AO34" i="13"/>
  <c r="I35" i="31"/>
  <c r="P33" i="13"/>
  <c r="T33" i="13"/>
  <c r="X33" i="13"/>
  <c r="AB33" i="13"/>
  <c r="AF33" i="13"/>
  <c r="AJ33" i="13"/>
  <c r="N33" i="13"/>
  <c r="H36" i="31"/>
  <c r="AO33" i="13"/>
  <c r="H35" i="31"/>
  <c r="P32" i="13"/>
  <c r="T32" i="13"/>
  <c r="X32" i="13"/>
  <c r="AB32" i="13"/>
  <c r="AF32" i="13"/>
  <c r="AJ32" i="13"/>
  <c r="N32" i="13"/>
  <c r="G36" i="31"/>
  <c r="AO32" i="13"/>
  <c r="G35" i="31"/>
  <c r="P31" i="13"/>
  <c r="T31" i="13"/>
  <c r="X31" i="13"/>
  <c r="AB31" i="13"/>
  <c r="AF31" i="13"/>
  <c r="AJ31" i="13"/>
  <c r="N31" i="13"/>
  <c r="F36" i="31"/>
  <c r="AO31" i="13"/>
  <c r="F35" i="31"/>
  <c r="P30" i="13"/>
  <c r="T30" i="13"/>
  <c r="X30" i="13"/>
  <c r="AB30" i="13"/>
  <c r="AF30" i="13"/>
  <c r="AJ30" i="13"/>
  <c r="E42" i="13"/>
  <c r="L30" i="13"/>
  <c r="F42" i="13"/>
  <c r="AO30" i="13"/>
  <c r="AO42" i="13" s="1"/>
  <c r="I42" i="13"/>
  <c r="Q35" i="31" s="1"/>
  <c r="E35" i="31"/>
  <c r="M42" i="13"/>
  <c r="Q37" i="31" s="1"/>
  <c r="E37" i="31"/>
  <c r="Q42" i="13"/>
  <c r="Q39" i="31" s="1"/>
  <c r="E39" i="31"/>
  <c r="U42" i="13"/>
  <c r="Q41" i="31" s="1"/>
  <c r="E41" i="31"/>
  <c r="Y42" i="13"/>
  <c r="Q43" i="31" s="1"/>
  <c r="E43" i="31"/>
  <c r="AC42" i="13"/>
  <c r="Q45" i="31" s="1"/>
  <c r="E45" i="31"/>
  <c r="AG42" i="13"/>
  <c r="Q47" i="31" s="1"/>
  <c r="E47" i="31"/>
  <c r="AK42" i="13"/>
  <c r="Q49" i="31" s="1"/>
  <c r="E49" i="31"/>
  <c r="H28" i="13"/>
  <c r="P28" i="13"/>
  <c r="T28" i="13"/>
  <c r="X28" i="13"/>
  <c r="AB28" i="13"/>
  <c r="AF28" i="13"/>
  <c r="AJ28" i="13"/>
  <c r="N28" i="13"/>
  <c r="P20" i="31"/>
  <c r="AO28" i="13"/>
  <c r="P19" i="31"/>
  <c r="H27" i="13"/>
  <c r="P27" i="13"/>
  <c r="T27" i="13"/>
  <c r="X27" i="13"/>
  <c r="AB27" i="13"/>
  <c r="AF27" i="13"/>
  <c r="AJ27" i="13"/>
  <c r="N27" i="13"/>
  <c r="O20" i="31"/>
  <c r="AO27" i="13"/>
  <c r="O19" i="31"/>
  <c r="H26" i="13"/>
  <c r="P26" i="13"/>
  <c r="T26" i="13"/>
  <c r="X26" i="13"/>
  <c r="AB26" i="13"/>
  <c r="AF26" i="13"/>
  <c r="AJ26" i="13"/>
  <c r="N26" i="13"/>
  <c r="N20" i="31"/>
  <c r="AO26" i="13"/>
  <c r="N19" i="31"/>
  <c r="H25" i="13"/>
  <c r="P25" i="13"/>
  <c r="T25" i="13"/>
  <c r="X25" i="13"/>
  <c r="AB25" i="13"/>
  <c r="AF25" i="13"/>
  <c r="AJ25" i="13"/>
  <c r="N25" i="13"/>
  <c r="M20" i="31"/>
  <c r="AO25" i="13"/>
  <c r="M19" i="31"/>
  <c r="H24" i="13"/>
  <c r="P24" i="13"/>
  <c r="T24" i="13"/>
  <c r="X24" i="13"/>
  <c r="AB24" i="13"/>
  <c r="AF24" i="13"/>
  <c r="AJ24" i="13"/>
  <c r="N24" i="13"/>
  <c r="L20" i="31"/>
  <c r="AO24" i="13"/>
  <c r="L19" i="31"/>
  <c r="H23" i="13"/>
  <c r="P23" i="13"/>
  <c r="T23" i="13"/>
  <c r="X23" i="13"/>
  <c r="AB23" i="13"/>
  <c r="AF23" i="13"/>
  <c r="AJ23" i="13"/>
  <c r="N23" i="13"/>
  <c r="K20" i="31"/>
  <c r="AO23" i="13"/>
  <c r="K19" i="31"/>
  <c r="H22" i="13"/>
  <c r="P22" i="13"/>
  <c r="T22" i="13"/>
  <c r="X22" i="13"/>
  <c r="AB22" i="13"/>
  <c r="AF22" i="13"/>
  <c r="AJ22" i="13"/>
  <c r="N22" i="13"/>
  <c r="J20" i="31"/>
  <c r="AO22" i="13"/>
  <c r="J19" i="31"/>
  <c r="H21" i="13"/>
  <c r="P21" i="13"/>
  <c r="T21" i="13"/>
  <c r="X21" i="13"/>
  <c r="AB21" i="13"/>
  <c r="AF21" i="13"/>
  <c r="AJ21" i="13"/>
  <c r="N21" i="13"/>
  <c r="I20" i="31"/>
  <c r="AO21" i="13"/>
  <c r="I19" i="31"/>
  <c r="H20" i="13"/>
  <c r="P20" i="13"/>
  <c r="T20" i="13"/>
  <c r="X20" i="13"/>
  <c r="AB20" i="13"/>
  <c r="AF20" i="13"/>
  <c r="AJ20" i="13"/>
  <c r="N20" i="13"/>
  <c r="H20" i="31"/>
  <c r="AO20" i="13"/>
  <c r="H19" i="31"/>
  <c r="H19" i="13"/>
  <c r="P19" i="13"/>
  <c r="T19" i="13"/>
  <c r="X19" i="13"/>
  <c r="AB19" i="13"/>
  <c r="AF19" i="13"/>
  <c r="AJ19" i="13"/>
  <c r="N19" i="13"/>
  <c r="G20" i="31"/>
  <c r="AO19" i="13"/>
  <c r="G19" i="31"/>
  <c r="H18" i="13"/>
  <c r="P18" i="13"/>
  <c r="T18" i="13"/>
  <c r="X18" i="13"/>
  <c r="AB18" i="13"/>
  <c r="AF18" i="13"/>
  <c r="AJ18" i="13"/>
  <c r="N18" i="13"/>
  <c r="F20" i="31"/>
  <c r="AO18" i="13"/>
  <c r="F19" i="31"/>
  <c r="H17" i="13"/>
  <c r="P17" i="13"/>
  <c r="T17" i="13"/>
  <c r="X17" i="13"/>
  <c r="AB17" i="13"/>
  <c r="AF17" i="13"/>
  <c r="AJ17" i="13"/>
  <c r="E29" i="13"/>
  <c r="L17" i="13"/>
  <c r="F29" i="13"/>
  <c r="AO17" i="13"/>
  <c r="AO29" i="13" s="1"/>
  <c r="I29" i="13"/>
  <c r="Q19" i="31" s="1"/>
  <c r="E19" i="31"/>
  <c r="M29" i="13"/>
  <c r="Q21" i="31" s="1"/>
  <c r="E21" i="31"/>
  <c r="Q29" i="13"/>
  <c r="Q23" i="31" s="1"/>
  <c r="E23" i="31"/>
  <c r="U29" i="13"/>
  <c r="Q25" i="31" s="1"/>
  <c r="E25" i="31"/>
  <c r="Y29" i="13"/>
  <c r="Q27" i="31" s="1"/>
  <c r="E27" i="31"/>
  <c r="AC29" i="13"/>
  <c r="Q29" i="31" s="1"/>
  <c r="E29" i="31"/>
  <c r="AG29" i="13"/>
  <c r="Q31" i="31" s="1"/>
  <c r="E31" i="31"/>
  <c r="AK29" i="13"/>
  <c r="Q33" i="31" s="1"/>
  <c r="E33" i="31"/>
  <c r="H15" i="13"/>
  <c r="P15" i="13"/>
  <c r="T15" i="13"/>
  <c r="X15" i="13"/>
  <c r="AB15" i="13"/>
  <c r="AF15" i="13"/>
  <c r="AJ15" i="13"/>
  <c r="N15" i="13"/>
  <c r="P4" i="31"/>
  <c r="AO15" i="13"/>
  <c r="P3" i="31"/>
  <c r="H14" i="13"/>
  <c r="P14" i="13"/>
  <c r="T14" i="13"/>
  <c r="X14" i="13"/>
  <c r="AB14" i="13"/>
  <c r="AF14" i="13"/>
  <c r="AJ14" i="13"/>
  <c r="N14" i="13"/>
  <c r="O4" i="31"/>
  <c r="AO14" i="13"/>
  <c r="O3" i="31"/>
  <c r="H13" i="13"/>
  <c r="P13" i="13"/>
  <c r="T13" i="13"/>
  <c r="X13" i="13"/>
  <c r="AB13" i="13"/>
  <c r="AF13" i="13"/>
  <c r="AJ13" i="13"/>
  <c r="N13" i="13"/>
  <c r="N4" i="31"/>
  <c r="AO13" i="13"/>
  <c r="N3" i="31"/>
  <c r="H12" i="13"/>
  <c r="P12" i="13"/>
  <c r="T12" i="13"/>
  <c r="X12" i="13"/>
  <c r="AB12" i="13"/>
  <c r="AF12" i="13"/>
  <c r="AJ12" i="13"/>
  <c r="N12" i="13"/>
  <c r="M4" i="31"/>
  <c r="AO12" i="13"/>
  <c r="M3" i="31"/>
  <c r="H11" i="13"/>
  <c r="P11" i="13"/>
  <c r="T11" i="13"/>
  <c r="X11" i="13"/>
  <c r="AB11" i="13"/>
  <c r="AF11" i="13"/>
  <c r="AJ11" i="13"/>
  <c r="N11" i="13"/>
  <c r="L4" i="31"/>
  <c r="AO11" i="13"/>
  <c r="L3" i="31"/>
  <c r="H10" i="13"/>
  <c r="P10" i="13"/>
  <c r="T10" i="13"/>
  <c r="X10" i="13"/>
  <c r="AB10" i="13"/>
  <c r="AF10" i="13"/>
  <c r="AJ10" i="13"/>
  <c r="N10" i="13"/>
  <c r="K4" i="31"/>
  <c r="AO10" i="13"/>
  <c r="K3" i="31"/>
  <c r="H9" i="13"/>
  <c r="P9" i="13"/>
  <c r="T9" i="13"/>
  <c r="X9" i="13"/>
  <c r="AB9" i="13"/>
  <c r="AF9" i="13"/>
  <c r="AJ9" i="13"/>
  <c r="N9" i="13"/>
  <c r="J4" i="31"/>
  <c r="AO9" i="13"/>
  <c r="J3" i="31"/>
  <c r="H8" i="13"/>
  <c r="P8" i="13"/>
  <c r="T8" i="13"/>
  <c r="X8" i="13"/>
  <c r="AB8" i="13"/>
  <c r="AF8" i="13"/>
  <c r="AJ8" i="13"/>
  <c r="N8" i="13"/>
  <c r="I4" i="31"/>
  <c r="AO8" i="13"/>
  <c r="I3" i="31"/>
  <c r="H7" i="13"/>
  <c r="P7" i="13"/>
  <c r="T7" i="13"/>
  <c r="X7" i="13"/>
  <c r="AB7" i="13"/>
  <c r="AF7" i="13"/>
  <c r="AJ7" i="13"/>
  <c r="N7" i="13"/>
  <c r="H4" i="31"/>
  <c r="AO7" i="13"/>
  <c r="H3" i="31"/>
  <c r="H6" i="13"/>
  <c r="P6" i="13"/>
  <c r="T6" i="13"/>
  <c r="X6" i="13"/>
  <c r="AB6" i="13"/>
  <c r="AF6" i="13"/>
  <c r="AJ6" i="13"/>
  <c r="N6" i="13"/>
  <c r="G4" i="31"/>
  <c r="AO6" i="13"/>
  <c r="G3" i="31"/>
  <c r="H5" i="13"/>
  <c r="P5" i="13"/>
  <c r="T5" i="13"/>
  <c r="X5" i="13"/>
  <c r="AB5" i="13"/>
  <c r="AF5" i="13"/>
  <c r="AJ5" i="13"/>
  <c r="N5" i="13"/>
  <c r="F4" i="31"/>
  <c r="AO5" i="13"/>
  <c r="F3" i="31"/>
  <c r="H4" i="13"/>
  <c r="P4" i="13"/>
  <c r="T4" i="13"/>
  <c r="X4" i="13"/>
  <c r="AB4" i="13"/>
  <c r="AF4" i="13"/>
  <c r="AJ4" i="13"/>
  <c r="E16" i="13"/>
  <c r="L4" i="13"/>
  <c r="F16" i="13"/>
  <c r="AO4" i="13"/>
  <c r="I16" i="13"/>
  <c r="E3" i="31"/>
  <c r="M16" i="13"/>
  <c r="E5" i="31"/>
  <c r="Q16" i="13"/>
  <c r="E7" i="31"/>
  <c r="U16" i="13"/>
  <c r="E9" i="31"/>
  <c r="Y16" i="13"/>
  <c r="E11" i="31"/>
  <c r="AC16" i="13"/>
  <c r="E13" i="31"/>
  <c r="AG16" i="13"/>
  <c r="E15" i="31"/>
  <c r="AK16" i="13"/>
  <c r="E17" i="31"/>
  <c r="AO16" i="13" l="1"/>
  <c r="AO59" i="13" s="1"/>
  <c r="V54" i="13"/>
  <c r="P56" i="31"/>
  <c r="Z54" i="13"/>
  <c r="P58" i="31"/>
  <c r="AH54" i="13"/>
  <c r="P62" i="31"/>
  <c r="J54" i="13"/>
  <c r="AN54" i="13"/>
  <c r="AP54" i="13" s="1"/>
  <c r="P50" i="31"/>
  <c r="R54" i="13"/>
  <c r="P54" i="31"/>
  <c r="AD54" i="13"/>
  <c r="P60" i="31"/>
  <c r="AL54" i="13"/>
  <c r="P64" i="31"/>
  <c r="V53" i="13"/>
  <c r="O56" i="31"/>
  <c r="AD53" i="13"/>
  <c r="O60" i="31"/>
  <c r="AL53" i="13"/>
  <c r="O64" i="31"/>
  <c r="J53" i="13"/>
  <c r="AN53" i="13"/>
  <c r="AP53" i="13" s="1"/>
  <c r="O50" i="31"/>
  <c r="R53" i="13"/>
  <c r="O54" i="31"/>
  <c r="Z53" i="13"/>
  <c r="O58" i="31"/>
  <c r="AH53" i="13"/>
  <c r="O62" i="31"/>
  <c r="N50" i="31"/>
  <c r="J52" i="13"/>
  <c r="AN52" i="13"/>
  <c r="AP52" i="13" s="1"/>
  <c r="R52" i="13"/>
  <c r="N54" i="31"/>
  <c r="Z52" i="13"/>
  <c r="N58" i="31"/>
  <c r="AH52" i="13"/>
  <c r="N62" i="31"/>
  <c r="V52" i="13"/>
  <c r="N56" i="31"/>
  <c r="AD52" i="13"/>
  <c r="N60" i="31"/>
  <c r="N64" i="31"/>
  <c r="AL52" i="13"/>
  <c r="R51" i="13"/>
  <c r="M54" i="31"/>
  <c r="V51" i="13"/>
  <c r="M56" i="31"/>
  <c r="Z51" i="13"/>
  <c r="M58" i="31"/>
  <c r="AL51" i="13"/>
  <c r="M64" i="31"/>
  <c r="AD51" i="13"/>
  <c r="M60" i="31"/>
  <c r="AH51" i="13"/>
  <c r="M62" i="31"/>
  <c r="J51" i="13"/>
  <c r="M50" i="31"/>
  <c r="AN51" i="13"/>
  <c r="AP51" i="13" s="1"/>
  <c r="R50" i="13"/>
  <c r="L54" i="31"/>
  <c r="AD50" i="13"/>
  <c r="L60" i="31"/>
  <c r="AL50" i="13"/>
  <c r="L64" i="31"/>
  <c r="J50" i="13"/>
  <c r="L50" i="31"/>
  <c r="AN50" i="13"/>
  <c r="AP50" i="13" s="1"/>
  <c r="V50" i="13"/>
  <c r="L56" i="31"/>
  <c r="L58" i="31"/>
  <c r="Z50" i="13"/>
  <c r="AH50" i="13"/>
  <c r="L62" i="31"/>
  <c r="R49" i="13"/>
  <c r="K54" i="31"/>
  <c r="AD49" i="13"/>
  <c r="K60" i="31"/>
  <c r="V49" i="13"/>
  <c r="K56" i="31"/>
  <c r="AH49" i="13"/>
  <c r="K62" i="31"/>
  <c r="K64" i="31"/>
  <c r="AL49" i="13"/>
  <c r="J49" i="13"/>
  <c r="AN49" i="13"/>
  <c r="AP49" i="13" s="1"/>
  <c r="K50" i="31"/>
  <c r="Z49" i="13"/>
  <c r="K58" i="31"/>
  <c r="J48" i="13"/>
  <c r="AN48" i="13"/>
  <c r="AP48" i="13" s="1"/>
  <c r="J50" i="31"/>
  <c r="R48" i="13"/>
  <c r="J54" i="31"/>
  <c r="J56" i="31"/>
  <c r="V48" i="13"/>
  <c r="AD48" i="13"/>
  <c r="J60" i="31"/>
  <c r="Z48" i="13"/>
  <c r="J58" i="31"/>
  <c r="AH48" i="13"/>
  <c r="J62" i="31"/>
  <c r="AL48" i="13"/>
  <c r="J64" i="31"/>
  <c r="J47" i="13"/>
  <c r="AN47" i="13"/>
  <c r="AP47" i="13" s="1"/>
  <c r="I50" i="31"/>
  <c r="R47" i="13"/>
  <c r="I54" i="31"/>
  <c r="V47" i="13"/>
  <c r="I56" i="31"/>
  <c r="Z47" i="13"/>
  <c r="I58" i="31"/>
  <c r="AD47" i="13"/>
  <c r="I60" i="31"/>
  <c r="AH47" i="13"/>
  <c r="I62" i="31"/>
  <c r="AL47" i="13"/>
  <c r="I64" i="31"/>
  <c r="J46" i="13"/>
  <c r="AN46" i="13"/>
  <c r="AP46" i="13" s="1"/>
  <c r="H50" i="31"/>
  <c r="R46" i="13"/>
  <c r="H54" i="31"/>
  <c r="V46" i="13"/>
  <c r="H56" i="31"/>
  <c r="Z46" i="13"/>
  <c r="H58" i="31"/>
  <c r="AD46" i="13"/>
  <c r="H60" i="31"/>
  <c r="AH46" i="13"/>
  <c r="H62" i="31"/>
  <c r="AL46" i="13"/>
  <c r="H64" i="31"/>
  <c r="J45" i="13"/>
  <c r="AN45" i="13"/>
  <c r="AP45" i="13" s="1"/>
  <c r="G50" i="31"/>
  <c r="R45" i="13"/>
  <c r="G54" i="31"/>
  <c r="V45" i="13"/>
  <c r="G56" i="31"/>
  <c r="Z45" i="13"/>
  <c r="G58" i="31"/>
  <c r="AD45" i="13"/>
  <c r="G60" i="31"/>
  <c r="AH45" i="13"/>
  <c r="G62" i="31"/>
  <c r="AL45" i="13"/>
  <c r="G64" i="31"/>
  <c r="J44" i="13"/>
  <c r="AN44" i="13"/>
  <c r="AP44" i="13" s="1"/>
  <c r="F50" i="31"/>
  <c r="R44" i="13"/>
  <c r="F54" i="31"/>
  <c r="V44" i="13"/>
  <c r="F56" i="31"/>
  <c r="Z44" i="13"/>
  <c r="F58" i="31"/>
  <c r="AD44" i="13"/>
  <c r="F60" i="31"/>
  <c r="AH44" i="13"/>
  <c r="F62" i="31"/>
  <c r="AL44" i="13"/>
  <c r="F64" i="31"/>
  <c r="J43" i="13"/>
  <c r="J55" i="13" s="1"/>
  <c r="AN43" i="13"/>
  <c r="E50" i="31"/>
  <c r="H55" i="13"/>
  <c r="Q50" i="31" s="1"/>
  <c r="R43" i="13"/>
  <c r="R55" i="13" s="1"/>
  <c r="E54" i="31"/>
  <c r="P55" i="13"/>
  <c r="Q54" i="31" s="1"/>
  <c r="V43" i="13"/>
  <c r="V55" i="13" s="1"/>
  <c r="E56" i="31"/>
  <c r="T55" i="13"/>
  <c r="Q56" i="31" s="1"/>
  <c r="Z43" i="13"/>
  <c r="Z55" i="13" s="1"/>
  <c r="E58" i="31"/>
  <c r="X55" i="13"/>
  <c r="Q58" i="31" s="1"/>
  <c r="AD43" i="13"/>
  <c r="AD55" i="13" s="1"/>
  <c r="E60" i="31"/>
  <c r="AB55" i="13"/>
  <c r="Q60" i="31" s="1"/>
  <c r="AH43" i="13"/>
  <c r="AH55" i="13" s="1"/>
  <c r="E62" i="31"/>
  <c r="AF55" i="13"/>
  <c r="Q62" i="31" s="1"/>
  <c r="AL43" i="13"/>
  <c r="AL55" i="13" s="1"/>
  <c r="E64" i="31"/>
  <c r="AJ55" i="13"/>
  <c r="Q64" i="31" s="1"/>
  <c r="N43" i="13"/>
  <c r="N55" i="13" s="1"/>
  <c r="E52" i="31"/>
  <c r="L55" i="13"/>
  <c r="Q52" i="31" s="1"/>
  <c r="AN41" i="13"/>
  <c r="AP41" i="13" s="1"/>
  <c r="R41" i="13"/>
  <c r="P38" i="31"/>
  <c r="V41" i="13"/>
  <c r="P40" i="31"/>
  <c r="Z41" i="13"/>
  <c r="P42" i="31"/>
  <c r="AD41" i="13"/>
  <c r="P44" i="31"/>
  <c r="AH41" i="13"/>
  <c r="P46" i="31"/>
  <c r="AL41" i="13"/>
  <c r="P48" i="31"/>
  <c r="AN40" i="13"/>
  <c r="AP40" i="13" s="1"/>
  <c r="R40" i="13"/>
  <c r="O38" i="31"/>
  <c r="V40" i="13"/>
  <c r="O40" i="31"/>
  <c r="Z40" i="13"/>
  <c r="O42" i="31"/>
  <c r="AD40" i="13"/>
  <c r="O44" i="31"/>
  <c r="AH40" i="13"/>
  <c r="O46" i="31"/>
  <c r="AL40" i="13"/>
  <c r="O48" i="31"/>
  <c r="AN39" i="13"/>
  <c r="AP39" i="13" s="1"/>
  <c r="R39" i="13"/>
  <c r="N38" i="31"/>
  <c r="V39" i="13"/>
  <c r="N40" i="31"/>
  <c r="Z39" i="13"/>
  <c r="N42" i="31"/>
  <c r="AD39" i="13"/>
  <c r="N44" i="31"/>
  <c r="AH39" i="13"/>
  <c r="N46" i="31"/>
  <c r="AL39" i="13"/>
  <c r="N48" i="31"/>
  <c r="AN38" i="13"/>
  <c r="AP38" i="13" s="1"/>
  <c r="R38" i="13"/>
  <c r="M38" i="31"/>
  <c r="V38" i="13"/>
  <c r="M40" i="31"/>
  <c r="Z38" i="13"/>
  <c r="M42" i="31"/>
  <c r="AD38" i="13"/>
  <c r="M44" i="31"/>
  <c r="AH38" i="13"/>
  <c r="M46" i="31"/>
  <c r="AL38" i="13"/>
  <c r="M48" i="31"/>
  <c r="AN37" i="13"/>
  <c r="AP37" i="13" s="1"/>
  <c r="R37" i="13"/>
  <c r="L38" i="31"/>
  <c r="V37" i="13"/>
  <c r="L40" i="31"/>
  <c r="Z37" i="13"/>
  <c r="L42" i="31"/>
  <c r="AD37" i="13"/>
  <c r="L44" i="31"/>
  <c r="AH37" i="13"/>
  <c r="L46" i="31"/>
  <c r="AL37" i="13"/>
  <c r="L48" i="31"/>
  <c r="AN36" i="13"/>
  <c r="AP36" i="13" s="1"/>
  <c r="R36" i="13"/>
  <c r="K38" i="31"/>
  <c r="V36" i="13"/>
  <c r="K40" i="31"/>
  <c r="Z36" i="13"/>
  <c r="K42" i="31"/>
  <c r="AD36" i="13"/>
  <c r="K44" i="31"/>
  <c r="AH36" i="13"/>
  <c r="K46" i="31"/>
  <c r="AL36" i="13"/>
  <c r="K48" i="31"/>
  <c r="AN35" i="13"/>
  <c r="AP35" i="13" s="1"/>
  <c r="R35" i="13"/>
  <c r="J38" i="31"/>
  <c r="V35" i="13"/>
  <c r="J40" i="31"/>
  <c r="Z35" i="13"/>
  <c r="J42" i="31"/>
  <c r="AD35" i="13"/>
  <c r="J44" i="31"/>
  <c r="AH35" i="13"/>
  <c r="J46" i="31"/>
  <c r="AL35" i="13"/>
  <c r="J48" i="31"/>
  <c r="AN34" i="13"/>
  <c r="AP34" i="13" s="1"/>
  <c r="R34" i="13"/>
  <c r="I38" i="31"/>
  <c r="V34" i="13"/>
  <c r="I40" i="31"/>
  <c r="Z34" i="13"/>
  <c r="I42" i="31"/>
  <c r="AD34" i="13"/>
  <c r="I44" i="31"/>
  <c r="AH34" i="13"/>
  <c r="I46" i="31"/>
  <c r="AL34" i="13"/>
  <c r="I48" i="31"/>
  <c r="AN33" i="13"/>
  <c r="AP33" i="13" s="1"/>
  <c r="R33" i="13"/>
  <c r="H38" i="31"/>
  <c r="V33" i="13"/>
  <c r="H40" i="31"/>
  <c r="Z33" i="13"/>
  <c r="H42" i="31"/>
  <c r="AD33" i="13"/>
  <c r="H44" i="31"/>
  <c r="AH33" i="13"/>
  <c r="H46" i="31"/>
  <c r="AL33" i="13"/>
  <c r="H48" i="31"/>
  <c r="AN32" i="13"/>
  <c r="AP32" i="13" s="1"/>
  <c r="R32" i="13"/>
  <c r="G38" i="31"/>
  <c r="V32" i="13"/>
  <c r="G40" i="31"/>
  <c r="Z32" i="13"/>
  <c r="G42" i="31"/>
  <c r="AD32" i="13"/>
  <c r="G44" i="31"/>
  <c r="AH32" i="13"/>
  <c r="G46" i="31"/>
  <c r="AL32" i="13"/>
  <c r="G48" i="31"/>
  <c r="AN31" i="13"/>
  <c r="AP31" i="13" s="1"/>
  <c r="R31" i="13"/>
  <c r="F38" i="31"/>
  <c r="V31" i="13"/>
  <c r="F40" i="31"/>
  <c r="Z31" i="13"/>
  <c r="F42" i="31"/>
  <c r="AD31" i="13"/>
  <c r="F44" i="31"/>
  <c r="AH31" i="13"/>
  <c r="F46" i="31"/>
  <c r="AL31" i="13"/>
  <c r="F48" i="31"/>
  <c r="R30" i="13"/>
  <c r="R42" i="13" s="1"/>
  <c r="P42" i="13"/>
  <c r="Q38" i="31" s="1"/>
  <c r="E38" i="31"/>
  <c r="V30" i="13"/>
  <c r="V42" i="13" s="1"/>
  <c r="T42" i="13"/>
  <c r="Q40" i="31" s="1"/>
  <c r="E40" i="31"/>
  <c r="Z30" i="13"/>
  <c r="Z42" i="13" s="1"/>
  <c r="X42" i="13"/>
  <c r="Q42" i="31" s="1"/>
  <c r="E42" i="31"/>
  <c r="AD30" i="13"/>
  <c r="AD42" i="13" s="1"/>
  <c r="AB42" i="13"/>
  <c r="Q44" i="31" s="1"/>
  <c r="E44" i="31"/>
  <c r="AH30" i="13"/>
  <c r="AH42" i="13" s="1"/>
  <c r="AF42" i="13"/>
  <c r="Q46" i="31" s="1"/>
  <c r="E46" i="31"/>
  <c r="AL30" i="13"/>
  <c r="AL42" i="13" s="1"/>
  <c r="AJ42" i="13"/>
  <c r="Q48" i="31" s="1"/>
  <c r="E48" i="31"/>
  <c r="AN30" i="13"/>
  <c r="N30" i="13"/>
  <c r="N42" i="13" s="1"/>
  <c r="L42" i="13"/>
  <c r="Q36" i="31" s="1"/>
  <c r="E36" i="31"/>
  <c r="J28" i="13"/>
  <c r="AN28" i="13"/>
  <c r="AP28" i="13" s="1"/>
  <c r="P18" i="31"/>
  <c r="R28" i="13"/>
  <c r="P22" i="31"/>
  <c r="V28" i="13"/>
  <c r="P24" i="31"/>
  <c r="Z28" i="13"/>
  <c r="P26" i="31"/>
  <c r="AD28" i="13"/>
  <c r="P28" i="31"/>
  <c r="AH28" i="13"/>
  <c r="P30" i="31"/>
  <c r="AL28" i="13"/>
  <c r="P32" i="31"/>
  <c r="J27" i="13"/>
  <c r="AN27" i="13"/>
  <c r="AP27" i="13" s="1"/>
  <c r="O18" i="31"/>
  <c r="R27" i="13"/>
  <c r="O22" i="31"/>
  <c r="V27" i="13"/>
  <c r="O24" i="31"/>
  <c r="Z27" i="13"/>
  <c r="O26" i="31"/>
  <c r="AD27" i="13"/>
  <c r="O28" i="31"/>
  <c r="AH27" i="13"/>
  <c r="O30" i="31"/>
  <c r="AL27" i="13"/>
  <c r="O32" i="31"/>
  <c r="J26" i="13"/>
  <c r="AN26" i="13"/>
  <c r="AP26" i="13" s="1"/>
  <c r="N18" i="31"/>
  <c r="R26" i="13"/>
  <c r="N22" i="31"/>
  <c r="V26" i="13"/>
  <c r="N24" i="31"/>
  <c r="Z26" i="13"/>
  <c r="N26" i="31"/>
  <c r="AD26" i="13"/>
  <c r="N28" i="31"/>
  <c r="AH26" i="13"/>
  <c r="N30" i="31"/>
  <c r="AL26" i="13"/>
  <c r="N32" i="31"/>
  <c r="J25" i="13"/>
  <c r="AN25" i="13"/>
  <c r="AP25" i="13" s="1"/>
  <c r="M18" i="31"/>
  <c r="R25" i="13"/>
  <c r="M22" i="31"/>
  <c r="V25" i="13"/>
  <c r="M24" i="31"/>
  <c r="Z25" i="13"/>
  <c r="M26" i="31"/>
  <c r="AD25" i="13"/>
  <c r="M28" i="31"/>
  <c r="AH25" i="13"/>
  <c r="M30" i="31"/>
  <c r="AL25" i="13"/>
  <c r="M32" i="31"/>
  <c r="J24" i="13"/>
  <c r="AN24" i="13"/>
  <c r="AP24" i="13" s="1"/>
  <c r="L18" i="31"/>
  <c r="R24" i="13"/>
  <c r="L22" i="31"/>
  <c r="V24" i="13"/>
  <c r="L24" i="31"/>
  <c r="Z24" i="13"/>
  <c r="L26" i="31"/>
  <c r="AD24" i="13"/>
  <c r="L28" i="31"/>
  <c r="AH24" i="13"/>
  <c r="L30" i="31"/>
  <c r="AL24" i="13"/>
  <c r="L32" i="31"/>
  <c r="J23" i="13"/>
  <c r="AN23" i="13"/>
  <c r="AP23" i="13" s="1"/>
  <c r="K18" i="31"/>
  <c r="R23" i="13"/>
  <c r="K22" i="31"/>
  <c r="V23" i="13"/>
  <c r="K24" i="31"/>
  <c r="Z23" i="13"/>
  <c r="K26" i="31"/>
  <c r="AD23" i="13"/>
  <c r="K28" i="31"/>
  <c r="AH23" i="13"/>
  <c r="K30" i="31"/>
  <c r="AL23" i="13"/>
  <c r="K32" i="31"/>
  <c r="J22" i="13"/>
  <c r="AN22" i="13"/>
  <c r="AP22" i="13" s="1"/>
  <c r="J18" i="31"/>
  <c r="R22" i="13"/>
  <c r="J22" i="31"/>
  <c r="V22" i="13"/>
  <c r="J24" i="31"/>
  <c r="Z22" i="13"/>
  <c r="J26" i="31"/>
  <c r="AD22" i="13"/>
  <c r="J28" i="31"/>
  <c r="AH22" i="13"/>
  <c r="J30" i="31"/>
  <c r="AL22" i="13"/>
  <c r="J32" i="31"/>
  <c r="J21" i="13"/>
  <c r="AN21" i="13"/>
  <c r="AP21" i="13" s="1"/>
  <c r="I18" i="31"/>
  <c r="R21" i="13"/>
  <c r="I22" i="31"/>
  <c r="V21" i="13"/>
  <c r="I24" i="31"/>
  <c r="Z21" i="13"/>
  <c r="I26" i="31"/>
  <c r="AD21" i="13"/>
  <c r="I28" i="31"/>
  <c r="AH21" i="13"/>
  <c r="I30" i="31"/>
  <c r="AL21" i="13"/>
  <c r="I32" i="31"/>
  <c r="J20" i="13"/>
  <c r="AN20" i="13"/>
  <c r="AP20" i="13" s="1"/>
  <c r="H18" i="31"/>
  <c r="R20" i="13"/>
  <c r="H22" i="31"/>
  <c r="V20" i="13"/>
  <c r="H24" i="31"/>
  <c r="Z20" i="13"/>
  <c r="H26" i="31"/>
  <c r="AD20" i="13"/>
  <c r="H28" i="31"/>
  <c r="AH20" i="13"/>
  <c r="H30" i="31"/>
  <c r="AL20" i="13"/>
  <c r="H32" i="31"/>
  <c r="J19" i="13"/>
  <c r="AN19" i="13"/>
  <c r="AP19" i="13" s="1"/>
  <c r="G18" i="31"/>
  <c r="R19" i="13"/>
  <c r="G22" i="31"/>
  <c r="V19" i="13"/>
  <c r="G24" i="31"/>
  <c r="Z19" i="13"/>
  <c r="G26" i="31"/>
  <c r="AD19" i="13"/>
  <c r="G28" i="31"/>
  <c r="AH19" i="13"/>
  <c r="G30" i="31"/>
  <c r="AL19" i="13"/>
  <c r="G32" i="31"/>
  <c r="J18" i="13"/>
  <c r="AN18" i="13"/>
  <c r="AP18" i="13" s="1"/>
  <c r="F18" i="31"/>
  <c r="R18" i="13"/>
  <c r="F22" i="31"/>
  <c r="V18" i="13"/>
  <c r="F24" i="31"/>
  <c r="Z18" i="13"/>
  <c r="F26" i="31"/>
  <c r="AD18" i="13"/>
  <c r="F28" i="31"/>
  <c r="AH18" i="13"/>
  <c r="F30" i="31"/>
  <c r="AL18" i="13"/>
  <c r="F32" i="31"/>
  <c r="J17" i="13"/>
  <c r="AN17" i="13"/>
  <c r="H29" i="13"/>
  <c r="Q18" i="31" s="1"/>
  <c r="E18" i="31"/>
  <c r="R17" i="13"/>
  <c r="P29" i="13"/>
  <c r="Q22" i="31" s="1"/>
  <c r="E22" i="31"/>
  <c r="V17" i="13"/>
  <c r="T29" i="13"/>
  <c r="Q24" i="31" s="1"/>
  <c r="E24" i="31"/>
  <c r="Z17" i="13"/>
  <c r="X29" i="13"/>
  <c r="Q26" i="31" s="1"/>
  <c r="E26" i="31"/>
  <c r="AD17" i="13"/>
  <c r="AB29" i="13"/>
  <c r="Q28" i="31" s="1"/>
  <c r="E28" i="31"/>
  <c r="AH17" i="13"/>
  <c r="AF29" i="13"/>
  <c r="Q30" i="31" s="1"/>
  <c r="E30" i="31"/>
  <c r="AL17" i="13"/>
  <c r="AJ29" i="13"/>
  <c r="Q32" i="31" s="1"/>
  <c r="E32" i="31"/>
  <c r="N17" i="13"/>
  <c r="N29" i="13" s="1"/>
  <c r="L29" i="13"/>
  <c r="Q20" i="31" s="1"/>
  <c r="E20" i="31"/>
  <c r="J15" i="13"/>
  <c r="AN15" i="13"/>
  <c r="AP15" i="13" s="1"/>
  <c r="P2" i="31"/>
  <c r="R15" i="13"/>
  <c r="P6" i="31"/>
  <c r="V15" i="13"/>
  <c r="P8" i="31"/>
  <c r="Z15" i="13"/>
  <c r="P10" i="31"/>
  <c r="AD15" i="13"/>
  <c r="P12" i="31"/>
  <c r="AH15" i="13"/>
  <c r="P14" i="31"/>
  <c r="AL15" i="13"/>
  <c r="P16" i="31"/>
  <c r="J14" i="13"/>
  <c r="AN14" i="13"/>
  <c r="AP14" i="13" s="1"/>
  <c r="O2" i="31"/>
  <c r="R14" i="13"/>
  <c r="O6" i="31"/>
  <c r="V14" i="13"/>
  <c r="O8" i="31"/>
  <c r="Z14" i="13"/>
  <c r="O10" i="31"/>
  <c r="AD14" i="13"/>
  <c r="O12" i="31"/>
  <c r="AH14" i="13"/>
  <c r="O14" i="31"/>
  <c r="AL14" i="13"/>
  <c r="O16" i="31"/>
  <c r="J13" i="13"/>
  <c r="AN13" i="13"/>
  <c r="AP13" i="13" s="1"/>
  <c r="N2" i="31"/>
  <c r="R13" i="13"/>
  <c r="N6" i="31"/>
  <c r="V13" i="13"/>
  <c r="N8" i="31"/>
  <c r="Z13" i="13"/>
  <c r="N10" i="31"/>
  <c r="AD13" i="13"/>
  <c r="N12" i="31"/>
  <c r="AH13" i="13"/>
  <c r="N14" i="31"/>
  <c r="AL13" i="13"/>
  <c r="N16" i="31"/>
  <c r="J12" i="13"/>
  <c r="AN12" i="13"/>
  <c r="AP12" i="13" s="1"/>
  <c r="M2" i="31"/>
  <c r="R12" i="13"/>
  <c r="M6" i="31"/>
  <c r="V12" i="13"/>
  <c r="M8" i="31"/>
  <c r="Z12" i="13"/>
  <c r="M10" i="31"/>
  <c r="AD12" i="13"/>
  <c r="M12" i="31"/>
  <c r="AH12" i="13"/>
  <c r="M14" i="31"/>
  <c r="AL12" i="13"/>
  <c r="M16" i="31"/>
  <c r="J11" i="13"/>
  <c r="AN11" i="13"/>
  <c r="AP11" i="13" s="1"/>
  <c r="L2" i="31"/>
  <c r="R11" i="13"/>
  <c r="L6" i="31"/>
  <c r="V11" i="13"/>
  <c r="L8" i="31"/>
  <c r="Z11" i="13"/>
  <c r="L10" i="31"/>
  <c r="AD11" i="13"/>
  <c r="L12" i="31"/>
  <c r="AH11" i="13"/>
  <c r="L14" i="31"/>
  <c r="AL11" i="13"/>
  <c r="L16" i="31"/>
  <c r="J10" i="13"/>
  <c r="AN10" i="13"/>
  <c r="AP10" i="13" s="1"/>
  <c r="K2" i="31"/>
  <c r="R10" i="13"/>
  <c r="K6" i="31"/>
  <c r="V10" i="13"/>
  <c r="K8" i="31"/>
  <c r="Z10" i="13"/>
  <c r="K10" i="31"/>
  <c r="AD10" i="13"/>
  <c r="K12" i="31"/>
  <c r="AH10" i="13"/>
  <c r="K14" i="31"/>
  <c r="AL10" i="13"/>
  <c r="K16" i="31"/>
  <c r="J9" i="13"/>
  <c r="AN9" i="13"/>
  <c r="AP9" i="13" s="1"/>
  <c r="J2" i="31"/>
  <c r="R9" i="13"/>
  <c r="J6" i="31"/>
  <c r="V9" i="13"/>
  <c r="J8" i="31"/>
  <c r="Z9" i="13"/>
  <c r="J10" i="31"/>
  <c r="AD9" i="13"/>
  <c r="J12" i="31"/>
  <c r="AH9" i="13"/>
  <c r="J14" i="31"/>
  <c r="AL9" i="13"/>
  <c r="J16" i="31"/>
  <c r="J8" i="13"/>
  <c r="AN8" i="13"/>
  <c r="AP8" i="13" s="1"/>
  <c r="I2" i="31"/>
  <c r="R8" i="13"/>
  <c r="I6" i="31"/>
  <c r="V8" i="13"/>
  <c r="I8" i="31"/>
  <c r="Z8" i="13"/>
  <c r="I10" i="31"/>
  <c r="AD8" i="13"/>
  <c r="I12" i="31"/>
  <c r="AH8" i="13"/>
  <c r="I14" i="31"/>
  <c r="AL8" i="13"/>
  <c r="I16" i="31"/>
  <c r="J7" i="13"/>
  <c r="AN7" i="13"/>
  <c r="AP7" i="13" s="1"/>
  <c r="H2" i="31"/>
  <c r="R7" i="13"/>
  <c r="H6" i="31"/>
  <c r="V7" i="13"/>
  <c r="H8" i="31"/>
  <c r="Z7" i="13"/>
  <c r="H10" i="31"/>
  <c r="AD7" i="13"/>
  <c r="H12" i="31"/>
  <c r="AH7" i="13"/>
  <c r="H14" i="31"/>
  <c r="AL7" i="13"/>
  <c r="H16" i="31"/>
  <c r="J6" i="13"/>
  <c r="AN6" i="13"/>
  <c r="AP6" i="13" s="1"/>
  <c r="G2" i="31"/>
  <c r="R6" i="13"/>
  <c r="G6" i="31"/>
  <c r="V6" i="13"/>
  <c r="G8" i="31"/>
  <c r="Z6" i="13"/>
  <c r="G10" i="31"/>
  <c r="AD6" i="13"/>
  <c r="G12" i="31"/>
  <c r="AH6" i="13"/>
  <c r="G14" i="31"/>
  <c r="AL6" i="13"/>
  <c r="G16" i="31"/>
  <c r="J5" i="13"/>
  <c r="AN5" i="13"/>
  <c r="AP5" i="13" s="1"/>
  <c r="F2" i="31"/>
  <c r="R5" i="13"/>
  <c r="F6" i="31"/>
  <c r="V5" i="13"/>
  <c r="F8" i="31"/>
  <c r="Z5" i="13"/>
  <c r="F10" i="31"/>
  <c r="AD5" i="13"/>
  <c r="F12" i="31"/>
  <c r="AH5" i="13"/>
  <c r="F14" i="31"/>
  <c r="AL5" i="13"/>
  <c r="F16" i="31"/>
  <c r="J4" i="13"/>
  <c r="AN4" i="13"/>
  <c r="H16" i="13"/>
  <c r="E2" i="31"/>
  <c r="R4" i="13"/>
  <c r="P16" i="13"/>
  <c r="E6" i="31"/>
  <c r="V4" i="13"/>
  <c r="T16" i="13"/>
  <c r="E8" i="31"/>
  <c r="Z4" i="13"/>
  <c r="X16" i="13"/>
  <c r="E10" i="31"/>
  <c r="AD4" i="13"/>
  <c r="AB16" i="13"/>
  <c r="E12" i="31"/>
  <c r="AH4" i="13"/>
  <c r="AF16" i="13"/>
  <c r="E14" i="31"/>
  <c r="AL4" i="13"/>
  <c r="AJ16" i="13"/>
  <c r="E16" i="31"/>
  <c r="N4" i="13"/>
  <c r="N16" i="13" s="1"/>
  <c r="L16" i="13"/>
  <c r="E4" i="31"/>
  <c r="I59" i="13"/>
  <c r="Q3" i="31"/>
  <c r="M59" i="13"/>
  <c r="Q5" i="31"/>
  <c r="Q59" i="13"/>
  <c r="Q7" i="31"/>
  <c r="U59" i="13"/>
  <c r="Q9" i="31"/>
  <c r="Y59" i="13"/>
  <c r="Q11" i="31"/>
  <c r="AC59" i="13"/>
  <c r="Q13" i="31"/>
  <c r="AG59" i="13"/>
  <c r="Q15" i="31"/>
  <c r="AK59" i="13"/>
  <c r="Q17" i="31"/>
  <c r="AH29" i="13" l="1"/>
  <c r="AL29" i="13"/>
  <c r="J16" i="13"/>
  <c r="R16" i="13"/>
  <c r="V16" i="13"/>
  <c r="Z16" i="13"/>
  <c r="AD16" i="13"/>
  <c r="AH16" i="13"/>
  <c r="AH59" i="13" s="1"/>
  <c r="AL16" i="13"/>
  <c r="AL59" i="13" s="1"/>
  <c r="AP43" i="13"/>
  <c r="AP55" i="13" s="1"/>
  <c r="AN55" i="13"/>
  <c r="AN42" i="13"/>
  <c r="AP30" i="13"/>
  <c r="AP42" i="13" s="1"/>
  <c r="AP17" i="13"/>
  <c r="AP29" i="13" s="1"/>
  <c r="AN29" i="13"/>
  <c r="AP4" i="13"/>
  <c r="AP16" i="13" s="1"/>
  <c r="AN16" i="13"/>
  <c r="H59" i="13"/>
  <c r="Q2" i="31"/>
  <c r="P59" i="13"/>
  <c r="Q6" i="31"/>
  <c r="T59" i="13"/>
  <c r="Q8" i="31"/>
  <c r="X59" i="13"/>
  <c r="Q10" i="31"/>
  <c r="AB59" i="13"/>
  <c r="Q12" i="31"/>
  <c r="AF59" i="13"/>
  <c r="Q14" i="31"/>
  <c r="AJ59" i="13"/>
  <c r="Q16" i="31"/>
  <c r="L59" i="13"/>
  <c r="Q4" i="31"/>
  <c r="J29" i="13"/>
  <c r="R29" i="13"/>
  <c r="V29" i="13"/>
  <c r="Z29" i="13"/>
  <c r="AD29" i="13"/>
  <c r="N59" i="13"/>
  <c r="J59" i="13" l="1"/>
  <c r="V59" i="13"/>
  <c r="Z59" i="13"/>
  <c r="AD59" i="13"/>
  <c r="R59" i="13"/>
  <c r="AP59" i="13"/>
  <c r="AN59" i="13"/>
</calcChain>
</file>

<file path=xl/sharedStrings.xml><?xml version="1.0" encoding="utf-8"?>
<sst xmlns="http://schemas.openxmlformats.org/spreadsheetml/2006/main" count="25033" uniqueCount="1201">
  <si>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</si>
  <si>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</si>
  <si>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</si>
  <si>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</si>
  <si>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</si>
  <si>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</si>
  <si>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</si>
  <si>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</si>
  <si>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</si>
  <si>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</si>
  <si>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</si>
  <si>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</si>
  <si>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</si>
  <si>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</si>
  <si>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</si>
  <si>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</si>
  <si>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</si>
  <si>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</si>
  <si>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</si>
  <si>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</si>
  <si>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</si>
  <si>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</si>
  <si>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</si>
  <si>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</si>
  <si>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</si>
  <si>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</si>
  <si>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</si>
  <si>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</si>
  <si>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</si>
  <si>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</si>
  <si>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</si>
  <si>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</si>
  <si>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</si>
  <si>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</si>
  <si>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</si>
  <si>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</si>
  <si>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</si>
  <si>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</si>
  <si>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</si>
  <si>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</si>
  <si>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</si>
  <si>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</si>
  <si>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</si>
  <si>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</si>
  <si>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</si>
  <si>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4000006878</t>
  </si>
  <si>
    <t>76201342-8</t>
  </si>
  <si>
    <t>KNAUF CHILE SPA</t>
  </si>
  <si>
    <t>6701148601</t>
  </si>
  <si>
    <t>ZPCD</t>
  </si>
  <si>
    <t>10</t>
  </si>
  <si>
    <t>2002</t>
  </si>
  <si>
    <t>101</t>
  </si>
  <si>
    <t>C004</t>
  </si>
  <si>
    <t>E652</t>
  </si>
  <si>
    <t>Local</t>
  </si>
  <si>
    <t>43</t>
  </si>
  <si>
    <t>Construccion</t>
  </si>
  <si>
    <t/>
  </si>
  <si>
    <t>430401007</t>
  </si>
  <si>
    <t>1246707</t>
  </si>
  <si>
    <t>AQUAPANEL MORTERO SUP. BLANCO 25KG</t>
  </si>
  <si>
    <t>UN</t>
  </si>
  <si>
    <t>20</t>
  </si>
  <si>
    <t>430503001</t>
  </si>
  <si>
    <t>1246706</t>
  </si>
  <si>
    <t>AQUAPANEL CINTA EXT. 0.10X50</t>
  </si>
  <si>
    <t>30</t>
  </si>
  <si>
    <t>430201001</t>
  </si>
  <si>
    <t>1246708</t>
  </si>
  <si>
    <t>AQUAPANEL MALLA SUP. OUT /IND 1X50</t>
  </si>
  <si>
    <t>40</t>
  </si>
  <si>
    <t>430503006</t>
  </si>
  <si>
    <t>1441557</t>
  </si>
  <si>
    <t>PLACA AQUAPANEL RESIDENCIAL 8 1200X2400</t>
  </si>
  <si>
    <t>50</t>
  </si>
  <si>
    <t>430503004</t>
  </si>
  <si>
    <t>1230790</t>
  </si>
  <si>
    <t>MASILLA BASE KNAUF 20KG</t>
  </si>
  <si>
    <t>60</t>
  </si>
  <si>
    <t>430102005</t>
  </si>
  <si>
    <t>1315155</t>
  </si>
  <si>
    <t>CINTA MALLA 48 MM X 45 M</t>
  </si>
  <si>
    <t>6701149317</t>
  </si>
  <si>
    <t>13</t>
  </si>
  <si>
    <t>Ferreteria</t>
  </si>
  <si>
    <t>430502003</t>
  </si>
  <si>
    <t>1239232</t>
  </si>
  <si>
    <t>PLACA AQUAPANAL OUTDOOR 12.5 120X240</t>
  </si>
  <si>
    <t>430204003</t>
  </si>
  <si>
    <t>1246704</t>
  </si>
  <si>
    <t>AQUAPANEL WATER BARRIER 1.50X50</t>
  </si>
  <si>
    <t>1309477</t>
  </si>
  <si>
    <t>CINTA PARA JUNTAS AQUAPANEL 10CM  50M</t>
  </si>
  <si>
    <t>130211005</t>
  </si>
  <si>
    <t>1366504</t>
  </si>
  <si>
    <t>AQUAPANEL TORNILLO MAXI TB 39MM</t>
  </si>
  <si>
    <t>6701149515</t>
  </si>
  <si>
    <t>70</t>
  </si>
  <si>
    <t>430507002</t>
  </si>
  <si>
    <t>938731</t>
  </si>
  <si>
    <t>SERVICIO FLETE</t>
  </si>
  <si>
    <t>6701150050</t>
  </si>
  <si>
    <t>6701150184</t>
  </si>
  <si>
    <t>E522</t>
  </si>
  <si>
    <t>1459339</t>
  </si>
  <si>
    <t>PANELES HERADESIGN SF ALPHA AK01 NATURAL</t>
  </si>
  <si>
    <t>1459340</t>
  </si>
  <si>
    <t>TORNILLO HERADESIGN SCREW</t>
  </si>
  <si>
    <t>6701150578</t>
  </si>
  <si>
    <t>E512</t>
  </si>
  <si>
    <t>1232499</t>
  </si>
  <si>
    <t>PLACA CLEANEO PLUS 8/15/20 12.5MM 1200X2</t>
  </si>
  <si>
    <t>M2</t>
  </si>
  <si>
    <t>6508205157</t>
  </si>
  <si>
    <t>ZPMC</t>
  </si>
  <si>
    <t>2001</t>
  </si>
  <si>
    <t>1232379</t>
  </si>
  <si>
    <t>PL YESO CARTON ST BR 15X1200X2400 MM KNA</t>
  </si>
  <si>
    <t>PAL</t>
  </si>
  <si>
    <t>6508205158</t>
  </si>
  <si>
    <t>E521</t>
  </si>
  <si>
    <t>1232378</t>
  </si>
  <si>
    <t>PL YESO CARTON ST BR 10X1200X2400 MM KNA</t>
  </si>
  <si>
    <t>6508217356</t>
  </si>
  <si>
    <t>E988</t>
  </si>
  <si>
    <t>6701151252</t>
  </si>
  <si>
    <t>1232497</t>
  </si>
  <si>
    <t>PL YESO CARTON RF 15X1200X2400MM KNAUF</t>
  </si>
  <si>
    <t>6701151472</t>
  </si>
  <si>
    <t>6701150751</t>
  </si>
  <si>
    <t>6701150857</t>
  </si>
  <si>
    <t>430506002</t>
  </si>
  <si>
    <t>1192671</t>
  </si>
  <si>
    <t>YESO PROYECTADO 25KG</t>
  </si>
  <si>
    <t>6701151146</t>
  </si>
  <si>
    <t>E508</t>
  </si>
  <si>
    <t>430203001</t>
  </si>
  <si>
    <t>1236055</t>
  </si>
  <si>
    <t>ROLLO LIBRE HR 50MM 1200X12000MM KNAUF</t>
  </si>
  <si>
    <t>237217</t>
  </si>
  <si>
    <t>PL YESO CARTON RH 12.5X1200X2400 MM</t>
  </si>
  <si>
    <t>6508229493</t>
  </si>
  <si>
    <t>6508229494</t>
  </si>
  <si>
    <t>6508229570</t>
  </si>
  <si>
    <t>1232377</t>
  </si>
  <si>
    <t>PL YESO CARTON RH 12.5X1200X2400 MM KNAU</t>
  </si>
  <si>
    <t>1232375</t>
  </si>
  <si>
    <t>PL YESO CARTON ST BR 8X1200X2400 MM KNAU</t>
  </si>
  <si>
    <t>6701152353</t>
  </si>
  <si>
    <t>E517</t>
  </si>
  <si>
    <t>1246703</t>
  </si>
  <si>
    <t>AQUAPANEL PL OUTDOOR 12.5MM 1.20X2.4</t>
  </si>
  <si>
    <t>1268837</t>
  </si>
  <si>
    <t>PLACA SILENTBOARD FR 12.5 EN 625X2000</t>
  </si>
  <si>
    <t>6701152423</t>
  </si>
  <si>
    <t>6701152763</t>
  </si>
  <si>
    <t>E504</t>
  </si>
  <si>
    <t>430401006</t>
  </si>
  <si>
    <t>1309478</t>
  </si>
  <si>
    <t>MORTERO SUPERFICIE BLANCO AQUAPANEL 25KG</t>
  </si>
  <si>
    <t>6701154208</t>
  </si>
  <si>
    <t>1413158</t>
  </si>
  <si>
    <t>MASILLA JOINTFILLER 20 KG</t>
  </si>
  <si>
    <t>6701154628</t>
  </si>
  <si>
    <t>6701155185</t>
  </si>
  <si>
    <t>6701157234</t>
  </si>
  <si>
    <t>E507</t>
  </si>
  <si>
    <t>1370572</t>
  </si>
  <si>
    <t>CENEFA MULTIFORM ST 15MM</t>
  </si>
  <si>
    <t>M</t>
  </si>
  <si>
    <t>6701157774</t>
  </si>
  <si>
    <t>430406006</t>
  </si>
  <si>
    <t>1249500</t>
  </si>
  <si>
    <t>PUENTE ADHERENTE YESO BETOKONTAKT 20KG</t>
  </si>
  <si>
    <t>6701158395</t>
  </si>
  <si>
    <t>6701156770</t>
  </si>
  <si>
    <t>1460002</t>
  </si>
  <si>
    <t>AQUAPANEL PLACA R. 8MM 1200X2400</t>
  </si>
  <si>
    <t>6701168390</t>
  </si>
  <si>
    <t>6701168551</t>
  </si>
  <si>
    <t>1153805</t>
  </si>
  <si>
    <t>PL YESO CARTON ST 12.5X1200X2400</t>
  </si>
  <si>
    <t>1252501</t>
  </si>
  <si>
    <t>ROLLO LIBRE HR 60MM 1200X12000MM KNAUF</t>
  </si>
  <si>
    <t>1295109</t>
  </si>
  <si>
    <t>CINTA DE PAPEL MICROPERFORADA 50 X 75</t>
  </si>
  <si>
    <t>6701152764</t>
  </si>
  <si>
    <t>6701159708</t>
  </si>
  <si>
    <t>6508251396</t>
  </si>
  <si>
    <t>E843</t>
  </si>
  <si>
    <t>6508252644</t>
  </si>
  <si>
    <t>6701162943</t>
  </si>
  <si>
    <t>1232496</t>
  </si>
  <si>
    <t>PL YESO CARTON RH 15X1200X2400MM KNAUF</t>
  </si>
  <si>
    <t>1415814</t>
  </si>
  <si>
    <t>LV PAPEL 1C HR 100MM</t>
  </si>
  <si>
    <t>6508263433</t>
  </si>
  <si>
    <t>6508263434</t>
  </si>
  <si>
    <t>6508263435</t>
  </si>
  <si>
    <t>6508263436</t>
  </si>
  <si>
    <t>6508273877</t>
  </si>
  <si>
    <t>6508273878</t>
  </si>
  <si>
    <t>6508286290</t>
  </si>
  <si>
    <t>6508286291</t>
  </si>
  <si>
    <t>6701159264</t>
  </si>
  <si>
    <t>6701171102</t>
  </si>
  <si>
    <t>6701172608</t>
  </si>
  <si>
    <t>130210003</t>
  </si>
  <si>
    <t>1254402</t>
  </si>
  <si>
    <t>AQUAPANEL TORNILLO MAXI SB 25 250 UN</t>
  </si>
  <si>
    <t>6701171933</t>
  </si>
  <si>
    <t>6508334637</t>
  </si>
  <si>
    <t>6508328792</t>
  </si>
  <si>
    <t>ZDCZ</t>
  </si>
  <si>
    <t>161</t>
  </si>
  <si>
    <t>6508334635</t>
  </si>
  <si>
    <t>6701159354</t>
  </si>
  <si>
    <t>6508299090</t>
  </si>
  <si>
    <t>6701172448</t>
  </si>
  <si>
    <t>6701172462</t>
  </si>
  <si>
    <t>1370563</t>
  </si>
  <si>
    <t>PLACA KNAUF IMPACT 12.5MM 1200X3000</t>
  </si>
  <si>
    <t>6701186785</t>
  </si>
  <si>
    <t>E874</t>
  </si>
  <si>
    <t>896692</t>
  </si>
  <si>
    <t>BANDA ACUSTICA 70MM ANCHO ROLLO X 30 M</t>
  </si>
  <si>
    <t>ROM</t>
  </si>
  <si>
    <t>1247551</t>
  </si>
  <si>
    <t>ACUAPANEL JUNTA PARA CINTA EX 0.10X50</t>
  </si>
  <si>
    <t>6701171829</t>
  </si>
  <si>
    <t>6701182016</t>
  </si>
  <si>
    <t>6701185633</t>
  </si>
  <si>
    <t>6701185708</t>
  </si>
  <si>
    <t>6701161121</t>
  </si>
  <si>
    <t>6508308060</t>
  </si>
  <si>
    <t>6508308061</t>
  </si>
  <si>
    <t>1347335</t>
  </si>
  <si>
    <t>VP YESO REPARED FIX AND FINISH 1.5KG</t>
  </si>
  <si>
    <t>CS</t>
  </si>
  <si>
    <t>6508308062</t>
  </si>
  <si>
    <t>1347337</t>
  </si>
  <si>
    <t>MASILLA READYMAS FIX AND FINISH 1.5KG</t>
  </si>
  <si>
    <t>6508308063</t>
  </si>
  <si>
    <t>6508322441</t>
  </si>
  <si>
    <t>6508322442</t>
  </si>
  <si>
    <t>6508322443</t>
  </si>
  <si>
    <t>1232376</t>
  </si>
  <si>
    <t>PL YESO CARTON RF 12.5X1200X2400 MM KNAU</t>
  </si>
  <si>
    <t>6508322444</t>
  </si>
  <si>
    <t>6701155128</t>
  </si>
  <si>
    <t>6701169018</t>
  </si>
  <si>
    <t>6701158452</t>
  </si>
  <si>
    <t>1465435</t>
  </si>
  <si>
    <t>AQUAPANEL WAT BARRIER 1.5M X 50M 50</t>
  </si>
  <si>
    <t>6701158643</t>
  </si>
  <si>
    <t>1465092</t>
  </si>
  <si>
    <t>PL AQUAPANEL INDOOR 12.5MM 120X300</t>
  </si>
  <si>
    <t>6701174394</t>
  </si>
  <si>
    <t>6701174526</t>
  </si>
  <si>
    <t>6701175247</t>
  </si>
  <si>
    <t>6701175490</t>
  </si>
  <si>
    <t>6701175648</t>
  </si>
  <si>
    <t>6701175729</t>
  </si>
  <si>
    <t>6701175730</t>
  </si>
  <si>
    <t>6701175838</t>
  </si>
  <si>
    <t>6701175847</t>
  </si>
  <si>
    <t>1460191</t>
  </si>
  <si>
    <t>CENEFA MULTIFORM ESTÁNDAR 12.5</t>
  </si>
  <si>
    <t>6701175938</t>
  </si>
  <si>
    <t>6701178150</t>
  </si>
  <si>
    <t>6701179083</t>
  </si>
  <si>
    <t>6701179735</t>
  </si>
  <si>
    <t>6508286288</t>
  </si>
  <si>
    <t>6508286289</t>
  </si>
  <si>
    <t>6701147461</t>
  </si>
  <si>
    <t>1458174</t>
  </si>
  <si>
    <t>CIELO MODULAR CMF MERCURE 60X60 CMS</t>
  </si>
  <si>
    <t>1458175</t>
  </si>
  <si>
    <t>PERFIL PRINCIPAL 9/16 3050 MM LD 25</t>
  </si>
  <si>
    <t>1458176</t>
  </si>
  <si>
    <t>PERFIL SECUNDARIO 9/16 1220 MM LD 50</t>
  </si>
  <si>
    <t>1458177</t>
  </si>
  <si>
    <t>PERFIL METÁLICO TRAV 9/16 610 MM LD 50</t>
  </si>
  <si>
    <t>1458178</t>
  </si>
  <si>
    <t>PERFIL ACERO PERIM 20/20 3000 MM 50</t>
  </si>
  <si>
    <t>1458179</t>
  </si>
  <si>
    <t>CIELO MOD.THERMATEX /ANTA BOARD 60X60CM</t>
  </si>
  <si>
    <t>6701185887</t>
  </si>
  <si>
    <t>1239233</t>
  </si>
  <si>
    <t>PLACA IMPACT 15MM 120X240</t>
  </si>
  <si>
    <t>1249225</t>
  </si>
  <si>
    <t>PEGAMENTO PERLFIX 25 KGS</t>
  </si>
  <si>
    <t>6701182871</t>
  </si>
  <si>
    <t>6701193792</t>
  </si>
  <si>
    <t>1430288</t>
  </si>
  <si>
    <t>AMF THERMATEX ANTARIS BOARD 610X610</t>
  </si>
  <si>
    <t>430502002</t>
  </si>
  <si>
    <t>1266133</t>
  </si>
  <si>
    <t>PRINCIAPAL 15/16 VT243660ML 25</t>
  </si>
  <si>
    <t>1266134</t>
  </si>
  <si>
    <t>SECUNDARIO 15/16 VT24 1220ML 50</t>
  </si>
  <si>
    <t>1266136</t>
  </si>
  <si>
    <t>PERIMETRAL 20/20 3000MM 50</t>
  </si>
  <si>
    <t>6701194320</t>
  </si>
  <si>
    <t>6701187222</t>
  </si>
  <si>
    <t>1448820</t>
  </si>
  <si>
    <t>AQUAPANEL PLACA SKYLITE 8MM 900X1200MM</t>
  </si>
  <si>
    <t>6701190183</t>
  </si>
  <si>
    <t>6508358306</t>
  </si>
  <si>
    <t>6508358307</t>
  </si>
  <si>
    <t>6508358308</t>
  </si>
  <si>
    <t>6508358309</t>
  </si>
  <si>
    <t>6508370459</t>
  </si>
  <si>
    <t>6508370460</t>
  </si>
  <si>
    <t>6701191298</t>
  </si>
  <si>
    <t>E591</t>
  </si>
  <si>
    <t>1266349</t>
  </si>
  <si>
    <t>YESO CARTON ST BR 10X1200X2400 MM</t>
  </si>
  <si>
    <t>6508334636</t>
  </si>
  <si>
    <t>6508345015</t>
  </si>
  <si>
    <t>6508345016</t>
  </si>
  <si>
    <t>6508345017</t>
  </si>
  <si>
    <t>6701197591</t>
  </si>
  <si>
    <t>6701197834</t>
  </si>
  <si>
    <t>6701199820</t>
  </si>
  <si>
    <t>6508382260</t>
  </si>
  <si>
    <t>6508382261</t>
  </si>
  <si>
    <t>6701200609</t>
  </si>
  <si>
    <t>6701200610</t>
  </si>
  <si>
    <t>6701202721</t>
  </si>
  <si>
    <t>6701203640</t>
  </si>
  <si>
    <t>6701205933</t>
  </si>
  <si>
    <t>6701203449</t>
  </si>
  <si>
    <t>80</t>
  </si>
  <si>
    <t>90</t>
  </si>
  <si>
    <t>100</t>
  </si>
  <si>
    <t>6508394080</t>
  </si>
  <si>
    <t>6508394081</t>
  </si>
  <si>
    <t>6701200076</t>
  </si>
  <si>
    <t>6701215576</t>
  </si>
  <si>
    <t>1239231</t>
  </si>
  <si>
    <t>PLACA AQUAPANAL INDOOR 12.5 120X240</t>
  </si>
  <si>
    <t>6508431474</t>
  </si>
  <si>
    <t>6508403695</t>
  </si>
  <si>
    <t>6508403696</t>
  </si>
  <si>
    <t>6508413632</t>
  </si>
  <si>
    <t>6508413633</t>
  </si>
  <si>
    <t>6508413634</t>
  </si>
  <si>
    <t>6508420282</t>
  </si>
  <si>
    <t>6701208750</t>
  </si>
  <si>
    <t>6701171934</t>
  </si>
  <si>
    <t>1296891</t>
  </si>
  <si>
    <t>PLACA DIAMANT GKFI 12.5X1200X2400 BR</t>
  </si>
  <si>
    <t>671056</t>
  </si>
  <si>
    <t>PL YESO CARTON RH 12.5 1200X3000</t>
  </si>
  <si>
    <t>6701171815</t>
  </si>
  <si>
    <t>6701192098</t>
  </si>
  <si>
    <t>6701194207</t>
  </si>
  <si>
    <t>1266135</t>
  </si>
  <si>
    <t>TRAVESANO 15/16VT24 610 ML 50</t>
  </si>
  <si>
    <t>6701195986</t>
  </si>
  <si>
    <t>6701172882</t>
  </si>
  <si>
    <t>6701251046</t>
  </si>
  <si>
    <t>E655</t>
  </si>
  <si>
    <t>1417085</t>
  </si>
  <si>
    <t>PUERTA DE REGISTRO 40X40 P/CIELO</t>
  </si>
  <si>
    <t>1299698</t>
  </si>
  <si>
    <t>PUERTA DE REGISTRO 60X60.</t>
  </si>
  <si>
    <t>6508423592</t>
  </si>
  <si>
    <t>6508431473</t>
  </si>
  <si>
    <t>6508441231</t>
  </si>
  <si>
    <t>PLANCA YESO CARTON ST BR 10X1200X2400MM</t>
  </si>
  <si>
    <t>PLANCA YESO CARTON ST BR 15X1200X2400MM</t>
  </si>
  <si>
    <t>6508441232</t>
  </si>
  <si>
    <t>PLANCA YESO CARTON RH 12.5X1200X2400MM</t>
  </si>
  <si>
    <t>6508441233</t>
  </si>
  <si>
    <t>6701214542</t>
  </si>
  <si>
    <t>6701214592</t>
  </si>
  <si>
    <t>1233875</t>
  </si>
  <si>
    <t>PLACA THERMATEX MERCURE 610X610</t>
  </si>
  <si>
    <t>6701252696</t>
  </si>
  <si>
    <t>E514</t>
  </si>
  <si>
    <t>430209001</t>
  </si>
  <si>
    <t>1295160</t>
  </si>
  <si>
    <t>ROLLO PAPEL 1C HR 50MM X 1.2 X 12 MT</t>
  </si>
  <si>
    <t>6701216289</t>
  </si>
  <si>
    <t>6701218157</t>
  </si>
  <si>
    <t>1230792</t>
  </si>
  <si>
    <t>PL YESO CARTON RH 12.5X1200X2400MM KNAUF</t>
  </si>
  <si>
    <t>1230791</t>
  </si>
  <si>
    <t>PL YESO CARTON RF 12.5X1200X2400MM KNAUF</t>
  </si>
  <si>
    <t>6508469638</t>
  </si>
  <si>
    <t>PLANCHA YESO CARTON ST BR 15X1200X2400MM</t>
  </si>
  <si>
    <t>6701239367</t>
  </si>
  <si>
    <t>6701246783</t>
  </si>
  <si>
    <t>6701247192</t>
  </si>
  <si>
    <t>6701248979</t>
  </si>
  <si>
    <t>1281906</t>
  </si>
  <si>
    <t>PERFIL PRINCIPAL 15 16 VT243660ML25</t>
  </si>
  <si>
    <t>6701249468</t>
  </si>
  <si>
    <t>6701200316</t>
  </si>
  <si>
    <t>430103001</t>
  </si>
  <si>
    <t>1306621</t>
  </si>
  <si>
    <t>YESO CARTON RH BR 12.5X1.2X2.4</t>
  </si>
  <si>
    <t>6701212910</t>
  </si>
  <si>
    <t>1239022</t>
  </si>
  <si>
    <t>PLACA CEMENTICA AQUAPANAL 8MM 120X240</t>
  </si>
  <si>
    <t>118468</t>
  </si>
  <si>
    <t>6508450760</t>
  </si>
  <si>
    <t>6508450761</t>
  </si>
  <si>
    <t>PLANCHA YESO CARTON RH 12.5X1200X2400MM</t>
  </si>
  <si>
    <t>6508450762</t>
  </si>
  <si>
    <t>6508458485</t>
  </si>
  <si>
    <t>6508458486</t>
  </si>
  <si>
    <t>6508458487</t>
  </si>
  <si>
    <t>6701224004</t>
  </si>
  <si>
    <t>904569</t>
  </si>
  <si>
    <t>BANDA ACUSTICA 50MM ANCHO ROLLO X 30 M</t>
  </si>
  <si>
    <t>6701230108</t>
  </si>
  <si>
    <t>E592</t>
  </si>
  <si>
    <t>118500</t>
  </si>
  <si>
    <t>PLANCA YESO CARTON RH 15X1200X2400MM</t>
  </si>
  <si>
    <t>6508469639</t>
  </si>
  <si>
    <t>6508479492</t>
  </si>
  <si>
    <t>PLANCHA YESO CARTON ST BR 10MMX1.2X2.4M</t>
  </si>
  <si>
    <t>6508479493</t>
  </si>
  <si>
    <t>6701253701</t>
  </si>
  <si>
    <t>1266350</t>
  </si>
  <si>
    <t>YESO CARTON RH 15X1200X2400 MM</t>
  </si>
  <si>
    <t>PLANCHA YESO CARTON ST 12.5X1200X2400MM</t>
  </si>
  <si>
    <t>6701254844</t>
  </si>
  <si>
    <t>6701255440</t>
  </si>
  <si>
    <t>6701255536</t>
  </si>
  <si>
    <t>E510</t>
  </si>
  <si>
    <t>6701260378</t>
  </si>
  <si>
    <t>430406005</t>
  </si>
  <si>
    <t>1192673</t>
  </si>
  <si>
    <t>PEGAMENTO POLIGYP 25KG</t>
  </si>
  <si>
    <t>110</t>
  </si>
  <si>
    <t>120</t>
  </si>
  <si>
    <t>1366503</t>
  </si>
  <si>
    <t>AQUAPANEL TORNILLO MAXI TB 25MM</t>
  </si>
  <si>
    <t>6701257975</t>
  </si>
  <si>
    <t>6508489442</t>
  </si>
  <si>
    <t>6508489443</t>
  </si>
  <si>
    <t>6508489444</t>
  </si>
  <si>
    <t>6508498659</t>
  </si>
  <si>
    <t>6508498660</t>
  </si>
  <si>
    <t>1347336</t>
  </si>
  <si>
    <t>VP MASILLA JOINTFILLER FIX &amp;FINISH 1.5KG</t>
  </si>
  <si>
    <t>6508498661</t>
  </si>
  <si>
    <t>6701258845</t>
  </si>
  <si>
    <t>6701264921</t>
  </si>
  <si>
    <t>6701266119</t>
  </si>
  <si>
    <t>150</t>
  </si>
  <si>
    <t>160</t>
  </si>
  <si>
    <t>1377723</t>
  </si>
  <si>
    <t>PY POLYPLAC 20MM 1.2X2.4 50</t>
  </si>
  <si>
    <t>170</t>
  </si>
  <si>
    <t>180</t>
  </si>
  <si>
    <t>190</t>
  </si>
  <si>
    <t>200</t>
  </si>
  <si>
    <t>210</t>
  </si>
  <si>
    <t>220</t>
  </si>
  <si>
    <t>230</t>
  </si>
  <si>
    <t>240</t>
  </si>
  <si>
    <t>6701262166</t>
  </si>
  <si>
    <t>6701263779</t>
  </si>
  <si>
    <t>1266348</t>
  </si>
  <si>
    <t>YESO CARTON ST BR 15X1200X2400 MM</t>
  </si>
  <si>
    <t>6701264010</t>
  </si>
  <si>
    <t>6508508735</t>
  </si>
  <si>
    <t>6508508736</t>
  </si>
  <si>
    <t>6508517359</t>
  </si>
  <si>
    <t>6508517360</t>
  </si>
  <si>
    <t>6701267442</t>
  </si>
  <si>
    <t>6701267935</t>
  </si>
  <si>
    <t>6701270245</t>
  </si>
  <si>
    <t>6701270247</t>
  </si>
  <si>
    <t>6701271335</t>
  </si>
  <si>
    <t>6701271546</t>
  </si>
  <si>
    <t>6701271940</t>
  </si>
  <si>
    <t>1427081</t>
  </si>
  <si>
    <t>PLACA IMPACT RH 15 1200X2400</t>
  </si>
  <si>
    <t>6701170942</t>
  </si>
  <si>
    <t>6701209499</t>
  </si>
  <si>
    <t>6701276519</t>
  </si>
  <si>
    <t>1252500</t>
  </si>
  <si>
    <t>ROLLO LIBRE HR 40MM 1200X12000MM KNAUF</t>
  </si>
  <si>
    <t>290</t>
  </si>
  <si>
    <t>300</t>
  </si>
  <si>
    <t>1252502</t>
  </si>
  <si>
    <t>ROLLO LIBRE HR 80MM 1200X12000MM KNAUF</t>
  </si>
  <si>
    <t>6701277033</t>
  </si>
  <si>
    <t>6701285631</t>
  </si>
  <si>
    <t>6701286186</t>
  </si>
  <si>
    <t>6508526832</t>
  </si>
  <si>
    <t>6508526833</t>
  </si>
  <si>
    <t>6508526834</t>
  </si>
  <si>
    <t>6508536707</t>
  </si>
  <si>
    <t>6508536708</t>
  </si>
  <si>
    <t>6701278163</t>
  </si>
  <si>
    <t>6508548109</t>
  </si>
  <si>
    <t>6508548110</t>
  </si>
  <si>
    <t>6508548111</t>
  </si>
  <si>
    <t>6508556486</t>
  </si>
  <si>
    <t>6701290162</t>
  </si>
  <si>
    <t>6701290454</t>
  </si>
  <si>
    <t>6701290529</t>
  </si>
  <si>
    <t>6701290557</t>
  </si>
  <si>
    <t>6701294864</t>
  </si>
  <si>
    <t>6701210366</t>
  </si>
  <si>
    <t>1232498</t>
  </si>
  <si>
    <t>PL YESO CARTON ST 12.5X1200X2400MM KNAUF</t>
  </si>
  <si>
    <t>130</t>
  </si>
  <si>
    <t>140</t>
  </si>
  <si>
    <t>6701210444</t>
  </si>
  <si>
    <t>854007</t>
  </si>
  <si>
    <t>LANA VIDRIO LIBRE (SR )40MM/ 28.80M2</t>
  </si>
  <si>
    <t>6701272865</t>
  </si>
  <si>
    <t>6701273099</t>
  </si>
  <si>
    <t>6701275085</t>
  </si>
  <si>
    <t>6701275832</t>
  </si>
  <si>
    <t>6701270937</t>
  </si>
  <si>
    <t>6701271148</t>
  </si>
  <si>
    <t>6508517361</t>
  </si>
  <si>
    <t>1192669</t>
  </si>
  <si>
    <t>MASILLA BASE 25KG</t>
  </si>
  <si>
    <t>6701225032</t>
  </si>
  <si>
    <t>6701255879</t>
  </si>
  <si>
    <t>6701255381</t>
  </si>
  <si>
    <t>6701250417</t>
  </si>
  <si>
    <t>430405003</t>
  </si>
  <si>
    <t>1482346</t>
  </si>
  <si>
    <t>TAPA INSPECCIÓN KNAUF 40X40 SNAP LOCK</t>
  </si>
  <si>
    <t>1482347</t>
  </si>
  <si>
    <t>TAPA INSPECCIÓN KNAUF 60X60 SNAP LOCK</t>
  </si>
  <si>
    <t>6508574171</t>
  </si>
  <si>
    <t>6508576590</t>
  </si>
  <si>
    <t>6508576591</t>
  </si>
  <si>
    <t>6508576592</t>
  </si>
  <si>
    <t>6508587827</t>
  </si>
  <si>
    <t>6508587828</t>
  </si>
  <si>
    <t>6701297686</t>
  </si>
  <si>
    <t>1296892</t>
  </si>
  <si>
    <t>PLACA IMPACT 12.5X1200X2400 BR FR</t>
  </si>
  <si>
    <t>6701297712</t>
  </si>
  <si>
    <t>6701298491</t>
  </si>
  <si>
    <t>430503002</t>
  </si>
  <si>
    <t>1167918</t>
  </si>
  <si>
    <t>PLACA  DUROCK 5/8" 1.20 X 2.30</t>
  </si>
  <si>
    <t>6701298553</t>
  </si>
  <si>
    <t>6701298894</t>
  </si>
  <si>
    <t>6701299004</t>
  </si>
  <si>
    <t>6701299009</t>
  </si>
  <si>
    <t>6701299289</t>
  </si>
  <si>
    <t>6701299593</t>
  </si>
  <si>
    <t>6701299800</t>
  </si>
  <si>
    <t>6701301883</t>
  </si>
  <si>
    <t>6701301958</t>
  </si>
  <si>
    <t>6701301966</t>
  </si>
  <si>
    <t>940908</t>
  </si>
  <si>
    <t>VE PL SAFEBOARD 12.5MM GFK 0625X2500MM</t>
  </si>
  <si>
    <t>1495303</t>
  </si>
  <si>
    <t>PASTA SAFEBOARD 5 KG KNAUF</t>
  </si>
  <si>
    <t>6701302073</t>
  </si>
  <si>
    <t>6701303493</t>
  </si>
  <si>
    <t>6701303905</t>
  </si>
  <si>
    <t>6701264255</t>
  </si>
  <si>
    <t>PLANCHA YESO CARTON RF 12.5X1200X2400MM</t>
  </si>
  <si>
    <t>6701294029</t>
  </si>
  <si>
    <t>6701294683</t>
  </si>
  <si>
    <t>6701291574</t>
  </si>
  <si>
    <t>6701293316</t>
  </si>
  <si>
    <t>1441554</t>
  </si>
  <si>
    <t>MORTERO AQUAPANEL 25 KG</t>
  </si>
  <si>
    <t>1441555</t>
  </si>
  <si>
    <t>CINTA DE JUNTAS AQUAPANEL</t>
  </si>
  <si>
    <t>1441556</t>
  </si>
  <si>
    <t>MALLA SUPERFICIAL AQUAPANEL</t>
  </si>
  <si>
    <t>6701293953</t>
  </si>
  <si>
    <t>6508556487</t>
  </si>
  <si>
    <t>6508559291</t>
  </si>
  <si>
    <t>6508567003</t>
  </si>
  <si>
    <t>6508567004</t>
  </si>
  <si>
    <t>6701289897</t>
  </si>
  <si>
    <t>6508556485</t>
  </si>
  <si>
    <t>6701283185</t>
  </si>
  <si>
    <t>1284414</t>
  </si>
  <si>
    <t>PL POLYPLACK STBR 30MM 120X240 BR P20D15</t>
  </si>
  <si>
    <t>6701309508</t>
  </si>
  <si>
    <t>6701286815</t>
  </si>
  <si>
    <t>270</t>
  </si>
  <si>
    <t>280</t>
  </si>
  <si>
    <t>1385169</t>
  </si>
  <si>
    <t>LANA VID LIB 140MM 1.2X6M 7.2 M2 ARG</t>
  </si>
  <si>
    <t>PLANCHA YESO CARTON ST 15MM 1.2X2.4M</t>
  </si>
  <si>
    <t>250</t>
  </si>
  <si>
    <t>260</t>
  </si>
  <si>
    <t>6508605785</t>
  </si>
  <si>
    <t>6508605786</t>
  </si>
  <si>
    <t>6508605787</t>
  </si>
  <si>
    <t>6701304473</t>
  </si>
  <si>
    <t>1413995</t>
  </si>
  <si>
    <t>TAPA INSPECCION KNAUF 60X60 SNAP LOCK</t>
  </si>
  <si>
    <t>6701308383</t>
  </si>
  <si>
    <t>6508616419</t>
  </si>
  <si>
    <t>6508616420</t>
  </si>
  <si>
    <t>6508626828</t>
  </si>
  <si>
    <t>6508626829</t>
  </si>
  <si>
    <t>6701312607</t>
  </si>
  <si>
    <t>6701312795</t>
  </si>
  <si>
    <t>6701313703</t>
  </si>
  <si>
    <t>6701316512</t>
  </si>
  <si>
    <t>6701330568</t>
  </si>
  <si>
    <t>E744</t>
  </si>
  <si>
    <t>6701337975</t>
  </si>
  <si>
    <t>6701337979</t>
  </si>
  <si>
    <t>6701340320</t>
  </si>
  <si>
    <t>6701340321</t>
  </si>
  <si>
    <t>6701340831</t>
  </si>
  <si>
    <t>6701341497</t>
  </si>
  <si>
    <t>6701311593</t>
  </si>
  <si>
    <t>1197751</t>
  </si>
  <si>
    <t>GYPLAC 12.5X1.2X2.4 WATHER DEFENSE</t>
  </si>
  <si>
    <t>6701308558</t>
  </si>
  <si>
    <t>6701308733</t>
  </si>
  <si>
    <t>6508644335</t>
  </si>
  <si>
    <t>6508646020</t>
  </si>
  <si>
    <t>6701347557</t>
  </si>
  <si>
    <t>6701347659</t>
  </si>
  <si>
    <t>6701347673</t>
  </si>
  <si>
    <t>6701347814</t>
  </si>
  <si>
    <t>6701348074</t>
  </si>
  <si>
    <t>6701343856</t>
  </si>
  <si>
    <t>6508633968</t>
  </si>
  <si>
    <t>6508633969</t>
  </si>
  <si>
    <t>6701295648</t>
  </si>
  <si>
    <t>6701272169</t>
  </si>
  <si>
    <t>1487572</t>
  </si>
  <si>
    <t>LANA VIDRI ROLLO LIBRE HR 100MMX0.60X18M</t>
  </si>
  <si>
    <t>6701303917</t>
  </si>
  <si>
    <t>6701305039</t>
  </si>
  <si>
    <t>6701305044</t>
  </si>
  <si>
    <t>6701303113</t>
  </si>
  <si>
    <t>6701259584</t>
  </si>
  <si>
    <t>1236050</t>
  </si>
  <si>
    <t>PL YESO CARTON ST 15X1200X3000MM KNAUF</t>
  </si>
  <si>
    <t>6701208757</t>
  </si>
  <si>
    <t>6508681716</t>
  </si>
  <si>
    <t>6508681717</t>
  </si>
  <si>
    <t>6508681718</t>
  </si>
  <si>
    <t>6701358566</t>
  </si>
  <si>
    <t>6701358611</t>
  </si>
  <si>
    <t>6701359023</t>
  </si>
  <si>
    <t>6508665154</t>
  </si>
  <si>
    <t>6508665155</t>
  </si>
  <si>
    <t>6508665156</t>
  </si>
  <si>
    <t>6508673856</t>
  </si>
  <si>
    <t>6508673857</t>
  </si>
  <si>
    <t>6701354569</t>
  </si>
  <si>
    <t>6701354782</t>
  </si>
  <si>
    <t>6701356293</t>
  </si>
  <si>
    <t>6701356586</t>
  </si>
  <si>
    <t>6701357165</t>
  </si>
  <si>
    <t>6701357736</t>
  </si>
  <si>
    <t>6701293977</t>
  </si>
  <si>
    <t>6701350876</t>
  </si>
  <si>
    <t>6701348643</t>
  </si>
  <si>
    <t>6508655276</t>
  </si>
  <si>
    <t>6508655277</t>
  </si>
  <si>
    <t>6701343460</t>
  </si>
  <si>
    <t>6701392574</t>
  </si>
  <si>
    <t>6701392684</t>
  </si>
  <si>
    <t>1236051</t>
  </si>
  <si>
    <t>PL YESO CARTON RH 15X1200X3000MM KNAUF</t>
  </si>
  <si>
    <t>6508721525</t>
  </si>
  <si>
    <t>6508721526</t>
  </si>
  <si>
    <t>6508721527</t>
  </si>
  <si>
    <t>1236052</t>
  </si>
  <si>
    <t>PL YESO CARTON RF 15X1200X3000MM KNAUF</t>
  </si>
  <si>
    <t>6701393336</t>
  </si>
  <si>
    <t>6701393890</t>
  </si>
  <si>
    <t>6701359199</t>
  </si>
  <si>
    <t>6508689708</t>
  </si>
  <si>
    <t>6508691569</t>
  </si>
  <si>
    <t>6508691570</t>
  </si>
  <si>
    <t>6508691571</t>
  </si>
  <si>
    <t>6701360432</t>
  </si>
  <si>
    <t>6701364968</t>
  </si>
  <si>
    <t>6701388606</t>
  </si>
  <si>
    <t>1309100</t>
  </si>
  <si>
    <t>PLACA DIAMANT GKFI 15 1200 2400 BR</t>
  </si>
  <si>
    <t>6701388628</t>
  </si>
  <si>
    <t>6701389384</t>
  </si>
  <si>
    <t>6701390146</t>
  </si>
  <si>
    <t>1504555</t>
  </si>
  <si>
    <t>MASILLA READYMAS JUNTAS Y TERM. 20KG</t>
  </si>
  <si>
    <t>6701391095</t>
  </si>
  <si>
    <t>6508701818</t>
  </si>
  <si>
    <t>6508711558</t>
  </si>
  <si>
    <t>6508711559</t>
  </si>
  <si>
    <t>6701381875</t>
  </si>
  <si>
    <t>6701382356</t>
  </si>
  <si>
    <t>6701382483</t>
  </si>
  <si>
    <t>6701384518</t>
  </si>
  <si>
    <t>6701384555</t>
  </si>
  <si>
    <t>6701391360</t>
  </si>
  <si>
    <t>6701357970</t>
  </si>
  <si>
    <t>1301779</t>
  </si>
  <si>
    <t>F47 MAESTRA F 47/17/05 4000</t>
  </si>
  <si>
    <t>1301781</t>
  </si>
  <si>
    <t>F47 ANCLAJE DIRECTO 100 UNID</t>
  </si>
  <si>
    <t>1301782</t>
  </si>
  <si>
    <t>F47 CABALLETE MAESTRA 100 UNID</t>
  </si>
  <si>
    <t>430106004</t>
  </si>
  <si>
    <t>1301780</t>
  </si>
  <si>
    <t>F47 PERFIL U 25/20/05 3000</t>
  </si>
  <si>
    <t>1301783</t>
  </si>
  <si>
    <t>F47 EMPALME PARA MAESTRA F47 .50 UNID</t>
  </si>
  <si>
    <t>6701395563</t>
  </si>
  <si>
    <t>6701395937</t>
  </si>
  <si>
    <t>1504855</t>
  </si>
  <si>
    <t>PLACA DE YESO TORRO 28 599X624 60</t>
  </si>
  <si>
    <t>1236053</t>
  </si>
  <si>
    <t>PL YESO CARTON ST 10X1200X3000MM KNAUF</t>
  </si>
  <si>
    <t>6701351925</t>
  </si>
  <si>
    <t>6701342003</t>
  </si>
  <si>
    <t>1230794</t>
  </si>
  <si>
    <t>PL YESO CARTON ST BR 15X1200X2400MM KNAU</t>
  </si>
  <si>
    <t>6508729332</t>
  </si>
  <si>
    <t>6508733619</t>
  </si>
  <si>
    <t>6508733620</t>
  </si>
  <si>
    <t>6508733621</t>
  </si>
  <si>
    <t>6701351673</t>
  </si>
  <si>
    <t>1427783</t>
  </si>
  <si>
    <t>PL KNAUF IMPACT RH ST 12.5 MM 1200X2400</t>
  </si>
  <si>
    <t>1485103</t>
  </si>
  <si>
    <t>AQUAPANEL JOINT FILLER SKIM WHITE 15KL</t>
  </si>
  <si>
    <t>6701196056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</si>
  <si>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</si>
  <si>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</si>
  <si>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</si>
  <si>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</si>
  <si>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</si>
  <si>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</si>
  <si>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</si>
  <si>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</si>
  <si>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</si>
  <si>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</si>
  <si>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</si>
  <si>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</si>
  <si>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</si>
  <si>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</si>
  <si>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</si>
  <si>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</si>
  <si>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39</t>
  </si>
  <si>
    <t>56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</si>
  <si>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</si>
  <si>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</si>
  <si>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</si>
  <si>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</si>
  <si>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</si>
  <si>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</si>
  <si>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</si>
  <si>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</si>
  <si>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</si>
  <si>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</si>
  <si>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</si>
  <si>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</si>
  <si>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</si>
  <si>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</si>
  <si>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</si>
  <si>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</si>
  <si>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 xml:space="preserve">KNAUF CHILE SPA                    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</si>
  <si>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</si>
  <si>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</si>
  <si>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</si>
  <si>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</si>
  <si>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</si>
  <si>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</si>
  <si>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</si>
  <si>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</si>
  <si>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</si>
  <si>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</si>
  <si>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</si>
  <si>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</si>
  <si>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</si>
  <si>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</si>
  <si>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</si>
  <si>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</si>
  <si>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</si>
  <si>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</si>
  <si>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</si>
  <si>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</si>
  <si>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</si>
  <si>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</si>
  <si>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</si>
  <si>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</si>
  <si>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</si>
  <si>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</si>
  <si>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</si>
  <si>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</si>
  <si>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</si>
  <si>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</si>
  <si>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</si>
  <si>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</si>
  <si>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</si>
  <si>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</si>
  <si>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</si>
  <si>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</si>
  <si>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</si>
  <si>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</si>
  <si>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</si>
  <si>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</si>
  <si>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</si>
  <si>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</si>
  <si>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</si>
  <si>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</si>
  <si>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</si>
  <si>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</si>
  <si>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</si>
  <si>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</si>
  <si>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</si>
  <si>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</si>
  <si>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</si>
  <si>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</si>
  <si>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</si>
  <si>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</si>
  <si>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</si>
  <si>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</si>
  <si>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</si>
  <si>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</si>
  <si>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</si>
  <si>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</si>
  <si>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</si>
  <si>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</si>
  <si>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</si>
  <si>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</si>
  <si>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</si>
  <si>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</si>
  <si>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</si>
  <si>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</si>
  <si>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</si>
  <si>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</si>
  <si>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</si>
  <si>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13Publicidad</t>
  </si>
  <si>
    <t>13Logistica</t>
  </si>
  <si>
    <t>13Centralizada</t>
  </si>
  <si>
    <t>13Escala Crecimiento</t>
  </si>
  <si>
    <t>13Escala Fija</t>
  </si>
  <si>
    <t>13Devoluciones</t>
  </si>
  <si>
    <t>13Otros</t>
  </si>
  <si>
    <t>13Aportes Manuales</t>
  </si>
  <si>
    <t>39Publicidad</t>
  </si>
  <si>
    <t>39Logistica</t>
  </si>
  <si>
    <t>39Centralizada</t>
  </si>
  <si>
    <t>39Escala Crecimiento</t>
  </si>
  <si>
    <t>39Escala Fija</t>
  </si>
  <si>
    <t>39Devoluciones</t>
  </si>
  <si>
    <t>39Otros</t>
  </si>
  <si>
    <t>39Aportes Manuales</t>
  </si>
  <si>
    <t>43Publicidad</t>
  </si>
  <si>
    <t>43Logistica</t>
  </si>
  <si>
    <t>43Centralizada</t>
  </si>
  <si>
    <t>43Escala Crecimiento</t>
  </si>
  <si>
    <t>43Escala Fija</t>
  </si>
  <si>
    <t>43Devoluciones</t>
  </si>
  <si>
    <t>43Otros</t>
  </si>
  <si>
    <t>43Aportes Manuales</t>
  </si>
  <si>
    <t>56Publicidad</t>
  </si>
  <si>
    <t>56Logistica</t>
  </si>
  <si>
    <t>56Centralizada</t>
  </si>
  <si>
    <t>56Escala Crecimiento</t>
  </si>
  <si>
    <t>56Escala Fija</t>
  </si>
  <si>
    <t>56Devoluciones</t>
  </si>
  <si>
    <t>56Otros</t>
  </si>
  <si>
    <t>56Aportes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</si>
  <si>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</si>
  <si>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</si>
  <si>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</si>
  <si>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</si>
  <si>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</si>
  <si>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</si>
  <si>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</si>
  <si>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</si>
  <si>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</si>
  <si>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</si>
  <si>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</si>
  <si>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</si>
  <si>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</si>
  <si>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</si>
  <si>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</si>
  <si>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</si>
  <si>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</si>
  <si>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</si>
  <si>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</si>
  <si>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</si>
  <si>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5972357081</t>
  </si>
  <si>
    <t>86000050</t>
  </si>
  <si>
    <t>KC</t>
  </si>
  <si>
    <t>CEE5120443</t>
  </si>
  <si>
    <t>4112340</t>
  </si>
  <si>
    <t>Bonificación Fi</t>
  </si>
  <si>
    <t>K</t>
  </si>
  <si>
    <t>REBATE RETAIL DIC 2024</t>
  </si>
  <si>
    <t>0000000000006312</t>
  </si>
  <si>
    <t>CEE5210443</t>
  </si>
  <si>
    <t>CEE8430443</t>
  </si>
  <si>
    <t>CEE9880443</t>
  </si>
  <si>
    <t>4110110</t>
  </si>
  <si>
    <t>Ingreso por pub</t>
  </si>
  <si>
    <t>REBATE MAYORISTA DIC 2024</t>
  </si>
  <si>
    <t>CEE6520443</t>
  </si>
  <si>
    <t>CEE5070443</t>
  </si>
  <si>
    <t>CEE5080443</t>
  </si>
  <si>
    <t>CEE6590443</t>
  </si>
  <si>
    <t>CEE5140443</t>
  </si>
  <si>
    <t>5983774985</t>
  </si>
  <si>
    <t>3909195174</t>
  </si>
  <si>
    <t>FS</t>
  </si>
  <si>
    <t>CEL5990443</t>
  </si>
  <si>
    <t>4112402</t>
  </si>
  <si>
    <t>Descuentos por</t>
  </si>
  <si>
    <t>D</t>
  </si>
  <si>
    <t>4000155886</t>
  </si>
  <si>
    <t>34388963</t>
  </si>
  <si>
    <t>5988401896</t>
  </si>
  <si>
    <t>86000118</t>
  </si>
  <si>
    <t>REBATE RETAIL ENERO 2025</t>
  </si>
  <si>
    <t>6377</t>
  </si>
  <si>
    <t>REBATE MAYORISTA ENERO 2025</t>
  </si>
  <si>
    <t>6001007072</t>
  </si>
  <si>
    <t>3909401986</t>
  </si>
  <si>
    <t>NI</t>
  </si>
  <si>
    <t>CEE5020443</t>
  </si>
  <si>
    <t>4114120</t>
  </si>
  <si>
    <t>Multas por Incu</t>
  </si>
  <si>
    <t>12987680</t>
  </si>
  <si>
    <t>CEE5030443</t>
  </si>
  <si>
    <t>CEE5040443</t>
  </si>
  <si>
    <t>CEE5060443</t>
  </si>
  <si>
    <t>CEE5100443</t>
  </si>
  <si>
    <t>CEE5110443</t>
  </si>
  <si>
    <t>CEE5130443</t>
  </si>
  <si>
    <t>CEE5170443</t>
  </si>
  <si>
    <t>CEE5180443</t>
  </si>
  <si>
    <t>CEE5200443</t>
  </si>
  <si>
    <t>CEE5220443</t>
  </si>
  <si>
    <t>CEE5240443</t>
  </si>
  <si>
    <t>CEE5250443</t>
  </si>
  <si>
    <t>CEE5290443</t>
  </si>
  <si>
    <t>CEE5340443</t>
  </si>
  <si>
    <t>CEE5850443</t>
  </si>
  <si>
    <t>CEE5910443</t>
  </si>
  <si>
    <t>CEE5920443</t>
  </si>
  <si>
    <t>CEE6140443</t>
  </si>
  <si>
    <t>CEE6190443</t>
  </si>
  <si>
    <t>CEE6330443</t>
  </si>
  <si>
    <t>CEE6430443</t>
  </si>
  <si>
    <t>CEE6460443</t>
  </si>
  <si>
    <t>CEE6550443</t>
  </si>
  <si>
    <t>CEE7480443</t>
  </si>
  <si>
    <t>CEE7600443</t>
  </si>
  <si>
    <t>CEE7750443</t>
  </si>
  <si>
    <t>CEE7810443</t>
  </si>
  <si>
    <t>CEE8740443</t>
  </si>
  <si>
    <t>CEE9000443</t>
  </si>
  <si>
    <t>CEE9830443</t>
  </si>
  <si>
    <t>CEE9900443</t>
  </si>
  <si>
    <t>6001027719</t>
  </si>
  <si>
    <t>3909403100</t>
  </si>
  <si>
    <t>34597271</t>
  </si>
  <si>
    <t>6023102234</t>
  </si>
  <si>
    <t>9501332784</t>
  </si>
  <si>
    <t>CE00000013050702</t>
  </si>
  <si>
    <t>6032394017</t>
  </si>
  <si>
    <t>86000460</t>
  </si>
  <si>
    <t>ACUERDOS ABRIL 2025</t>
  </si>
  <si>
    <t>0000000000006515</t>
  </si>
  <si>
    <t>6048850824</t>
  </si>
  <si>
    <t>3910006436</t>
  </si>
  <si>
    <t>34994996</t>
  </si>
  <si>
    <t>6050852351</t>
  </si>
  <si>
    <t>86000652</t>
  </si>
  <si>
    <t>ACUERDOS MAYO  2025</t>
  </si>
  <si>
    <t>0000000000006585</t>
  </si>
  <si>
    <t>REDONDEO</t>
  </si>
  <si>
    <t>6050852355</t>
  </si>
  <si>
    <t>86000653</t>
  </si>
  <si>
    <t>0000000000006586</t>
  </si>
  <si>
    <t>6068878751</t>
  </si>
  <si>
    <t>86000940</t>
  </si>
  <si>
    <t>REBATE RETAIL MAYO 2025</t>
  </si>
  <si>
    <t>0000000000006670</t>
  </si>
  <si>
    <t>Rebate Mayorista mayo 2025</t>
  </si>
  <si>
    <t>6070541977</t>
  </si>
  <si>
    <t>3910377968</t>
  </si>
  <si>
    <t>35590777</t>
  </si>
  <si>
    <t>6078191810</t>
  </si>
  <si>
    <t>86000962</t>
  </si>
  <si>
    <t>Solicitado  Hernandez Henriquez, Lorena</t>
  </si>
  <si>
    <t>0000000000005747</t>
  </si>
  <si>
    <t>6080429379</t>
  </si>
  <si>
    <t>9501418674</t>
  </si>
  <si>
    <t>4110020</t>
  </si>
  <si>
    <t>Desc.Obt.p/Volu</t>
  </si>
  <si>
    <t>CE00000013050910</t>
  </si>
  <si>
    <t>6089244218</t>
  </si>
  <si>
    <t>86001048</t>
  </si>
  <si>
    <t>REBATE RETAIL JUNIO</t>
  </si>
  <si>
    <t>0000000000006704</t>
  </si>
  <si>
    <t>REBATE MAYORISTA JUNIO</t>
  </si>
  <si>
    <t>CEE8790439</t>
  </si>
  <si>
    <t>4110031</t>
  </si>
  <si>
    <t>Ingreso comerci</t>
  </si>
  <si>
    <t>S</t>
  </si>
  <si>
    <t>Ingreso por publicid</t>
  </si>
  <si>
    <t>6130342364</t>
  </si>
  <si>
    <t>86001281</t>
  </si>
  <si>
    <t>Rebate julio mayorista</t>
  </si>
  <si>
    <t>6788</t>
  </si>
  <si>
    <t>Bonificaci? Fi</t>
  </si>
  <si>
    <t>REBATE RETAIL JULIO</t>
  </si>
  <si>
    <t>CEL5990439</t>
  </si>
  <si>
    <t>4110100</t>
  </si>
  <si>
    <t>Descuentos Publ</t>
  </si>
  <si>
    <t>6130342369</t>
  </si>
  <si>
    <t>86001283</t>
  </si>
  <si>
    <t>BONI FIJA AGOSTO RETAIL</t>
  </si>
  <si>
    <t>6842</t>
  </si>
  <si>
    <t>BONI FIJA AGOSTO MAYORISTA</t>
  </si>
  <si>
    <t>6144792171</t>
  </si>
  <si>
    <t>3911389257</t>
  </si>
  <si>
    <t>36525537</t>
  </si>
  <si>
    <t>6150284352</t>
  </si>
  <si>
    <t>86001333</t>
  </si>
  <si>
    <t>CEL5990456</t>
  </si>
  <si>
    <t>0000000000006904</t>
  </si>
  <si>
    <t>Boni fija septiembre retail</t>
  </si>
  <si>
    <t>Boni fija septiembre mayorista</t>
  </si>
  <si>
    <t>6167150032</t>
  </si>
  <si>
    <t>3911644021</t>
  </si>
  <si>
    <t>36736758</t>
  </si>
  <si>
    <t>6170421600</t>
  </si>
  <si>
    <t>86001446</t>
  </si>
  <si>
    <t>Bonificación fija octubre retail</t>
  </si>
  <si>
    <t>0000000000006965</t>
  </si>
  <si>
    <t>Bonificación fija octubre mayorista</t>
  </si>
  <si>
    <t>CEE7440443</t>
  </si>
  <si>
    <t>CEE8790443</t>
  </si>
  <si>
    <t>6171106258</t>
  </si>
  <si>
    <t>3911679419</t>
  </si>
  <si>
    <t>36738129</t>
  </si>
  <si>
    <t>6194942275</t>
  </si>
  <si>
    <t>3912012375</t>
  </si>
  <si>
    <t>36752657</t>
  </si>
  <si>
    <t>6194816480</t>
  </si>
  <si>
    <t>86001477</t>
  </si>
  <si>
    <t>Rebate Retail nov</t>
  </si>
  <si>
    <t>7031</t>
  </si>
  <si>
    <t>Rebate mayorista nov</t>
  </si>
  <si>
    <t>6204584271</t>
  </si>
  <si>
    <t>3912129575</t>
  </si>
  <si>
    <t>NF</t>
  </si>
  <si>
    <t>13432000</t>
  </si>
  <si>
    <t>6212412239</t>
  </si>
  <si>
    <t>86000131</t>
  </si>
  <si>
    <t>Rebate retail dic 2025</t>
  </si>
  <si>
    <t>7086</t>
  </si>
  <si>
    <t>CEE9880413</t>
  </si>
  <si>
    <t>Rebate mayorista dic 2025</t>
  </si>
  <si>
    <t>6230587704</t>
  </si>
  <si>
    <t>86000451</t>
  </si>
  <si>
    <t>ACUERDOS FEBRERO  2026</t>
  </si>
  <si>
    <t>7144</t>
  </si>
  <si>
    <t>6230564833</t>
  </si>
  <si>
    <t>86000298</t>
  </si>
  <si>
    <t>6230579305</t>
  </si>
  <si>
    <t>259003698</t>
  </si>
  <si>
    <t>ZK</t>
  </si>
  <si>
    <t>Acuerdo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</si>
  <si>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</si>
  <si>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</si>
  <si>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</si>
  <si>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</si>
  <si>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</si>
  <si>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</si>
  <si>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</si>
  <si>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</si>
  <si>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</si>
  <si>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</si>
  <si>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</si>
  <si>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</si>
  <si>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</si>
  <si>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</si>
  <si>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</si>
  <si>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</si>
  <si>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</si>
  <si>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</si>
  <si>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</si>
  <si>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</si>
  <si>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</si>
  <si>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</si>
  <si>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</si>
  <si>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</si>
  <si>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</si>
  <si>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</si>
  <si>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</si>
  <si>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</si>
  <si>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</si>
  <si>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</si>
  <si>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</si>
  <si>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</si>
  <si>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</si>
  <si>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</si>
  <si>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Centralizada</t>
  </si>
  <si>
    <t>Total Escala Crecimiento</t>
  </si>
  <si>
    <t>Total Escala Fija</t>
  </si>
  <si>
    <t>Total Devoluciones</t>
  </si>
  <si>
    <t>Total Otros</t>
  </si>
  <si>
    <t>Etiquetas de fila</t>
  </si>
  <si>
    <t>Suma de Importe Neto Entregado</t>
  </si>
  <si>
    <t>Etiquetas de columna</t>
  </si>
  <si>
    <t xml:space="preserve">Nº doc.   </t>
  </si>
  <si>
    <t>Fe.contab.</t>
  </si>
  <si>
    <t>Nºdoc.ref.</t>
  </si>
  <si>
    <t>Cl.doc</t>
  </si>
  <si>
    <t>Soc.</t>
  </si>
  <si>
    <t xml:space="preserve">Ce.coste  </t>
  </si>
  <si>
    <t>Cl.coste</t>
  </si>
  <si>
    <t xml:space="preserve">Denom.cl.coste      </t>
  </si>
  <si>
    <t xml:space="preserve">Cta.CP    </t>
  </si>
  <si>
    <t xml:space="preserve">DenomCtaCp     </t>
  </si>
  <si>
    <t xml:space="preserve">Denominación                                  </t>
  </si>
  <si>
    <t xml:space="preserve"> Val/MonObj</t>
  </si>
  <si>
    <t xml:space="preserve">Referencia      </t>
  </si>
  <si>
    <t>Oper.ref.</t>
  </si>
  <si>
    <t>ACb</t>
  </si>
  <si>
    <t>Un.org.ref</t>
  </si>
  <si>
    <t xml:space="preserve">KC    </t>
  </si>
  <si>
    <t>Bonificación Fija Ra</t>
  </si>
  <si>
    <t xml:space="preserve">K     </t>
  </si>
  <si>
    <t xml:space="preserve">REBATE RETAIL DIC 2024                        </t>
  </si>
  <si>
    <t xml:space="preserve">BKPF     </t>
  </si>
  <si>
    <t xml:space="preserve">C0042025  </t>
  </si>
  <si>
    <t xml:space="preserve">REBATE MAYORISTA DIC 2024                     </t>
  </si>
  <si>
    <t xml:space="preserve">REBATE RETAIL ENERO 2025                      </t>
  </si>
  <si>
    <t xml:space="preserve">REBATE MAYORISTA ENERO 2025                   </t>
  </si>
  <si>
    <t xml:space="preserve">ACUERDOS ABRIL 2025                           </t>
  </si>
  <si>
    <t xml:space="preserve">ACUERDOS MAYO  2025                           </t>
  </si>
  <si>
    <t xml:space="preserve">REDONDEO                                      </t>
  </si>
  <si>
    <t xml:space="preserve">REBATE RETAIL MAYO 2025                       </t>
  </si>
  <si>
    <t xml:space="preserve">Rebate Mayorista mayo 2025                    </t>
  </si>
  <si>
    <t>Solicitado  Hernandez Henriquez, Lorena Andrea</t>
  </si>
  <si>
    <t xml:space="preserve">REBATE RETAIL JUNIO                           </t>
  </si>
  <si>
    <t xml:space="preserve">REBATE MAYORISTA JUNIO                        </t>
  </si>
  <si>
    <t xml:space="preserve">Rebate julio mayorista                        </t>
  </si>
  <si>
    <t xml:space="preserve">REBATE RETAIL JULIO                           </t>
  </si>
  <si>
    <t>Descuentos Publicida</t>
  </si>
  <si>
    <t xml:space="preserve">BONI FIJA AGOSTO RETAIL                       </t>
  </si>
  <si>
    <t xml:space="preserve">BONI FIJA AGOSTO MAYORISTA                    </t>
  </si>
  <si>
    <t xml:space="preserve">Boni fija septiembre retail                   </t>
  </si>
  <si>
    <t xml:space="preserve">Boni fija septiembre mayorista                </t>
  </si>
  <si>
    <t xml:space="preserve">Bonificación fija octubre retail              </t>
  </si>
  <si>
    <t xml:space="preserve">Bonificación fija octubre mayorista           </t>
  </si>
  <si>
    <t>Ingreso comercial Ec</t>
  </si>
  <si>
    <t xml:space="preserve">Rebate Retail nov                             </t>
  </si>
  <si>
    <t xml:space="preserve">Rebate mayorista nov                          </t>
  </si>
  <si>
    <t xml:space="preserve">Rebate retail dic 2025                        </t>
  </si>
  <si>
    <t xml:space="preserve">C0042026  </t>
  </si>
  <si>
    <t xml:space="preserve">Rebate mayorista dic 2025                     </t>
  </si>
  <si>
    <t xml:space="preserve">ACUERDOS FEBRERO  2026                        </t>
  </si>
  <si>
    <t xml:space="preserve">ZK    </t>
  </si>
  <si>
    <t>DEBIDO 2025 según acuerdo Mayorista (válido desde 01/01/2024, cl. 7 "Pto 15"; cl. 15: rubros 4301-4302-4304-4305-4307, Placas 10% / Lanas 8% / Resto 5%, NC mensual). AG.</t>
  </si>
  <si>
    <t>Placas (rubro 4305: placas, planchas, paneles)</t>
  </si>
  <si>
    <t>Lanas (rubro 4302)</t>
  </si>
  <si>
    <t>Resto (4301, 4304 y 4305 no placa)</t>
  </si>
  <si>
    <t>Servicio flete (430507) – no se toma</t>
  </si>
  <si>
    <t>Tornillos (rubro 1302) – fuera de los rubros del acuerdo</t>
  </si>
  <si>
    <t>DEBIDO Mayorista 2025</t>
  </si>
  <si>
    <t>Va en Presentacion H30:H41 (columna Publicidad), porque Easy registra el rebate Mayorista como "Ingreso por publicidad". El rebate Retail lo registra como "Bonificación Fija" (Escala Fija).</t>
  </si>
  <si>
    <t>Retail (org. 2001, 280 MM): no hay acuerdo Retail en la carpeta. Easy pagó 26.938.596 de rebate Retail 2025 (≈9,6%). No se carga DEBIDO Retail: punto a validar.</t>
  </si>
  <si>
    <t>Las entregas de enero 2026 de OC 2025 (233,7 MM Mayorista) no se toman: las pagó la NC "ACUERDOS FEBRERO 2026" (2026).</t>
  </si>
  <si>
    <t>Logística 2,5%: no hay compras al CD (todo va a Local), base logística 0.</t>
  </si>
  <si>
    <t>Observación AG</t>
  </si>
  <si>
    <t>REBATE RETAIL DIC 2024 (NC 28/01/2025): paga compras de diciembre 2024. Se pasa a 2024/12.</t>
  </si>
  <si>
    <t>REBATE MAYORISTA DIC 2024 (NC 28/01/2025): paga compras de diciembre 2024. Se pasa a 2024/12.</t>
  </si>
  <si>
    <t>"Solicitado Hernandez Henriquez, Lorena" (KC ref. 5747) = "Ok escala garantizada 1" de 2024 (mismo importe 2.885.655). La anula la NI CE00000013050910 del 14/07/2025 (+2.885.655). No paga condiciones 2025: se pasa a Aportes Manuales.</t>
  </si>
  <si>
    <t>Rebate retail dic 2025 (NC 28/01/2026): paga compras de diciembre 2025. Se pasa a 2025/12.</t>
  </si>
  <si>
    <t>Rebate mayorista dic 2025 (NC 28/01/2026): paga compras de diciembre 2025. Se pasa a 2025/12.</t>
  </si>
  <si>
    <t>6515</t>
  </si>
  <si>
    <t>Faltante de KSB1 (no estaba en la web): KC 6032394017 del 30/04/2025, "ACUERDOS ABRIL 2025", rebate Retail 2025. Agregado por AG.</t>
  </si>
  <si>
    <t>6670</t>
  </si>
  <si>
    <t>Faltante de KSB1 (no estaba en la web): KC 6068878751 del 26/06/2025, "REBATE RETAIL MAYO 2025", rebate Retail 2025. Agregado por AG.</t>
  </si>
  <si>
    <t>6704</t>
  </si>
  <si>
    <t>Faltante de KSB1 (no estaba en la web): KC 6089244218 del 28/07/2025, "REBATE RETAIL JUNIO", rebate Retail 2025. Agregado por AG.</t>
  </si>
  <si>
    <t>Faltante de KSB1 (no estaba en la web): KC 6194816480 del 30/12/2025, "Rebate Retail nov", rebate Retail 2025. Agregado por AG.</t>
  </si>
  <si>
    <t>(Todas)</t>
  </si>
  <si>
    <t xml:space="preserve">Org. 2002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</si>
</sst>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1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74" fontId="0" fillId="0" borderId="0" xfId="0" applyNumberFormat="1"/>
    <xf numFmtId="4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9" borderId="0" xfId="0" applyFill="1"/>
    <xf numFmtId="14" fontId="0" fillId="9" borderId="0" xfId="0" applyNumberFormat="1" applyFill="1"/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6" borderId="0" xfId="0" applyFill="1"/>
    <xf numFmtId="0" fontId="0" fillId="0" borderId="0" xfId="0" applyFill="1"/>
    <xf numFmtId="0" fontId="17" fillId="10" borderId="0" xfId="0" applyFont="1" applyFill="1"/>
    <xf numFmtId="0" fontId="6" fillId="11" borderId="0" xfId="0" applyFont="1" applyFill="1" applyAlignment="1">
      <alignment horizontal="left"/>
    </xf>
    <xf numFmtId="179" fontId="1" fillId="0" borderId="0" xfId="14" applyNumberFormat="1"/>
    <xf numFmtId="9" fontId="0" fillId="0" borderId="0" xfId="70" applyFont="1"/>
  </cellXfs>
  <cellStyles count="71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" xfId="70" builtinId="5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368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left" readingOrder="0"/>
    </dxf>
    <dxf>
      <fill>
        <patternFill>
          <bgColor theme="0" tint="-0.1499984740745262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0" tint="-0.34998626667073579"/>
        </patternFill>
      </fill>
    </dxf>
    <dxf>
      <numFmt numFmtId="177" formatCode="#,##0_);\(#,##0\)"/>
    </dxf>
    <dxf>
      <numFmt numFmtId="177" formatCode="#,##0_);\(#,##0\)"/>
    </dxf>
    <dxf>
      <numFmt numFmtId="177" formatCode="#,##0_);\(#,##0\)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367"/>
      <tableStyleElement type="headerRow" dxfId="366"/>
      <tableStyleElement type="totalRow" dxfId="365"/>
      <tableStyleElement type="firstColumn" dxfId="364"/>
      <tableStyleElement type="firstSubtotalColumn" dxfId="363"/>
      <tableStyleElement type="secondSubtotalColumn" dxfId="362"/>
      <tableStyleElement type="thirdSubtotalColumn" dxfId="361"/>
      <tableStyleElement type="firstSubtotalRow" dxfId="360"/>
      <tableStyleElement type="secondSubtotalRow" dxfId="359"/>
      <tableStyleElement type="secondRowSubheading" dxfId="358"/>
    </tableStyle>
    <tableStyle name="ArHi 2" table="0" count="11" xr9:uid="{00000000-0011-0000-FFFF-FFFF01000000}">
      <tableStyleElement type="wholeTable" dxfId="357"/>
      <tableStyleElement type="headerRow" dxfId="356"/>
      <tableStyleElement type="totalRow" dxfId="355"/>
      <tableStyleElement type="firstColumn" dxfId="354"/>
      <tableStyleElement type="firstSubtotalColumn" dxfId="353"/>
      <tableStyleElement type="secondSubtotalColumn" dxfId="352"/>
      <tableStyleElement type="thirdSubtotalColumn" dxfId="351"/>
      <tableStyleElement type="firstSubtotalRow" dxfId="350"/>
      <tableStyleElement type="secondSubtotalRow" dxfId="349"/>
      <tableStyleElement type="thirdSubtotalRow" dxfId="348"/>
      <tableStyleElement type="secondRowSubheading" dxfId="347"/>
    </tableStyle>
    <tableStyle name="customizado01" table="0" count="10" xr9:uid="{00000000-0011-0000-FFFF-FFFF02000000}">
      <tableStyleElement type="wholeTable" dxfId="346"/>
      <tableStyleElement type="headerRow" dxfId="345"/>
      <tableStyleElement type="totalRow" dxfId="344"/>
      <tableStyleElement type="firstColumn" dxfId="343"/>
      <tableStyleElement type="firstSubtotalColumn" dxfId="342"/>
      <tableStyleElement type="secondSubtotalColumn" dxfId="341"/>
      <tableStyleElement type="thirdSubtotalColumn" dxfId="340"/>
      <tableStyleElement type="firstSubtotalRow" dxfId="339"/>
      <tableStyleElement type="secondSubtotalRow" dxfId="338"/>
      <tableStyleElement type="secondRowSubheading" dxfId="3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180975</xdr:colOff>
      <xdr:row>1</xdr:row>
      <xdr:rowOff>209550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733425</xdr:colOff>
      <xdr:row>1</xdr:row>
      <xdr:rowOff>257175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1762125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85725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0.734697569445" createdVersion="8" refreshedVersion="8" minRefreshableVersion="3" recordCount="914" xr:uid="{21774089-B47A-40B7-8BDD-018EF62B042A}">
  <cacheSource type="worksheet">
    <worksheetSource ref="A1:AC915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2"/>
        <s v="2001"/>
      </sharedItems>
    </cacheField>
    <cacheField name="Cmv" numFmtId="14">
      <sharedItems/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10"/>
    </cacheField>
    <cacheField name="Formato" numFmtId="0">
      <sharedItems/>
    </cacheField>
    <cacheField name="Sección" numFmtId="0">
      <sharedItems count="2">
        <s v="43"/>
        <s v="13"/>
      </sharedItems>
    </cacheField>
    <cacheField name="Desc. Sección" numFmtId="0">
      <sharedItems/>
    </cacheField>
    <cacheField name="Surtido División" numFmtId="1">
      <sharedItems count="1">
        <s v=""/>
      </sharedItems>
    </cacheField>
    <cacheField name="SubFamilia" numFmtId="1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minValue="1" maxValue="10185"/>
    </cacheField>
    <cacheField name="Cant. Entregada" numFmtId="37">
      <sharedItems containsSemiMixedTypes="0" containsString="0" containsNumber="1" minValue="0" maxValue="9445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3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10T00:00:00" maxDate="2026-12-12T00:00:00"/>
    </cacheField>
    <cacheField name="Fecha Real Entrega" numFmtId="14">
      <sharedItems containsNonDate="0" containsDate="1" containsString="0" containsBlank="1" minDate="2025-01-07T00:00:00" maxDate="2026-04-16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/>
    </cacheField>
    <cacheField name="Importe Neto Pedido" numFmtId="3">
      <sharedItems containsSemiMixedTypes="0" containsString="0" containsNumber="1" containsInteger="1" minValue="120" maxValue="146308800"/>
    </cacheField>
    <cacheField name="Importe Neto Entregado" numFmtId="3">
      <sharedItems containsSemiMixedTypes="0" containsString="0" containsNumber="1" containsInteger="1" minValue="-726320" maxValue="9438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1.522211921299" createdVersion="5" refreshedVersion="8" minRefreshableVersion="3" recordCount="65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KNAUF CHILE SPA                    "/>
        <m/>
      </sharedItems>
    </cacheField>
    <cacheField name="Sección" numFmtId="0">
      <sharedItems containsBlank="1" count="5">
        <s v="13"/>
        <s v="39"/>
        <s v="43"/>
        <s v="56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0" maxValue="6835884.5999999996"/>
    </cacheField>
    <cacheField name="FEBRERO" numFmtId="0">
      <sharedItems containsString="0" containsBlank="1" containsNumber="1" minValue="-9636530" maxValue="2071336.79"/>
    </cacheField>
    <cacheField name="MARZO" numFmtId="0">
      <sharedItems containsString="0" containsBlank="1" containsNumber="1" minValue="0" maxValue="11981932.75"/>
    </cacheField>
    <cacheField name="ABRIL" numFmtId="0">
      <sharedItems containsString="0" containsBlank="1" containsNumber="1" minValue="-10538970" maxValue="2234688.4000000004"/>
    </cacheField>
    <cacheField name="MAYO" numFmtId="0">
      <sharedItems containsString="0" containsBlank="1" containsNumber="1" minValue="-12234236" maxValue="1552013.4000000001"/>
    </cacheField>
    <cacheField name="JUNIO" numFmtId="0">
      <sharedItems containsString="0" containsBlank="1" containsNumber="1" minValue="-5277009" maxValue="7117062.9100000011"/>
    </cacheField>
    <cacheField name="JULIO" numFmtId="0">
      <sharedItems containsString="0" containsBlank="1" containsNumber="1" minValue="-7165158" maxValue="7385473.71"/>
    </cacheField>
    <cacheField name="AGOSTO" numFmtId="0">
      <sharedItems containsString="0" containsBlank="1" containsNumber="1" minValue="0" maxValue="17269664.09"/>
    </cacheField>
    <cacheField name="SEPTIEMBRE" numFmtId="0">
      <sharedItems containsString="0" containsBlank="1" containsNumber="1" minValue="-30215455" maxValue="11465658.380000001"/>
    </cacheField>
    <cacheField name="OCTUBRE" numFmtId="0">
      <sharedItems containsString="0" containsBlank="1" containsNumber="1" minValue="-19311242" maxValue="11592969.4"/>
    </cacheField>
    <cacheField name="NOVIEMBRE " numFmtId="0">
      <sharedItems containsString="0" containsBlank="1" containsNumber="1" minValue="-6855857" maxValue="12456669.26"/>
    </cacheField>
    <cacheField name="DICIEMBRE" numFmtId="0">
      <sharedItems containsString="0" containsBlank="1" containsNumber="1" minValue="-15171249" maxValue="7780906.2300000004"/>
    </cacheField>
    <cacheField name="Total" numFmtId="0">
      <sharedItems containsString="0" containsBlank="1" containsNumber="1" minValue="-116405706" maxValue="99744259.92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4000006878"/>
    <s v="76201342-8"/>
    <s v="KNAUF CHILE SPA"/>
    <s v="6701148601"/>
    <s v="ZPCD"/>
    <s v="10"/>
    <x v="0"/>
    <s v="101"/>
    <s v="C004"/>
    <s v="E652"/>
    <m/>
    <s v="Local"/>
    <x v="0"/>
    <s v="Construccion"/>
    <x v="0"/>
    <s v="430401007"/>
    <s v="1246707"/>
    <s v="AQUAPANEL MORTERO SUP. BLANCO 25KG"/>
    <n v="80"/>
    <n v="80"/>
    <s v="UN"/>
    <d v="2025-01-08T00:00:00"/>
    <n v="1"/>
    <d v="2025-04-07T00:00:00"/>
    <d v="2025-01-22T00:00:00"/>
    <x v="0"/>
    <n v="2025"/>
    <n v="1271840"/>
    <n v="1271840"/>
  </r>
  <r>
    <s v="4000006878"/>
    <s v="76201342-8"/>
    <s v="KNAUF CHILE SPA"/>
    <s v="6701148601"/>
    <s v="ZPCD"/>
    <s v="20"/>
    <x v="0"/>
    <s v="101"/>
    <s v="C004"/>
    <s v="E652"/>
    <m/>
    <s v="Local"/>
    <x v="0"/>
    <s v="Construccion"/>
    <x v="0"/>
    <s v="430503001"/>
    <s v="1246706"/>
    <s v="AQUAPANEL CINTA EXT. 0.10X50"/>
    <n v="10"/>
    <n v="10"/>
    <s v="UN"/>
    <d v="2025-01-08T00:00:00"/>
    <n v="1"/>
    <d v="2025-04-07T00:00:00"/>
    <d v="2025-01-22T00:00:00"/>
    <x v="0"/>
    <n v="2025"/>
    <n v="137160"/>
    <n v="137160"/>
  </r>
  <r>
    <s v="4000006878"/>
    <s v="76201342-8"/>
    <s v="KNAUF CHILE SPA"/>
    <s v="6701148601"/>
    <s v="ZPCD"/>
    <s v="30"/>
    <x v="0"/>
    <s v="101"/>
    <s v="C004"/>
    <s v="E652"/>
    <m/>
    <s v="Local"/>
    <x v="0"/>
    <s v="Construccion"/>
    <x v="0"/>
    <s v="430201001"/>
    <s v="1246708"/>
    <s v="AQUAPANEL MALLA SUP. OUT /IND 1X50"/>
    <n v="7"/>
    <n v="7"/>
    <s v="UN"/>
    <d v="2025-01-08T00:00:00"/>
    <n v="1"/>
    <d v="2025-04-07T00:00:00"/>
    <d v="2025-01-22T00:00:00"/>
    <x v="0"/>
    <n v="2025"/>
    <n v="508424"/>
    <n v="508424"/>
  </r>
  <r>
    <s v="4000006878"/>
    <s v="76201342-8"/>
    <s v="KNAUF CHILE SPA"/>
    <s v="6701148601"/>
    <s v="ZPCD"/>
    <s v="40"/>
    <x v="0"/>
    <s v="101"/>
    <s v="C004"/>
    <s v="E652"/>
    <m/>
    <s v="Local"/>
    <x v="0"/>
    <s v="Construccion"/>
    <x v="0"/>
    <s v="430503006"/>
    <s v="1441557"/>
    <s v="PLACA AQUAPANEL RESIDENCIAL 8 1200X2400"/>
    <n v="40"/>
    <n v="40"/>
    <s v="UN"/>
    <d v="2025-01-08T00:00:00"/>
    <n v="1"/>
    <d v="2025-04-07T00:00:00"/>
    <d v="2025-01-22T00:00:00"/>
    <x v="0"/>
    <n v="2025"/>
    <n v="764920"/>
    <n v="764920"/>
  </r>
  <r>
    <s v="4000006878"/>
    <s v="76201342-8"/>
    <s v="KNAUF CHILE SPA"/>
    <s v="6701148601"/>
    <s v="ZPCD"/>
    <s v="50"/>
    <x v="0"/>
    <s v="101"/>
    <s v="C004"/>
    <s v="E652"/>
    <m/>
    <s v="Local"/>
    <x v="0"/>
    <s v="Construccion"/>
    <x v="0"/>
    <s v="430503004"/>
    <s v="1230790"/>
    <s v="MASILLA BASE KNAUF 20KG"/>
    <n v="7"/>
    <n v="7"/>
    <s v="UN"/>
    <d v="2025-01-08T00:00:00"/>
    <n v="1"/>
    <d v="2025-04-07T00:00:00"/>
    <d v="2025-01-22T00:00:00"/>
    <x v="0"/>
    <n v="2025"/>
    <n v="53711"/>
    <n v="53711"/>
  </r>
  <r>
    <s v="4000006878"/>
    <s v="76201342-8"/>
    <s v="KNAUF CHILE SPA"/>
    <s v="6701148601"/>
    <s v="ZPCD"/>
    <s v="60"/>
    <x v="0"/>
    <s v="101"/>
    <s v="C004"/>
    <s v="E652"/>
    <m/>
    <s v="Local"/>
    <x v="0"/>
    <s v="Construccion"/>
    <x v="0"/>
    <s v="430102005"/>
    <s v="1315155"/>
    <s v="CINTA MALLA 48 MM X 45 M"/>
    <n v="5"/>
    <n v="5"/>
    <s v="UN"/>
    <d v="2025-01-08T00:00:00"/>
    <n v="1"/>
    <d v="2025-04-07T00:00:00"/>
    <d v="2025-01-22T00:00:00"/>
    <x v="0"/>
    <n v="2025"/>
    <n v="6875"/>
    <n v="6875"/>
  </r>
  <r>
    <s v="4000006878"/>
    <s v="76201342-8"/>
    <s v="KNAUF CHILE SPA"/>
    <s v="6701149317"/>
    <s v="ZPCD"/>
    <s v="10"/>
    <x v="0"/>
    <s v=""/>
    <s v="C004"/>
    <s v="E652"/>
    <m/>
    <s v="Local"/>
    <x v="1"/>
    <s v="Ferreteria"/>
    <x v="0"/>
    <s v="430502003"/>
    <s v="1239232"/>
    <s v="PLACA AQUAPANAL OUTDOOR 12.5 120X240"/>
    <n v="745"/>
    <n v="0"/>
    <s v="UN"/>
    <d v="2025-01-10T00:00:00"/>
    <n v="1"/>
    <d v="2025-01-10T00:00:00"/>
    <m/>
    <x v="0"/>
    <n v="2025"/>
    <n v="7966285"/>
    <n v="0"/>
  </r>
  <r>
    <s v="4000006878"/>
    <s v="76201342-8"/>
    <s v="KNAUF CHILE SPA"/>
    <s v="6701149317"/>
    <s v="ZPCD"/>
    <s v="20"/>
    <x v="0"/>
    <s v=""/>
    <s v="C004"/>
    <s v="E652"/>
    <m/>
    <s v="Local"/>
    <x v="1"/>
    <s v="Ferreteria"/>
    <x v="0"/>
    <s v="430204003"/>
    <s v="1246704"/>
    <s v="AQUAPANEL WATER BARRIER 1.50X50"/>
    <n v="11"/>
    <n v="0"/>
    <s v="UN"/>
    <d v="2025-01-10T00:00:00"/>
    <n v="1"/>
    <d v="2025-01-10T00:00:00"/>
    <m/>
    <x v="0"/>
    <n v="2025"/>
    <n v="1524358"/>
    <n v="0"/>
  </r>
  <r>
    <s v="4000006878"/>
    <s v="76201342-8"/>
    <s v="KNAUF CHILE SPA"/>
    <s v="6701149317"/>
    <s v="ZPCD"/>
    <s v="30"/>
    <x v="0"/>
    <s v=""/>
    <s v="C004"/>
    <s v="E652"/>
    <m/>
    <s v="Local"/>
    <x v="1"/>
    <s v="Ferreteria"/>
    <x v="0"/>
    <s v="430401007"/>
    <s v="1246707"/>
    <s v="AQUAPANEL MORTERO SUP. BLANCO 25KG"/>
    <n v="209"/>
    <n v="0"/>
    <s v="UN"/>
    <d v="2025-01-10T00:00:00"/>
    <n v="1"/>
    <d v="2025-01-10T00:00:00"/>
    <m/>
    <x v="0"/>
    <n v="2025"/>
    <n v="3322682"/>
    <n v="0"/>
  </r>
  <r>
    <s v="4000006878"/>
    <s v="76201342-8"/>
    <s v="KNAUF CHILE SPA"/>
    <s v="6701149317"/>
    <s v="ZPCD"/>
    <s v="40"/>
    <x v="0"/>
    <s v=""/>
    <s v="C004"/>
    <s v="E652"/>
    <m/>
    <s v="Local"/>
    <x v="1"/>
    <s v="Ferreteria"/>
    <x v="0"/>
    <s v="430503001"/>
    <s v="1309477"/>
    <s v="CINTA PARA JUNTAS AQUAPANEL 10CM  50M"/>
    <n v="24"/>
    <n v="0"/>
    <s v="UN"/>
    <d v="2025-01-10T00:00:00"/>
    <n v="1"/>
    <d v="2025-01-10T00:00:00"/>
    <m/>
    <x v="0"/>
    <n v="2025"/>
    <n v="329184"/>
    <n v="0"/>
  </r>
  <r>
    <s v="4000006878"/>
    <s v="76201342-8"/>
    <s v="KNAUF CHILE SPA"/>
    <s v="6701149317"/>
    <s v="ZPCD"/>
    <s v="50"/>
    <x v="0"/>
    <s v=""/>
    <s v="C004"/>
    <s v="E652"/>
    <m/>
    <s v="Local"/>
    <x v="1"/>
    <s v="Ferreteria"/>
    <x v="0"/>
    <s v="430201001"/>
    <s v="1246708"/>
    <s v="AQUAPANEL MALLA SUP. OUT /IND 1X50"/>
    <n v="18"/>
    <n v="0"/>
    <s v="UN"/>
    <d v="2025-01-10T00:00:00"/>
    <n v="1"/>
    <d v="2025-01-10T00:00:00"/>
    <m/>
    <x v="0"/>
    <n v="2025"/>
    <n v="1307376"/>
    <n v="0"/>
  </r>
  <r>
    <s v="4000006878"/>
    <s v="76201342-8"/>
    <s v="KNAUF CHILE SPA"/>
    <s v="6701149317"/>
    <s v="ZPCD"/>
    <s v="60"/>
    <x v="0"/>
    <s v=""/>
    <s v="C004"/>
    <s v="E652"/>
    <m/>
    <s v="Local"/>
    <x v="1"/>
    <s v="Ferreteria"/>
    <x v="0"/>
    <s v="130211005"/>
    <s v="1366504"/>
    <s v="AQUAPANEL TORNILLO MAXI TB 39MM"/>
    <n v="41"/>
    <n v="0"/>
    <s v="UN"/>
    <d v="2025-01-10T00:00:00"/>
    <n v="1"/>
    <d v="2025-01-10T00:00:00"/>
    <m/>
    <x v="0"/>
    <n v="2025"/>
    <n v="733449"/>
    <n v="0"/>
  </r>
  <r>
    <s v="4000006878"/>
    <s v="76201342-8"/>
    <s v="KNAUF CHILE SPA"/>
    <s v="6701149515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1489"/>
    <n v="0"/>
    <s v="UN"/>
    <d v="2025-01-10T00:00:00"/>
    <n v="1"/>
    <d v="2025-01-10T00:00:00"/>
    <m/>
    <x v="0"/>
    <n v="2025"/>
    <n v="15921877"/>
    <n v="0"/>
  </r>
  <r>
    <s v="4000006878"/>
    <s v="76201342-8"/>
    <s v="KNAUF CHILE SPA"/>
    <s v="6701149515"/>
    <s v="ZPCD"/>
    <s v="20"/>
    <x v="0"/>
    <s v=""/>
    <s v="C004"/>
    <s v="E652"/>
    <m/>
    <s v="Local"/>
    <x v="0"/>
    <s v="Construccion"/>
    <x v="0"/>
    <s v="430204003"/>
    <s v="1246704"/>
    <s v="AQUAPANEL WATER BARRIER 1.50X50"/>
    <n v="22"/>
    <n v="0"/>
    <s v="UN"/>
    <d v="2025-01-10T00:00:00"/>
    <n v="1"/>
    <d v="2025-01-10T00:00:00"/>
    <m/>
    <x v="0"/>
    <n v="2025"/>
    <n v="3048716"/>
    <n v="0"/>
  </r>
  <r>
    <s v="4000006878"/>
    <s v="76201342-8"/>
    <s v="KNAUF CHILE SPA"/>
    <s v="6701149515"/>
    <s v="ZPCD"/>
    <s v="30"/>
    <x v="0"/>
    <s v=""/>
    <s v="C004"/>
    <s v="E652"/>
    <m/>
    <s v="Local"/>
    <x v="0"/>
    <s v="Construccion"/>
    <x v="0"/>
    <s v="430401007"/>
    <s v="1246707"/>
    <s v="AQUAPANEL MORTERO SUP. BLANCO 25KG"/>
    <n v="417"/>
    <n v="0"/>
    <s v="UN"/>
    <d v="2025-01-10T00:00:00"/>
    <n v="1"/>
    <d v="2025-01-10T00:00:00"/>
    <m/>
    <x v="0"/>
    <n v="2025"/>
    <n v="6629466"/>
    <n v="0"/>
  </r>
  <r>
    <s v="4000006878"/>
    <s v="76201342-8"/>
    <s v="KNAUF CHILE SPA"/>
    <s v="6701149515"/>
    <s v="ZPCD"/>
    <s v="40"/>
    <x v="0"/>
    <s v=""/>
    <s v="C004"/>
    <s v="E652"/>
    <m/>
    <s v="Local"/>
    <x v="0"/>
    <s v="Construccion"/>
    <x v="0"/>
    <s v="430503001"/>
    <s v="1309477"/>
    <s v="CINTA PARA JUNTAS AQUAPANEL 10CM  50M"/>
    <n v="49"/>
    <n v="0"/>
    <s v="UN"/>
    <d v="2025-01-10T00:00:00"/>
    <n v="1"/>
    <d v="2025-01-10T00:00:00"/>
    <m/>
    <x v="0"/>
    <n v="2025"/>
    <n v="672084"/>
    <n v="0"/>
  </r>
  <r>
    <s v="4000006878"/>
    <s v="76201342-8"/>
    <s v="KNAUF CHILE SPA"/>
    <s v="6701149515"/>
    <s v="ZPCD"/>
    <s v="50"/>
    <x v="0"/>
    <s v=""/>
    <s v="C004"/>
    <s v="E652"/>
    <m/>
    <s v="Local"/>
    <x v="0"/>
    <s v="Construccion"/>
    <x v="0"/>
    <s v="430201001"/>
    <s v="1246708"/>
    <s v="AQUAPANEL MALLA SUP. OUT /IND 1X50"/>
    <n v="35"/>
    <n v="0"/>
    <s v="UN"/>
    <d v="2025-01-10T00:00:00"/>
    <n v="1"/>
    <d v="2025-01-10T00:00:00"/>
    <m/>
    <x v="0"/>
    <n v="2025"/>
    <n v="2542120"/>
    <n v="0"/>
  </r>
  <r>
    <s v="4000006878"/>
    <s v="76201342-8"/>
    <s v="KNAUF CHILE SPA"/>
    <s v="6701149515"/>
    <s v="ZPCD"/>
    <s v="60"/>
    <x v="0"/>
    <s v=""/>
    <s v="C004"/>
    <s v="E652"/>
    <m/>
    <s v="Local"/>
    <x v="0"/>
    <s v="Construccion"/>
    <x v="0"/>
    <s v="130211005"/>
    <s v="1366504"/>
    <s v="AQUAPANEL TORNILLO MAXI TB 39MM"/>
    <n v="82"/>
    <n v="0"/>
    <s v="UN"/>
    <d v="2025-01-10T00:00:00"/>
    <n v="1"/>
    <d v="2025-01-10T00:00:00"/>
    <m/>
    <x v="0"/>
    <n v="2025"/>
    <n v="1466898"/>
    <n v="0"/>
  </r>
  <r>
    <s v="4000006878"/>
    <s v="76201342-8"/>
    <s v="KNAUF CHILE SPA"/>
    <s v="6701149515"/>
    <s v="ZPCD"/>
    <s v="70"/>
    <x v="0"/>
    <s v=""/>
    <s v="C004"/>
    <s v="E652"/>
    <m/>
    <s v="Local"/>
    <x v="0"/>
    <s v="Construccion"/>
    <x v="0"/>
    <s v="430507002"/>
    <s v="938731"/>
    <s v="SERVICIO FLETE"/>
    <n v="2"/>
    <n v="0"/>
    <s v="UN"/>
    <d v="2025-01-10T00:00:00"/>
    <n v="1"/>
    <d v="2025-01-10T00:00:00"/>
    <m/>
    <x v="0"/>
    <n v="2025"/>
    <n v="264000"/>
    <n v="0"/>
  </r>
  <r>
    <s v="4000006878"/>
    <s v="76201342-8"/>
    <s v="KNAUF CHILE SPA"/>
    <s v="6701150050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200"/>
    <n v="0"/>
    <s v="UN"/>
    <d v="2025-01-13T00:00:00"/>
    <n v="1"/>
    <d v="2025-01-14T00:00:00"/>
    <m/>
    <x v="0"/>
    <n v="2025"/>
    <n v="6483400"/>
    <n v="0"/>
  </r>
  <r>
    <s v="4000006878"/>
    <s v="76201342-8"/>
    <s v="KNAUF CHILE SPA"/>
    <s v="6701150050"/>
    <s v="ZPCD"/>
    <s v="20"/>
    <x v="0"/>
    <s v=""/>
    <s v="C004"/>
    <s v="E652"/>
    <m/>
    <s v="Local"/>
    <x v="0"/>
    <s v="Construccion"/>
    <x v="0"/>
    <s v="430507002"/>
    <s v="938731"/>
    <s v="SERVICIO FLETE"/>
    <n v="200"/>
    <n v="0"/>
    <s v="UN"/>
    <d v="2025-01-13T00:00:00"/>
    <n v="1"/>
    <d v="2025-01-14T00:00:00"/>
    <m/>
    <x v="0"/>
    <n v="2025"/>
    <n v="24000"/>
    <n v="0"/>
  </r>
  <r>
    <s v="4000006878"/>
    <s v="76201342-8"/>
    <s v="KNAUF CHILE SPA"/>
    <s v="6701150184"/>
    <s v="ZPCD"/>
    <s v="10"/>
    <x v="0"/>
    <s v=""/>
    <s v="C004"/>
    <s v="E522"/>
    <m/>
    <s v="Local"/>
    <x v="0"/>
    <s v="Construccion"/>
    <x v="0"/>
    <s v="430507002"/>
    <s v="1459339"/>
    <s v="PANELES HERADESIGN SF ALPHA AK01 NATURAL"/>
    <n v="205"/>
    <n v="0"/>
    <s v="UN"/>
    <d v="2025-01-13T00:00:00"/>
    <n v="1"/>
    <d v="2025-01-14T00:00:00"/>
    <m/>
    <x v="0"/>
    <n v="2025"/>
    <n v="7972040"/>
    <n v="0"/>
  </r>
  <r>
    <s v="4000006878"/>
    <s v="76201342-8"/>
    <s v="KNAUF CHILE SPA"/>
    <s v="6701150184"/>
    <s v="ZPCD"/>
    <s v="20"/>
    <x v="0"/>
    <s v=""/>
    <s v="C004"/>
    <s v="E522"/>
    <m/>
    <s v="Local"/>
    <x v="0"/>
    <s v="Construccion"/>
    <x v="0"/>
    <s v="430507002"/>
    <s v="1459340"/>
    <s v="TORNILLO HERADESIGN SCREW"/>
    <n v="2050"/>
    <n v="0"/>
    <s v="UN"/>
    <d v="2025-01-13T00:00:00"/>
    <n v="1"/>
    <d v="2025-01-14T00:00:00"/>
    <m/>
    <x v="0"/>
    <n v="2025"/>
    <n v="619100"/>
    <n v="0"/>
  </r>
  <r>
    <s v="4000006878"/>
    <s v="76201342-8"/>
    <s v="KNAUF CHILE SPA"/>
    <s v="6701150578"/>
    <s v="ZPCD"/>
    <s v="10"/>
    <x v="0"/>
    <s v=""/>
    <s v="C004"/>
    <s v="E512"/>
    <m/>
    <s v="Local"/>
    <x v="0"/>
    <s v="Construccion"/>
    <x v="0"/>
    <s v="430502003"/>
    <s v="1232499"/>
    <s v="PLACA CLEANEO PLUS 8/15/20 12.5MM 1200X2"/>
    <n v="213"/>
    <n v="0"/>
    <s v="M2"/>
    <d v="2025-01-13T00:00:00"/>
    <n v="1"/>
    <d v="2025-01-17T00:00:00"/>
    <m/>
    <x v="0"/>
    <n v="2025"/>
    <n v="10586100"/>
    <n v="0"/>
  </r>
  <r>
    <s v="4000006878"/>
    <s v="76201342-8"/>
    <s v="KNAUF CHILE SPA"/>
    <s v="6701150578"/>
    <s v="ZPCD"/>
    <s v="20"/>
    <x v="0"/>
    <s v=""/>
    <s v="C004"/>
    <s v="E512"/>
    <m/>
    <s v="Local"/>
    <x v="0"/>
    <s v="Construccion"/>
    <x v="0"/>
    <s v="430507002"/>
    <s v="938731"/>
    <s v="SERVICIO FLETE"/>
    <n v="213"/>
    <n v="0"/>
    <s v="UN"/>
    <d v="2025-01-13T00:00:00"/>
    <n v="1"/>
    <d v="2025-01-17T00:00:00"/>
    <m/>
    <x v="0"/>
    <n v="2025"/>
    <n v="57936"/>
    <n v="0"/>
  </r>
  <r>
    <s v="4000006878"/>
    <s v="76201342-8"/>
    <s v="KNAUF CHILE SPA"/>
    <s v="6508205157"/>
    <s v="ZPMC"/>
    <s v="1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1-03T00:00:00"/>
    <n v="1"/>
    <d v="2025-01-15T00:00:00"/>
    <d v="2025-01-07T00:00:00"/>
    <x v="0"/>
    <n v="2025"/>
    <n v="1406000"/>
    <n v="1406000"/>
  </r>
  <r>
    <s v="4000006878"/>
    <s v="76201342-8"/>
    <s v="KNAUF CHILE SPA"/>
    <s v="6508205158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6"/>
    <n v="6"/>
    <s v="PAL"/>
    <d v="2025-01-03T00:00:00"/>
    <n v="1"/>
    <d v="2025-01-15T00:00:00"/>
    <d v="2025-01-14T00:00:00"/>
    <x v="0"/>
    <n v="2025"/>
    <n v="2107980"/>
    <n v="2107980"/>
  </r>
  <r>
    <s v="4000006878"/>
    <s v="76201342-8"/>
    <s v="KNAUF CHILE SPA"/>
    <s v="6508217356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2"/>
    <n v="2"/>
    <s v="PAL"/>
    <d v="2025-01-10T00:00:00"/>
    <n v="1"/>
    <d v="2025-01-22T00:00:00"/>
    <d v="2025-01-22T00:00:00"/>
    <x v="0"/>
    <n v="2025"/>
    <n v="702660"/>
    <n v="702660"/>
  </r>
  <r>
    <s v="4000006878"/>
    <s v="76201342-8"/>
    <s v="KNAUF CHILE SPA"/>
    <s v="6508217356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2"/>
    <n v="2"/>
    <s v="PAL"/>
    <d v="2025-01-10T00:00:00"/>
    <n v="1"/>
    <d v="2025-01-22T00:00:00"/>
    <d v="2025-01-22T00:00:00"/>
    <x v="0"/>
    <n v="2025"/>
    <n v="703000"/>
    <n v="703000"/>
  </r>
  <r>
    <s v="4000006878"/>
    <s v="76201342-8"/>
    <s v="KNAUF CHILE SPA"/>
    <s v="6701151252"/>
    <s v="ZPCD"/>
    <s v="50"/>
    <x v="0"/>
    <s v="101"/>
    <s v="C004"/>
    <s v="E512"/>
    <m/>
    <s v="Local"/>
    <x v="0"/>
    <s v="Construccion"/>
    <x v="0"/>
    <s v="430503006"/>
    <s v="1232497"/>
    <s v="PL YESO CARTON RF 15X1200X2400MM KNAUF"/>
    <n v="86"/>
    <n v="86"/>
    <s v="UN"/>
    <d v="2025-01-14T00:00:00"/>
    <n v="1"/>
    <d v="2025-01-17T00:00:00"/>
    <d v="2025-01-22T00:00:00"/>
    <x v="0"/>
    <n v="2025"/>
    <n v="539478"/>
    <n v="539478"/>
  </r>
  <r>
    <s v="4000006878"/>
    <s v="76201342-8"/>
    <s v="KNAUF CHILE SPA"/>
    <s v="6701151252"/>
    <s v="ZPCD"/>
    <s v="60"/>
    <x v="0"/>
    <s v="101"/>
    <s v="C004"/>
    <s v="E512"/>
    <m/>
    <s v="Local"/>
    <x v="0"/>
    <s v="Construccion"/>
    <x v="0"/>
    <s v="430503006"/>
    <s v="1232378"/>
    <s v="PL YESO CARTON ST BR 10X1200X2400 MM KNA"/>
    <n v="34"/>
    <n v="34"/>
    <s v="UN"/>
    <d v="2025-01-14T00:00:00"/>
    <n v="1"/>
    <d v="2025-01-17T00:00:00"/>
    <d v="2025-01-22T00:00:00"/>
    <x v="0"/>
    <n v="2025"/>
    <n v="138856"/>
    <n v="138856"/>
  </r>
  <r>
    <s v="4000006878"/>
    <s v="76201342-8"/>
    <s v="KNAUF CHILE SPA"/>
    <s v="6701151252"/>
    <s v="ZPCD"/>
    <s v="70"/>
    <x v="0"/>
    <s v="101"/>
    <s v="C004"/>
    <s v="E512"/>
    <m/>
    <s v="Local"/>
    <x v="0"/>
    <s v="Construccion"/>
    <x v="0"/>
    <s v="430507002"/>
    <s v="938731"/>
    <s v="SERVICIO FLETE"/>
    <n v="1"/>
    <n v="1"/>
    <s v="UN"/>
    <d v="2025-01-14T00:00:00"/>
    <n v="1"/>
    <d v="2025-01-17T00:00:00"/>
    <d v="2025-01-22T00:00:00"/>
    <x v="0"/>
    <n v="2025"/>
    <n v="137000"/>
    <n v="137000"/>
  </r>
  <r>
    <s v="4000006878"/>
    <s v="76201342-8"/>
    <s v="KNAUF CHILE SPA"/>
    <s v="6701151472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517"/>
    <n v="517"/>
    <s v="UN"/>
    <d v="2025-01-15T00:00:00"/>
    <n v="1"/>
    <d v="2025-01-17T00:00:00"/>
    <d v="2025-01-22T00:00:00"/>
    <x v="0"/>
    <n v="2025"/>
    <n v="15921015"/>
    <n v="15921015"/>
  </r>
  <r>
    <s v="4000006878"/>
    <s v="76201342-8"/>
    <s v="KNAUF CHILE SPA"/>
    <s v="6701151472"/>
    <s v="ZPCD"/>
    <s v="60"/>
    <x v="0"/>
    <s v="101"/>
    <s v="C004"/>
    <s v="E652"/>
    <m/>
    <s v="Local"/>
    <x v="0"/>
    <s v="Construccion"/>
    <x v="0"/>
    <s v="130211005"/>
    <s v="1366504"/>
    <s v="AQUAPANEL TORNILLO MAXI TB 39MM"/>
    <n v="82"/>
    <n v="0"/>
    <s v="UN"/>
    <d v="2025-01-15T00:00:00"/>
    <n v="1"/>
    <d v="2025-01-17T00:00:00"/>
    <m/>
    <x v="0"/>
    <n v="2025"/>
    <n v="1466898"/>
    <n v="0"/>
  </r>
  <r>
    <s v="4000006878"/>
    <s v="76201342-8"/>
    <s v="KNAUF CHILE SPA"/>
    <s v="6701151472"/>
    <s v="ZPCD"/>
    <s v="70"/>
    <x v="0"/>
    <s v="101"/>
    <s v="C004"/>
    <s v="E652"/>
    <m/>
    <s v="Local"/>
    <x v="0"/>
    <s v="Construccion"/>
    <x v="0"/>
    <s v="430507002"/>
    <s v="938731"/>
    <s v="SERVICIO FLETE"/>
    <n v="2"/>
    <n v="2"/>
    <s v="UN"/>
    <d v="2025-01-15T00:00:00"/>
    <n v="1"/>
    <d v="2025-01-17T00:00:00"/>
    <d v="2025-01-22T00:00:00"/>
    <x v="0"/>
    <n v="2025"/>
    <n v="264000"/>
    <n v="264000"/>
  </r>
  <r>
    <s v="4000006878"/>
    <s v="76201342-8"/>
    <s v="KNAUF CHILE SPA"/>
    <s v="6701150751"/>
    <s v="ZPCD"/>
    <s v="20"/>
    <x v="0"/>
    <s v="101"/>
    <s v="C004"/>
    <s v="E512"/>
    <m/>
    <s v="Local"/>
    <x v="0"/>
    <s v="Construccion"/>
    <x v="0"/>
    <s v="430507002"/>
    <s v="938731"/>
    <s v="SERVICIO FLETE"/>
    <n v="1"/>
    <n v="0"/>
    <s v="UN"/>
    <d v="2025-01-14T00:00:00"/>
    <n v="1"/>
    <d v="2025-01-17T00:00:00"/>
    <m/>
    <x v="0"/>
    <n v="2025"/>
    <n v="58000"/>
    <n v="0"/>
  </r>
  <r>
    <s v="4000006878"/>
    <s v="76201342-8"/>
    <s v="KNAUF CHILE SPA"/>
    <s v="6701150857"/>
    <s v="ZPCD"/>
    <s v="10"/>
    <x v="0"/>
    <s v="101"/>
    <s v="C004"/>
    <s v="E652"/>
    <m/>
    <s v="Local"/>
    <x v="0"/>
    <s v="Construccion"/>
    <x v="0"/>
    <s v="430506002"/>
    <s v="1192671"/>
    <s v="YESO PROYECTADO 25KG"/>
    <n v="1400"/>
    <n v="180"/>
    <s v="UN"/>
    <d v="2025-01-14T00:00:00"/>
    <n v="1"/>
    <d v="2025-06-30T00:00:00"/>
    <d v="2025-01-23T00:00:00"/>
    <x v="0"/>
    <n v="2025"/>
    <n v="8330000"/>
    <n v="1071000"/>
  </r>
  <r>
    <s v="4000006878"/>
    <s v="76201342-8"/>
    <s v="KNAUF CHILE SPA"/>
    <s v="6701151146"/>
    <s v="ZPCD"/>
    <s v="10"/>
    <x v="0"/>
    <s v="101"/>
    <s v="C004"/>
    <s v="E508"/>
    <m/>
    <s v="Local"/>
    <x v="0"/>
    <s v="Construccion"/>
    <x v="0"/>
    <s v="430503006"/>
    <s v="1232497"/>
    <s v="PL YESO CARTON RF 15X1200X2400MM KNAUF"/>
    <n v="550"/>
    <n v="550"/>
    <s v="UN"/>
    <d v="2025-01-14T00:00:00"/>
    <n v="1"/>
    <d v="2025-02-07T00:00:00"/>
    <d v="2025-01-20T00:00:00"/>
    <x v="0"/>
    <n v="2025"/>
    <n v="3622850"/>
    <n v="3622850"/>
  </r>
  <r>
    <s v="4000006878"/>
    <s v="76201342-8"/>
    <s v="KNAUF CHILE SPA"/>
    <s v="6701151252"/>
    <s v="ZPCD"/>
    <s v="10"/>
    <x v="0"/>
    <s v="101"/>
    <s v="C004"/>
    <s v="E512"/>
    <m/>
    <s v="Local"/>
    <x v="0"/>
    <s v="Construccion"/>
    <x v="0"/>
    <s v="430203001"/>
    <s v="1236055"/>
    <s v="ROLLO LIBRE HR 50MM 1200X12000MM KNAUF"/>
    <n v="31"/>
    <n v="31"/>
    <s v="UN"/>
    <d v="2025-01-14T00:00:00"/>
    <n v="1"/>
    <d v="2025-01-17T00:00:00"/>
    <d v="2025-01-22T00:00:00"/>
    <x v="0"/>
    <n v="2025"/>
    <n v="735661"/>
    <n v="735661"/>
  </r>
  <r>
    <s v="4000006878"/>
    <s v="76201342-8"/>
    <s v="KNAUF CHILE SPA"/>
    <s v="6701151252"/>
    <s v="ZPCD"/>
    <s v="30"/>
    <x v="0"/>
    <s v="101"/>
    <s v="C004"/>
    <s v="E512"/>
    <m/>
    <s v="Local"/>
    <x v="0"/>
    <s v="Construccion"/>
    <x v="0"/>
    <s v="430503006"/>
    <s v="237217"/>
    <s v="PL YESO CARTON RH 12.5X1200X2400 MM"/>
    <n v="33"/>
    <n v="33"/>
    <s v="UN"/>
    <d v="2025-01-14T00:00:00"/>
    <n v="1"/>
    <d v="2025-01-17T00:00:00"/>
    <d v="2025-01-22T00:00:00"/>
    <x v="0"/>
    <n v="2025"/>
    <n v="269049"/>
    <n v="269049"/>
  </r>
  <r>
    <s v="4000006878"/>
    <s v="76201342-8"/>
    <s v="KNAUF CHILE SPA"/>
    <s v="6508229493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1-17T00:00:00"/>
    <n v="1"/>
    <d v="2025-01-29T00:00:00"/>
    <d v="2025-01-28T00:00:00"/>
    <x v="0"/>
    <n v="2025"/>
    <n v="1405320"/>
    <n v="1405320"/>
  </r>
  <r>
    <s v="4000006878"/>
    <s v="76201342-8"/>
    <s v="KNAUF CHILE SPA"/>
    <s v="6508229494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2"/>
    <n v="2"/>
    <s v="PAL"/>
    <d v="2025-01-17T00:00:00"/>
    <n v="1"/>
    <d v="2025-01-29T00:00:00"/>
    <d v="2025-01-22T00:00:00"/>
    <x v="0"/>
    <n v="2025"/>
    <n v="702660"/>
    <n v="702660"/>
  </r>
  <r>
    <s v="4000006878"/>
    <s v="76201342-8"/>
    <s v="KNAUF CHILE SPA"/>
    <s v="6508229494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3"/>
    <n v="3"/>
    <s v="PAL"/>
    <d v="2025-01-17T00:00:00"/>
    <n v="1"/>
    <d v="2025-01-29T00:00:00"/>
    <d v="2025-01-22T00:00:00"/>
    <x v="0"/>
    <n v="2025"/>
    <n v="1054500"/>
    <n v="1054500"/>
  </r>
  <r>
    <s v="4000006878"/>
    <s v="76201342-8"/>
    <s v="KNAUF CHILE SPA"/>
    <s v="6508229570"/>
    <s v="ZPMC"/>
    <s v="10"/>
    <x v="1"/>
    <s v="101"/>
    <s v="C004"/>
    <s v="E521"/>
    <m/>
    <s v="Local"/>
    <x v="0"/>
    <s v="Construccion"/>
    <x v="0"/>
    <s v="430503006"/>
    <s v="1232377"/>
    <s v="PL YESO CARTON RH 12.5X1200X2400 MM KNAU"/>
    <n v="4"/>
    <n v="4"/>
    <s v="PAL"/>
    <d v="2025-01-17T00:00:00"/>
    <n v="1"/>
    <d v="2025-01-29T00:00:00"/>
    <d v="2025-01-28T00:00:00"/>
    <x v="0"/>
    <n v="2025"/>
    <n v="2929920"/>
    <n v="2929920"/>
  </r>
  <r>
    <s v="4000006878"/>
    <s v="76201342-8"/>
    <s v="KNAUF CHILE SPA"/>
    <s v="6508229570"/>
    <s v="ZPMC"/>
    <s v="20"/>
    <x v="1"/>
    <s v="101"/>
    <s v="C004"/>
    <s v="E521"/>
    <m/>
    <s v="Local"/>
    <x v="0"/>
    <s v="Construccion"/>
    <x v="0"/>
    <s v="430503006"/>
    <s v="1232375"/>
    <s v="PL YESO CARTON ST BR 8X1200X2400 MM KNAU"/>
    <n v="2"/>
    <n v="2"/>
    <s v="PAL"/>
    <d v="2025-01-17T00:00:00"/>
    <n v="1"/>
    <d v="2025-01-29T00:00:00"/>
    <d v="2025-01-28T00:00:00"/>
    <x v="0"/>
    <n v="2025"/>
    <n v="837440"/>
    <n v="837440"/>
  </r>
  <r>
    <s v="4000006878"/>
    <s v="76201342-8"/>
    <s v="KNAUF CHILE SPA"/>
    <s v="6508229570"/>
    <s v="ZPMC"/>
    <s v="30"/>
    <x v="1"/>
    <s v="101"/>
    <s v="C004"/>
    <s v="E521"/>
    <m/>
    <s v="Local"/>
    <x v="0"/>
    <s v="Construccion"/>
    <x v="0"/>
    <s v="430503006"/>
    <s v="1232378"/>
    <s v="PL YESO CARTON ST BR 10X1200X2400 MM KNA"/>
    <n v="2"/>
    <n v="2"/>
    <s v="PAL"/>
    <d v="2025-01-17T00:00:00"/>
    <n v="1"/>
    <d v="2025-01-29T00:00:00"/>
    <d v="2025-01-28T00:00:00"/>
    <x v="0"/>
    <n v="2025"/>
    <n v="702660"/>
    <n v="702660"/>
  </r>
  <r>
    <s v="4000006878"/>
    <s v="76201342-8"/>
    <s v="KNAUF CHILE SPA"/>
    <s v="6701152353"/>
    <s v="ZPCD"/>
    <s v="10"/>
    <x v="0"/>
    <s v="101"/>
    <s v="C004"/>
    <s v="E517"/>
    <m/>
    <s v="Local"/>
    <x v="0"/>
    <s v="Construccion"/>
    <x v="0"/>
    <s v="430503006"/>
    <s v="1246703"/>
    <s v="AQUAPANEL PL OUTDOOR 12.5MM 1.20X2.4"/>
    <n v="15"/>
    <n v="15"/>
    <s v="UN"/>
    <d v="2025-01-17T00:00:00"/>
    <n v="1"/>
    <d v="2025-01-17T00:00:00"/>
    <d v="2025-01-23T00:00:00"/>
    <x v="0"/>
    <n v="2025"/>
    <n v="461940"/>
    <n v="461940"/>
  </r>
  <r>
    <s v="4000006878"/>
    <s v="76201342-8"/>
    <s v="KNAUF CHILE SPA"/>
    <s v="6701152353"/>
    <s v="ZPCD"/>
    <s v="20"/>
    <x v="0"/>
    <s v="101"/>
    <s v="C004"/>
    <s v="E517"/>
    <m/>
    <s v="Local"/>
    <x v="0"/>
    <s v="Construccion"/>
    <x v="0"/>
    <s v="430503006"/>
    <s v="1268837"/>
    <s v="PLACA SILENTBOARD FR 12.5 EN 625X2000"/>
    <n v="5"/>
    <n v="5"/>
    <s v="UN"/>
    <d v="2025-01-17T00:00:00"/>
    <n v="1"/>
    <d v="2025-01-17T00:00:00"/>
    <d v="2025-01-23T00:00:00"/>
    <x v="0"/>
    <n v="2025"/>
    <n v="172225"/>
    <n v="172225"/>
  </r>
  <r>
    <s v="4000006878"/>
    <s v="76201342-8"/>
    <s v="KNAUF CHILE SPA"/>
    <s v="6701152423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200"/>
    <n v="200"/>
    <s v="UN"/>
    <d v="2025-01-17T00:00:00"/>
    <n v="1"/>
    <d v="2025-01-17T00:00:00"/>
    <d v="2025-01-22T00:00:00"/>
    <x v="0"/>
    <n v="2025"/>
    <n v="6483400"/>
    <n v="6483400"/>
  </r>
  <r>
    <s v="4000006878"/>
    <s v="76201342-8"/>
    <s v="KNAUF CHILE SPA"/>
    <s v="6701152423"/>
    <s v="ZPCD"/>
    <s v="20"/>
    <x v="0"/>
    <s v="101"/>
    <s v="C004"/>
    <s v="E652"/>
    <m/>
    <s v="Local"/>
    <x v="0"/>
    <s v="Construccion"/>
    <x v="0"/>
    <s v="430507002"/>
    <s v="938731"/>
    <s v="SERVICIO FLETE"/>
    <n v="200"/>
    <n v="200"/>
    <s v="UN"/>
    <d v="2025-01-17T00:00:00"/>
    <n v="1"/>
    <d v="2025-01-17T00:00:00"/>
    <d v="2025-01-22T00:00:00"/>
    <x v="0"/>
    <n v="2025"/>
    <n v="69000"/>
    <n v="69000"/>
  </r>
  <r>
    <s v="4000006878"/>
    <s v="76201342-8"/>
    <s v="KNAUF CHILE SPA"/>
    <s v="6701152763"/>
    <s v="ZPCD"/>
    <s v="10"/>
    <x v="0"/>
    <s v=""/>
    <s v="C004"/>
    <s v="E504"/>
    <m/>
    <s v="Local"/>
    <x v="0"/>
    <s v="Construccion"/>
    <x v="0"/>
    <s v="430502003"/>
    <s v="1239232"/>
    <s v="PLACA AQUAPANAL OUTDOOR 12.5 120X240"/>
    <n v="90"/>
    <n v="0"/>
    <s v="UN"/>
    <d v="2025-01-22T00:00:00"/>
    <n v="1"/>
    <d v="2025-01-22T00:00:00"/>
    <m/>
    <x v="0"/>
    <n v="2025"/>
    <n v="911700"/>
    <n v="0"/>
  </r>
  <r>
    <s v="4000006878"/>
    <s v="76201342-8"/>
    <s v="KNAUF CHILE SPA"/>
    <s v="6701152763"/>
    <s v="ZPCD"/>
    <s v="20"/>
    <x v="0"/>
    <s v=""/>
    <s v="C004"/>
    <s v="E504"/>
    <m/>
    <s v="Local"/>
    <x v="0"/>
    <s v="Construccion"/>
    <x v="0"/>
    <s v="430204003"/>
    <s v="1246704"/>
    <s v="AQUAPANEL WATER BARRIER 1.50X50"/>
    <n v="5"/>
    <n v="0"/>
    <s v="UN"/>
    <d v="2025-01-22T00:00:00"/>
    <n v="1"/>
    <d v="2025-01-22T00:00:00"/>
    <m/>
    <x v="0"/>
    <n v="2025"/>
    <n v="692890"/>
    <n v="0"/>
  </r>
  <r>
    <s v="4000006878"/>
    <s v="76201342-8"/>
    <s v="KNAUF CHILE SPA"/>
    <s v="6701152763"/>
    <s v="ZPCD"/>
    <s v="30"/>
    <x v="0"/>
    <s v=""/>
    <s v="C004"/>
    <s v="E504"/>
    <m/>
    <s v="Local"/>
    <x v="0"/>
    <s v="Construccion"/>
    <x v="0"/>
    <s v="430201001"/>
    <s v="1246708"/>
    <s v="AQUAPANEL MALLA SUP. OUT /IND 1X50"/>
    <n v="2"/>
    <n v="0"/>
    <s v="UN"/>
    <d v="2025-01-22T00:00:00"/>
    <n v="1"/>
    <d v="2025-01-22T00:00:00"/>
    <m/>
    <x v="0"/>
    <n v="2025"/>
    <n v="145264"/>
    <n v="0"/>
  </r>
  <r>
    <s v="4000006878"/>
    <s v="76201342-8"/>
    <s v="KNAUF CHILE SPA"/>
    <s v="6701152763"/>
    <s v="ZPCD"/>
    <s v="40"/>
    <x v="0"/>
    <s v=""/>
    <s v="C004"/>
    <s v="E504"/>
    <m/>
    <s v="Local"/>
    <x v="0"/>
    <s v="Construccion"/>
    <x v="0"/>
    <s v="430401006"/>
    <s v="1309478"/>
    <s v="MORTERO SUPERFICIE BLANCO AQUAPANEL 25KG"/>
    <n v="10"/>
    <n v="0"/>
    <s v="UN"/>
    <d v="2025-01-22T00:00:00"/>
    <n v="1"/>
    <d v="2025-01-22T00:00:00"/>
    <m/>
    <x v="0"/>
    <n v="2025"/>
    <n v="158980"/>
    <n v="0"/>
  </r>
  <r>
    <s v="4000006878"/>
    <s v="76201342-8"/>
    <s v="KNAUF CHILE SPA"/>
    <s v="6701154208"/>
    <s v="ZPCD"/>
    <s v="10"/>
    <x v="0"/>
    <s v=""/>
    <s v="C004"/>
    <s v="E652"/>
    <m/>
    <s v="Local"/>
    <x v="0"/>
    <s v="Construccion"/>
    <x v="0"/>
    <s v="430503006"/>
    <s v="1268837"/>
    <s v="PLACA SILENTBOARD FR 12.5 EN 625X2000"/>
    <n v="351"/>
    <n v="0"/>
    <s v="UN"/>
    <d v="2025-01-20T00:00:00"/>
    <n v="1"/>
    <d v="2025-01-21T00:00:00"/>
    <m/>
    <x v="0"/>
    <n v="2025"/>
    <n v="12234456"/>
    <n v="0"/>
  </r>
  <r>
    <s v="4000006878"/>
    <s v="76201342-8"/>
    <s v="KNAUF CHILE SPA"/>
    <s v="6701154208"/>
    <s v="ZPCD"/>
    <s v="20"/>
    <x v="0"/>
    <s v=""/>
    <s v="C004"/>
    <s v="E652"/>
    <m/>
    <s v="Local"/>
    <x v="0"/>
    <s v="Construccion"/>
    <x v="0"/>
    <s v="430506002"/>
    <s v="1413158"/>
    <s v="MASILLA JOINTFILLER 20 KG"/>
    <n v="56"/>
    <n v="0"/>
    <s v="UN"/>
    <d v="2025-01-20T00:00:00"/>
    <n v="1"/>
    <d v="2025-01-21T00:00:00"/>
    <m/>
    <x v="0"/>
    <n v="2025"/>
    <n v="429688"/>
    <n v="0"/>
  </r>
  <r>
    <s v="4000006878"/>
    <s v="76201342-8"/>
    <s v="KNAUF CHILE SPA"/>
    <s v="6701154208"/>
    <s v="ZPCD"/>
    <s v="30"/>
    <x v="0"/>
    <s v=""/>
    <s v="C004"/>
    <s v="E652"/>
    <m/>
    <s v="Local"/>
    <x v="0"/>
    <s v="Construccion"/>
    <x v="0"/>
    <s v="430102005"/>
    <s v="1315155"/>
    <s v="CINTA MALLA 48 MM X 45 M"/>
    <n v="25"/>
    <n v="0"/>
    <s v="UN"/>
    <d v="2025-01-20T00:00:00"/>
    <n v="1"/>
    <d v="2025-01-21T00:00:00"/>
    <m/>
    <x v="0"/>
    <n v="2025"/>
    <n v="36200"/>
    <n v="0"/>
  </r>
  <r>
    <s v="4000006878"/>
    <s v="76201342-8"/>
    <s v="KNAUF CHILE SPA"/>
    <s v="6701154208"/>
    <s v="ZPCD"/>
    <s v="40"/>
    <x v="0"/>
    <s v=""/>
    <s v="C004"/>
    <s v="E652"/>
    <m/>
    <s v="Local"/>
    <x v="0"/>
    <s v="Construccion"/>
    <x v="0"/>
    <s v="430507002"/>
    <s v="938731"/>
    <s v="SERVICIO FLETE"/>
    <n v="7020"/>
    <n v="0"/>
    <s v="UN"/>
    <d v="2025-01-20T00:00:00"/>
    <n v="1"/>
    <d v="2025-01-21T00:00:00"/>
    <m/>
    <x v="0"/>
    <n v="2025"/>
    <n v="56160"/>
    <n v="0"/>
  </r>
  <r>
    <s v="4000006878"/>
    <s v="76201342-8"/>
    <s v="KNAUF CHILE SPA"/>
    <s v="6701154628"/>
    <s v="ZPCD"/>
    <s v="10"/>
    <x v="0"/>
    <s v=""/>
    <s v="C004"/>
    <s v="E522"/>
    <m/>
    <s v="Local"/>
    <x v="0"/>
    <s v="Construccion"/>
    <x v="0"/>
    <s v="430507002"/>
    <s v="1459339"/>
    <s v="PANELES HERADESIGN SF ALPHA AK01 NATURAL"/>
    <n v="205"/>
    <n v="0"/>
    <s v="UN"/>
    <d v="2025-01-22T00:00:00"/>
    <n v="1"/>
    <d v="2025-01-23T00:00:00"/>
    <m/>
    <x v="0"/>
    <n v="2025"/>
    <n v="7972040"/>
    <n v="0"/>
  </r>
  <r>
    <s v="4000006878"/>
    <s v="76201342-8"/>
    <s v="KNAUF CHILE SPA"/>
    <s v="6701154628"/>
    <s v="ZPCD"/>
    <s v="20"/>
    <x v="0"/>
    <s v=""/>
    <s v="C004"/>
    <s v="E522"/>
    <m/>
    <s v="Local"/>
    <x v="0"/>
    <s v="Construccion"/>
    <x v="0"/>
    <s v="430507002"/>
    <s v="1459340"/>
    <s v="TORNILLO HERADESIGN SCREW"/>
    <n v="2200"/>
    <n v="0"/>
    <s v="UN"/>
    <d v="2025-01-22T00:00:00"/>
    <n v="1"/>
    <d v="2025-01-23T00:00:00"/>
    <m/>
    <x v="0"/>
    <n v="2025"/>
    <n v="664400"/>
    <n v="0"/>
  </r>
  <r>
    <s v="4000006878"/>
    <s v="76201342-8"/>
    <s v="KNAUF CHILE SPA"/>
    <s v="6701154628"/>
    <s v="ZPCD"/>
    <s v="30"/>
    <x v="0"/>
    <s v=""/>
    <s v="C004"/>
    <s v="E522"/>
    <m/>
    <s v="Local"/>
    <x v="0"/>
    <s v="Construccion"/>
    <x v="0"/>
    <s v="430507002"/>
    <s v="938731"/>
    <s v="SERVICIO FLETE"/>
    <n v="1"/>
    <n v="0"/>
    <s v="UN"/>
    <d v="2025-01-22T00:00:00"/>
    <n v="1"/>
    <d v="2025-01-23T00:00:00"/>
    <m/>
    <x v="0"/>
    <n v="2025"/>
    <n v="58000"/>
    <n v="0"/>
  </r>
  <r>
    <s v="4000006878"/>
    <s v="76201342-8"/>
    <s v="KNAUF CHILE SPA"/>
    <s v="6701155185"/>
    <s v="ZPCD"/>
    <s v="10"/>
    <x v="0"/>
    <s v="101"/>
    <s v="C004"/>
    <s v="E652"/>
    <m/>
    <s v="Local"/>
    <x v="0"/>
    <s v="Construccion"/>
    <x v="0"/>
    <s v="430503006"/>
    <s v="1268837"/>
    <s v="PLACA SILENTBOARD FR 12.5 EN 625X2000"/>
    <n v="351"/>
    <n v="312"/>
    <s v="UN"/>
    <d v="2025-01-24T00:00:00"/>
    <n v="1"/>
    <d v="2025-01-24T00:00:00"/>
    <d v="2025-01-31T00:00:00"/>
    <x v="0"/>
    <n v="2025"/>
    <n v="12234456"/>
    <n v="10875072"/>
  </r>
  <r>
    <s v="4000006878"/>
    <s v="76201342-8"/>
    <s v="KNAUF CHILE SPA"/>
    <s v="6701155185"/>
    <s v="ZPCD"/>
    <s v="20"/>
    <x v="0"/>
    <s v="101"/>
    <s v="C004"/>
    <s v="E652"/>
    <m/>
    <s v="Local"/>
    <x v="0"/>
    <s v="Construccion"/>
    <x v="0"/>
    <s v="430506002"/>
    <s v="1413158"/>
    <s v="MASILLA JOINTFILLER 20 KG"/>
    <n v="56"/>
    <n v="0"/>
    <s v="UN"/>
    <d v="2025-01-24T00:00:00"/>
    <n v="1"/>
    <d v="2025-01-24T00:00:00"/>
    <m/>
    <x v="0"/>
    <n v="2025"/>
    <n v="429688"/>
    <n v="0"/>
  </r>
  <r>
    <s v="4000006878"/>
    <s v="76201342-8"/>
    <s v="KNAUF CHILE SPA"/>
    <s v="6701155185"/>
    <s v="ZPCD"/>
    <s v="30"/>
    <x v="0"/>
    <s v="101"/>
    <s v="C004"/>
    <s v="E652"/>
    <m/>
    <s v="Local"/>
    <x v="0"/>
    <s v="Construccion"/>
    <x v="0"/>
    <s v="430102005"/>
    <s v="1315155"/>
    <s v="CINTA MALLA 48 MM X 45 M"/>
    <n v="25"/>
    <n v="0"/>
    <s v="UN"/>
    <d v="2025-01-24T00:00:00"/>
    <n v="1"/>
    <d v="2025-01-24T00:00:00"/>
    <m/>
    <x v="0"/>
    <n v="2025"/>
    <n v="36200"/>
    <n v="0"/>
  </r>
  <r>
    <s v="4000006878"/>
    <s v="76201342-8"/>
    <s v="KNAUF CHILE SPA"/>
    <s v="6701157234"/>
    <s v="ZPCD"/>
    <s v="10"/>
    <x v="0"/>
    <s v="101"/>
    <s v="C004"/>
    <s v="E507"/>
    <m/>
    <s v="Local"/>
    <x v="0"/>
    <s v="Construccion"/>
    <x v="0"/>
    <s v="430503006"/>
    <s v="1370572"/>
    <s v="CENEFA MULTIFORM ST 15MM"/>
    <n v="1080"/>
    <n v="1080"/>
    <s v="M"/>
    <d v="2025-01-28T00:00:00"/>
    <n v="1"/>
    <d v="2025-01-28T00:00:00"/>
    <d v="2025-01-31T00:00:00"/>
    <x v="0"/>
    <n v="2025"/>
    <n v="26844480"/>
    <n v="26844480"/>
  </r>
  <r>
    <s v="4000006878"/>
    <s v="76201342-8"/>
    <s v="KNAUF CHILE SPA"/>
    <s v="6701157774"/>
    <s v="ZPCD"/>
    <s v="10"/>
    <x v="0"/>
    <s v="101"/>
    <s v="C004"/>
    <s v="E507"/>
    <m/>
    <s v="Local"/>
    <x v="0"/>
    <s v="Construccion"/>
    <x v="0"/>
    <s v="430506002"/>
    <s v="1192671"/>
    <s v="YESO PROYECTADO 25KG"/>
    <n v="1000"/>
    <n v="1000"/>
    <s v="UN"/>
    <d v="2025-01-29T00:00:00"/>
    <n v="1"/>
    <d v="2025-01-30T00:00:00"/>
    <d v="2025-02-13T00:00:00"/>
    <x v="1"/>
    <n v="2025"/>
    <n v="5956000"/>
    <n v="5956000"/>
  </r>
  <r>
    <s v="4000006878"/>
    <s v="76201342-8"/>
    <s v="KNAUF CHILE SPA"/>
    <s v="6701157774"/>
    <s v="ZPCD"/>
    <s v="20"/>
    <x v="0"/>
    <s v="101"/>
    <s v="C004"/>
    <s v="E507"/>
    <m/>
    <s v="Local"/>
    <x v="0"/>
    <s v="Construccion"/>
    <x v="0"/>
    <s v="430406006"/>
    <s v="1249500"/>
    <s v="PUENTE ADHERENTE YESO BETOKONTAKT 20KG"/>
    <n v="40"/>
    <n v="40"/>
    <s v="UN"/>
    <d v="2025-01-29T00:00:00"/>
    <n v="1"/>
    <d v="2025-01-30T00:00:00"/>
    <d v="2025-02-13T00:00:00"/>
    <x v="1"/>
    <n v="2025"/>
    <n v="1842200"/>
    <n v="1842200"/>
  </r>
  <r>
    <s v="4000006878"/>
    <s v="76201342-8"/>
    <s v="KNAUF CHILE SPA"/>
    <s v="6701157774"/>
    <s v="ZPCD"/>
    <s v="3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1-29T00:00:00"/>
    <n v="1"/>
    <d v="2025-01-30T00:00:00"/>
    <d v="2025-02-13T00:00:00"/>
    <x v="1"/>
    <n v="2025"/>
    <n v="1232500"/>
    <n v="1232500"/>
  </r>
  <r>
    <s v="4000006878"/>
    <s v="76201342-8"/>
    <s v="KNAUF CHILE SPA"/>
    <s v="6701158395"/>
    <s v="ZPCD"/>
    <s v="10"/>
    <x v="0"/>
    <s v="101"/>
    <s v="C004"/>
    <s v="E652"/>
    <m/>
    <s v="Local"/>
    <x v="0"/>
    <s v="Construccion"/>
    <x v="0"/>
    <s v="430406006"/>
    <s v="1249500"/>
    <s v="PUENTE ADHERENTE YESO BETOKONTAKT 20KG"/>
    <n v="37"/>
    <n v="37"/>
    <s v="UN"/>
    <d v="2025-01-30T00:00:00"/>
    <n v="1"/>
    <d v="2025-01-31T00:00:00"/>
    <d v="2025-02-14T00:00:00"/>
    <x v="1"/>
    <n v="2025"/>
    <n v="1634586"/>
    <n v="1634586"/>
  </r>
  <r>
    <s v="4000006878"/>
    <s v="76201342-8"/>
    <s v="KNAUF CHILE SPA"/>
    <s v="6701156770"/>
    <s v="ZPCD"/>
    <s v="10"/>
    <x v="0"/>
    <s v="101"/>
    <s v="C004"/>
    <s v="E652"/>
    <m/>
    <s v="Local"/>
    <x v="0"/>
    <s v="Construccion"/>
    <x v="0"/>
    <s v="430503006"/>
    <s v="1460002"/>
    <s v="AQUAPANEL PLACA R. 8MM 1200X2400"/>
    <n v="72"/>
    <n v="25"/>
    <s v="UN"/>
    <d v="2025-01-27T00:00:00"/>
    <n v="1"/>
    <d v="2025-04-04T00:00:00"/>
    <d v="2025-02-18T00:00:00"/>
    <x v="1"/>
    <n v="2025"/>
    <n v="478080"/>
    <n v="166000"/>
  </r>
  <r>
    <s v="4000006878"/>
    <s v="76201342-8"/>
    <s v="KNAUF CHILE SPA"/>
    <s v="6701168390"/>
    <s v="ZPCD"/>
    <s v="10"/>
    <x v="0"/>
    <s v=""/>
    <s v="C004"/>
    <s v="E512"/>
    <m/>
    <s v="Local"/>
    <x v="0"/>
    <s v="Construccion"/>
    <x v="0"/>
    <s v="430507002"/>
    <s v="938731"/>
    <s v="SERVICIO FLETE"/>
    <n v="1"/>
    <n v="0"/>
    <s v="UN"/>
    <d v="2025-02-20T00:00:00"/>
    <n v="2"/>
    <d v="2025-02-26T00:00:00"/>
    <m/>
    <x v="1"/>
    <n v="2025"/>
    <n v="58000"/>
    <n v="0"/>
  </r>
  <r>
    <s v="4000006878"/>
    <s v="76201342-8"/>
    <s v="KNAUF CHILE SPA"/>
    <s v="6701168551"/>
    <s v="ZPCD"/>
    <s v="10"/>
    <x v="0"/>
    <s v="101"/>
    <s v="C004"/>
    <s v="E652"/>
    <m/>
    <s v="Local"/>
    <x v="0"/>
    <s v="Construccion"/>
    <x v="0"/>
    <s v="430503006"/>
    <s v="1153805"/>
    <s v="PL YESO CARTON ST 12.5X1200X2400"/>
    <n v="130"/>
    <n v="130"/>
    <s v="UN"/>
    <d v="2025-02-20T00:00:00"/>
    <n v="2"/>
    <d v="2025-05-20T00:00:00"/>
    <d v="2025-02-26T00:00:00"/>
    <x v="1"/>
    <n v="2025"/>
    <n v="719550"/>
    <n v="719550"/>
  </r>
  <r>
    <s v="4000006878"/>
    <s v="76201342-8"/>
    <s v="KNAUF CHILE SPA"/>
    <s v="6701168551"/>
    <s v="ZPCD"/>
    <s v="20"/>
    <x v="0"/>
    <s v="101"/>
    <s v="C004"/>
    <s v="E652"/>
    <m/>
    <s v="Local"/>
    <x v="0"/>
    <s v="Construccion"/>
    <x v="0"/>
    <s v="430203001"/>
    <s v="1252501"/>
    <s v="ROLLO LIBRE HR 60MM 1200X12000MM KNAUF"/>
    <n v="44"/>
    <n v="44"/>
    <s v="UN"/>
    <d v="2025-02-20T00:00:00"/>
    <n v="2"/>
    <d v="2025-05-20T00:00:00"/>
    <d v="2025-02-26T00:00:00"/>
    <x v="1"/>
    <n v="2025"/>
    <n v="1359072"/>
    <n v="1359072"/>
  </r>
  <r>
    <s v="4000006878"/>
    <s v="76201342-8"/>
    <s v="KNAUF CHILE SPA"/>
    <s v="6701168551"/>
    <s v="ZPCD"/>
    <s v="30"/>
    <x v="0"/>
    <s v="101"/>
    <s v="C004"/>
    <s v="E652"/>
    <m/>
    <s v="Local"/>
    <x v="0"/>
    <s v="Construccion"/>
    <x v="0"/>
    <s v="430506002"/>
    <s v="1413158"/>
    <s v="MASILLA JOINTFILLER 20 KG"/>
    <n v="13"/>
    <n v="13"/>
    <s v="UN"/>
    <d v="2025-02-20T00:00:00"/>
    <n v="2"/>
    <d v="2025-05-20T00:00:00"/>
    <d v="2025-02-26T00:00:00"/>
    <x v="1"/>
    <n v="2025"/>
    <n v="111722"/>
    <n v="111722"/>
  </r>
  <r>
    <s v="4000006878"/>
    <s v="76201342-8"/>
    <s v="KNAUF CHILE SPA"/>
    <s v="6701168551"/>
    <s v="ZPCD"/>
    <s v="40"/>
    <x v="0"/>
    <s v="101"/>
    <s v="C004"/>
    <s v="E652"/>
    <m/>
    <s v="Local"/>
    <x v="0"/>
    <s v="Construccion"/>
    <x v="0"/>
    <s v="430503001"/>
    <s v="1295109"/>
    <s v="CINTA DE PAPEL MICROPERFORADA 50 X 75"/>
    <n v="13"/>
    <n v="13"/>
    <s v="UN"/>
    <d v="2025-02-20T00:00:00"/>
    <n v="2"/>
    <d v="2025-05-20T00:00:00"/>
    <d v="2025-02-26T00:00:00"/>
    <x v="1"/>
    <n v="2025"/>
    <n v="34957"/>
    <n v="34957"/>
  </r>
  <r>
    <s v="4000006878"/>
    <s v="76201342-8"/>
    <s v="KNAUF CHILE SPA"/>
    <s v="6701152764"/>
    <s v="ZPCD"/>
    <s v="10"/>
    <x v="0"/>
    <s v="101"/>
    <s v="C004"/>
    <s v="E504"/>
    <m/>
    <s v="Local"/>
    <x v="0"/>
    <s v="Construccion"/>
    <x v="0"/>
    <s v="430502003"/>
    <s v="1239232"/>
    <s v="PLACA AQUAPANAL OUTDOOR 12.5 120X240"/>
    <n v="90"/>
    <n v="90"/>
    <s v="UN"/>
    <d v="2025-01-23T00:00:00"/>
    <n v="1"/>
    <d v="2025-01-23T00:00:00"/>
    <d v="2025-02-20T00:00:00"/>
    <x v="1"/>
    <n v="2025"/>
    <n v="911700"/>
    <n v="911700"/>
  </r>
  <r>
    <s v="4000006878"/>
    <s v="76201342-8"/>
    <s v="KNAUF CHILE SPA"/>
    <s v="6701152764"/>
    <s v="ZPCD"/>
    <s v="20"/>
    <x v="0"/>
    <s v="101"/>
    <s v="C004"/>
    <s v="E504"/>
    <m/>
    <s v="Local"/>
    <x v="0"/>
    <s v="Construccion"/>
    <x v="0"/>
    <s v="430204003"/>
    <s v="1246704"/>
    <s v="AQUAPANEL WATER BARRIER 1.50X50"/>
    <n v="5"/>
    <n v="5"/>
    <s v="UN"/>
    <d v="2025-01-23T00:00:00"/>
    <n v="1"/>
    <d v="2025-01-23T00:00:00"/>
    <d v="2025-02-20T00:00:00"/>
    <x v="1"/>
    <n v="2025"/>
    <n v="692890"/>
    <n v="692890"/>
  </r>
  <r>
    <s v="4000006878"/>
    <s v="76201342-8"/>
    <s v="KNAUF CHILE SPA"/>
    <s v="6701152764"/>
    <s v="ZPCD"/>
    <s v="30"/>
    <x v="0"/>
    <s v="101"/>
    <s v="C004"/>
    <s v="E504"/>
    <m/>
    <s v="Local"/>
    <x v="0"/>
    <s v="Construccion"/>
    <x v="0"/>
    <s v="430201001"/>
    <s v="1246708"/>
    <s v="AQUAPANEL MALLA SUP. OUT /IND 1X50"/>
    <n v="2"/>
    <n v="2"/>
    <s v="UN"/>
    <d v="2025-01-23T00:00:00"/>
    <n v="1"/>
    <d v="2025-01-23T00:00:00"/>
    <d v="2025-02-20T00:00:00"/>
    <x v="1"/>
    <n v="2025"/>
    <n v="145264"/>
    <n v="145264"/>
  </r>
  <r>
    <s v="4000006878"/>
    <s v="76201342-8"/>
    <s v="KNAUF CHILE SPA"/>
    <s v="6701152764"/>
    <s v="ZPCD"/>
    <s v="40"/>
    <x v="0"/>
    <s v="101"/>
    <s v="C004"/>
    <s v="E504"/>
    <m/>
    <s v="Local"/>
    <x v="0"/>
    <s v="Construccion"/>
    <x v="0"/>
    <s v="430401006"/>
    <s v="1309478"/>
    <s v="MORTERO SUPERFICIE BLANCO AQUAPANEL 25KG"/>
    <n v="10"/>
    <n v="10"/>
    <s v="UN"/>
    <d v="2025-01-23T00:00:00"/>
    <n v="1"/>
    <d v="2025-01-23T00:00:00"/>
    <d v="2025-02-20T00:00:00"/>
    <x v="1"/>
    <n v="2025"/>
    <n v="158980"/>
    <n v="158980"/>
  </r>
  <r>
    <s v="4000006878"/>
    <s v="76201342-8"/>
    <s v="KNAUF CHILE SPA"/>
    <s v="6701159708"/>
    <s v="ZPCD"/>
    <s v="10"/>
    <x v="0"/>
    <s v="101"/>
    <s v="C004"/>
    <s v="E508"/>
    <m/>
    <s v="Local"/>
    <x v="0"/>
    <s v="Construccion"/>
    <x v="0"/>
    <s v="430503006"/>
    <s v="1232497"/>
    <s v="PL YESO CARTON RF 15X1200X2400MM KNAUF"/>
    <n v="350"/>
    <n v="350"/>
    <s v="UN"/>
    <d v="2025-01-31T00:00:00"/>
    <n v="1"/>
    <d v="2025-02-14T00:00:00"/>
    <d v="2025-02-10T00:00:00"/>
    <x v="1"/>
    <n v="2025"/>
    <n v="2536100"/>
    <n v="2536100"/>
  </r>
  <r>
    <s v="4000006878"/>
    <s v="76201342-8"/>
    <s v="KNAUF CHILE SPA"/>
    <s v="6701159708"/>
    <s v="ZPCD"/>
    <s v="20"/>
    <x v="0"/>
    <s v="101"/>
    <s v="C004"/>
    <s v="E508"/>
    <m/>
    <s v="Local"/>
    <x v="0"/>
    <s v="Construccion"/>
    <x v="0"/>
    <s v="430507002"/>
    <s v="938731"/>
    <s v="SERVICIO FLETE"/>
    <n v="1"/>
    <n v="1"/>
    <s v="UN"/>
    <d v="2025-01-31T00:00:00"/>
    <n v="1"/>
    <d v="2025-02-14T00:00:00"/>
    <d v="2025-02-10T00:00:00"/>
    <x v="1"/>
    <n v="2025"/>
    <n v="75000"/>
    <n v="75000"/>
  </r>
  <r>
    <s v="4000006878"/>
    <s v="76201342-8"/>
    <s v="KNAUF CHILE SPA"/>
    <s v="6508251396"/>
    <s v="ZPMC"/>
    <s v="10"/>
    <x v="1"/>
    <s v="101"/>
    <s v="C004"/>
    <s v="E843"/>
    <m/>
    <s v="Local"/>
    <x v="0"/>
    <s v="Construccion"/>
    <x v="0"/>
    <s v="430503006"/>
    <s v="1232379"/>
    <s v="PL YESO CARTON ST BR 15X1200X2400 MM KNA"/>
    <n v="4"/>
    <n v="4"/>
    <s v="PAL"/>
    <d v="2025-01-30T00:00:00"/>
    <n v="1"/>
    <d v="2025-02-11T00:00:00"/>
    <d v="2025-02-11T00:00:00"/>
    <x v="1"/>
    <n v="2025"/>
    <n v="1406000"/>
    <n v="1406000"/>
  </r>
  <r>
    <s v="4000006878"/>
    <s v="76201342-8"/>
    <s v="KNAUF CHILE SPA"/>
    <s v="6508252644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10"/>
    <n v="10"/>
    <s v="PAL"/>
    <d v="2025-01-31T00:00:00"/>
    <n v="1"/>
    <d v="2025-02-12T00:00:00"/>
    <d v="2025-02-05T00:00:00"/>
    <x v="1"/>
    <n v="2025"/>
    <n v="3513300"/>
    <n v="3513300"/>
  </r>
  <r>
    <s v="4000006878"/>
    <s v="76201342-8"/>
    <s v="KNAUF CHILE SPA"/>
    <s v="6508252644"/>
    <s v="ZPMC"/>
    <s v="20"/>
    <x v="1"/>
    <s v="101"/>
    <s v="C004"/>
    <s v="E521"/>
    <m/>
    <s v="Local"/>
    <x v="0"/>
    <s v="Construccion"/>
    <x v="0"/>
    <s v="430503006"/>
    <s v="1232377"/>
    <s v="PL YESO CARTON RH 12.5X1200X2400 MM KNAU"/>
    <n v="1"/>
    <n v="1"/>
    <s v="PAL"/>
    <d v="2025-01-31T00:00:00"/>
    <n v="1"/>
    <d v="2025-02-12T00:00:00"/>
    <d v="2025-02-05T00:00:00"/>
    <x v="1"/>
    <n v="2025"/>
    <n v="732480"/>
    <n v="732480"/>
  </r>
  <r>
    <s v="4000006878"/>
    <s v="76201342-8"/>
    <s v="KNAUF CHILE SPA"/>
    <s v="6701162943"/>
    <s v="ZPCD"/>
    <s v="10"/>
    <x v="0"/>
    <s v="101"/>
    <s v="C004"/>
    <s v="E508"/>
    <m/>
    <s v="Local"/>
    <x v="0"/>
    <s v="Construccion"/>
    <x v="0"/>
    <s v="430503006"/>
    <s v="1232496"/>
    <s v="PL YESO CARTON RH 15X1200X2400MM KNAUF"/>
    <n v="54"/>
    <n v="54"/>
    <s v="UN"/>
    <d v="2025-02-07T00:00:00"/>
    <n v="2"/>
    <d v="2025-02-14T00:00:00"/>
    <d v="2025-02-13T00:00:00"/>
    <x v="1"/>
    <n v="2025"/>
    <n v="551610"/>
    <n v="551610"/>
  </r>
  <r>
    <s v="4000006878"/>
    <s v="76201342-8"/>
    <s v="KNAUF CHILE SPA"/>
    <s v="6701162943"/>
    <s v="ZPCD"/>
    <s v="20"/>
    <x v="0"/>
    <s v="101"/>
    <s v="C004"/>
    <s v="E508"/>
    <m/>
    <s v="Local"/>
    <x v="0"/>
    <s v="Construccion"/>
    <x v="0"/>
    <s v="430503006"/>
    <s v="1232497"/>
    <s v="PL YESO CARTON RF 15X1200X2400MM KNAUF"/>
    <n v="100"/>
    <n v="100"/>
    <s v="UN"/>
    <d v="2025-02-07T00:00:00"/>
    <n v="2"/>
    <d v="2025-02-14T00:00:00"/>
    <d v="2025-02-13T00:00:00"/>
    <x v="1"/>
    <n v="2025"/>
    <n v="724600"/>
    <n v="724600"/>
  </r>
  <r>
    <s v="4000006878"/>
    <s v="76201342-8"/>
    <s v="KNAUF CHILE SPA"/>
    <s v="6701162943"/>
    <s v="ZPCD"/>
    <s v="30"/>
    <x v="0"/>
    <s v="101"/>
    <s v="C004"/>
    <s v="E508"/>
    <m/>
    <s v="Local"/>
    <x v="0"/>
    <s v="Construccion"/>
    <x v="0"/>
    <s v="430507002"/>
    <s v="938731"/>
    <s v="SERVICIO FLETE"/>
    <n v="1"/>
    <n v="1"/>
    <s v="UN"/>
    <d v="2025-02-07T00:00:00"/>
    <n v="2"/>
    <d v="2025-02-14T00:00:00"/>
    <d v="2025-02-13T00:00:00"/>
    <x v="1"/>
    <n v="2025"/>
    <n v="75000"/>
    <n v="75000"/>
  </r>
  <r>
    <s v="4000006878"/>
    <s v="76201342-8"/>
    <s v="KNAUF CHILE SPA"/>
    <s v="6701151252"/>
    <s v="ZPCD"/>
    <s v="20"/>
    <x v="0"/>
    <s v="101"/>
    <s v="C004"/>
    <s v="E512"/>
    <m/>
    <s v="Local"/>
    <x v="0"/>
    <s v="Construccion"/>
    <x v="0"/>
    <s v="430203001"/>
    <s v="1415814"/>
    <s v="LV PAPEL 1C HR 100MM"/>
    <n v="13"/>
    <n v="13"/>
    <s v="UN"/>
    <d v="2025-01-14T00:00:00"/>
    <n v="1"/>
    <d v="2025-01-17T00:00:00"/>
    <d v="2025-02-21T00:00:00"/>
    <x v="1"/>
    <n v="2025"/>
    <n v="441701"/>
    <n v="441701"/>
  </r>
  <r>
    <s v="4000006878"/>
    <s v="76201342-8"/>
    <s v="KNAUF CHILE SPA"/>
    <s v="6508263433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8"/>
    <n v="8"/>
    <s v="PAL"/>
    <d v="2025-02-07T00:00:00"/>
    <n v="2"/>
    <d v="2025-02-19T00:00:00"/>
    <d v="2025-02-12T00:00:00"/>
    <x v="1"/>
    <n v="2025"/>
    <n v="2810640"/>
    <n v="2810640"/>
  </r>
  <r>
    <s v="4000006878"/>
    <s v="76201342-8"/>
    <s v="KNAUF CHILE SPA"/>
    <s v="6508263433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6"/>
    <n v="6"/>
    <s v="PAL"/>
    <d v="2025-02-07T00:00:00"/>
    <n v="2"/>
    <d v="2025-02-19T00:00:00"/>
    <d v="2025-02-12T00:00:00"/>
    <x v="1"/>
    <n v="2025"/>
    <n v="2109000"/>
    <n v="2109000"/>
  </r>
  <r>
    <s v="4000006878"/>
    <s v="76201342-8"/>
    <s v="KNAUF CHILE SPA"/>
    <s v="6508263434"/>
    <s v="ZPMC"/>
    <s v="10"/>
    <x v="1"/>
    <s v="101"/>
    <s v="C004"/>
    <s v="E521"/>
    <m/>
    <s v="Local"/>
    <x v="0"/>
    <s v="Construccion"/>
    <x v="0"/>
    <s v="430503006"/>
    <s v="1232375"/>
    <s v="PL YESO CARTON ST BR 8X1200X2400 MM KNAU"/>
    <n v="1"/>
    <n v="1"/>
    <s v="PAL"/>
    <d v="2025-02-07T00:00:00"/>
    <n v="2"/>
    <d v="2025-02-19T00:00:00"/>
    <d v="2025-02-13T00:00:00"/>
    <x v="1"/>
    <n v="2025"/>
    <n v="418720"/>
    <n v="418720"/>
  </r>
  <r>
    <s v="4000006878"/>
    <s v="76201342-8"/>
    <s v="KNAUF CHILE SPA"/>
    <s v="6508263434"/>
    <s v="ZPMC"/>
    <s v="20"/>
    <x v="1"/>
    <s v="101"/>
    <s v="C004"/>
    <s v="E521"/>
    <m/>
    <s v="Local"/>
    <x v="0"/>
    <s v="Construccion"/>
    <x v="0"/>
    <s v="430503006"/>
    <s v="1232377"/>
    <s v="PL YESO CARTON RH 12.5X1200X2400 MM KNAU"/>
    <n v="1"/>
    <n v="1"/>
    <s v="PAL"/>
    <d v="2025-02-07T00:00:00"/>
    <n v="2"/>
    <d v="2025-02-19T00:00:00"/>
    <d v="2025-02-13T00:00:00"/>
    <x v="1"/>
    <n v="2025"/>
    <n v="732480"/>
    <n v="732480"/>
  </r>
  <r>
    <s v="4000006878"/>
    <s v="76201342-8"/>
    <s v="KNAUF CHILE SPA"/>
    <s v="6508263434"/>
    <s v="ZPMC"/>
    <s v="30"/>
    <x v="1"/>
    <s v="101"/>
    <s v="C004"/>
    <s v="E521"/>
    <m/>
    <s v="Local"/>
    <x v="0"/>
    <s v="Construccion"/>
    <x v="0"/>
    <s v="430503006"/>
    <s v="1232378"/>
    <s v="PL YESO CARTON ST BR 10X1200X2400 MM KNA"/>
    <n v="4"/>
    <n v="4"/>
    <s v="PAL"/>
    <d v="2025-02-07T00:00:00"/>
    <n v="2"/>
    <d v="2025-02-19T00:00:00"/>
    <d v="2025-02-13T00:00:00"/>
    <x v="1"/>
    <n v="2025"/>
    <n v="1405320"/>
    <n v="1405320"/>
  </r>
  <r>
    <s v="4000006878"/>
    <s v="76201342-8"/>
    <s v="KNAUF CHILE SPA"/>
    <s v="6508263434"/>
    <s v="ZPMC"/>
    <s v="40"/>
    <x v="1"/>
    <s v="101"/>
    <s v="C004"/>
    <s v="E521"/>
    <m/>
    <s v="Local"/>
    <x v="0"/>
    <s v="Construccion"/>
    <x v="0"/>
    <s v="430503006"/>
    <s v="1232379"/>
    <s v="PL YESO CARTON ST BR 15X1200X2400 MM KNA"/>
    <n v="1"/>
    <n v="1"/>
    <s v="PAL"/>
    <d v="2025-02-07T00:00:00"/>
    <n v="2"/>
    <d v="2025-02-19T00:00:00"/>
    <d v="2025-02-13T00:00:00"/>
    <x v="1"/>
    <n v="2025"/>
    <n v="351500"/>
    <n v="351500"/>
  </r>
  <r>
    <s v="4000006878"/>
    <s v="76201342-8"/>
    <s v="KNAUF CHILE SPA"/>
    <s v="6508263435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2-07T00:00:00"/>
    <n v="2"/>
    <d v="2025-02-19T00:00:00"/>
    <d v="2025-02-11T00:00:00"/>
    <x v="1"/>
    <n v="2025"/>
    <n v="1405320"/>
    <n v="1405320"/>
  </r>
  <r>
    <s v="4000006878"/>
    <s v="76201342-8"/>
    <s v="KNAUF CHILE SPA"/>
    <s v="6508263436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8"/>
    <n v="8"/>
    <s v="PAL"/>
    <d v="2025-02-07T00:00:00"/>
    <n v="2"/>
    <d v="2025-02-19T00:00:00"/>
    <d v="2025-02-12T00:00:00"/>
    <x v="1"/>
    <n v="2025"/>
    <n v="2810640"/>
    <n v="2810640"/>
  </r>
  <r>
    <s v="4000006878"/>
    <s v="76201342-8"/>
    <s v="KNAUF CHILE SPA"/>
    <s v="6508263436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6"/>
    <n v="6"/>
    <s v="PAL"/>
    <d v="2025-02-07T00:00:00"/>
    <n v="2"/>
    <d v="2025-02-19T00:00:00"/>
    <d v="2025-02-12T00:00:00"/>
    <x v="1"/>
    <n v="2025"/>
    <n v="2109000"/>
    <n v="2109000"/>
  </r>
  <r>
    <s v="4000006878"/>
    <s v="76201342-8"/>
    <s v="KNAUF CHILE SPA"/>
    <s v="6508273877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6"/>
    <n v="6"/>
    <s v="PAL"/>
    <d v="2025-02-14T00:00:00"/>
    <n v="2"/>
    <d v="2025-02-26T00:00:00"/>
    <d v="2025-02-27T00:00:00"/>
    <x v="1"/>
    <n v="2025"/>
    <n v="2107980"/>
    <n v="2107980"/>
  </r>
  <r>
    <s v="4000006878"/>
    <s v="76201342-8"/>
    <s v="KNAUF CHILE SPA"/>
    <s v="6508273877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2-14T00:00:00"/>
    <n v="2"/>
    <d v="2025-02-26T00:00:00"/>
    <d v="2025-02-27T00:00:00"/>
    <x v="1"/>
    <n v="2025"/>
    <n v="1406000"/>
    <n v="1406000"/>
  </r>
  <r>
    <s v="4000006878"/>
    <s v="76201342-8"/>
    <s v="KNAUF CHILE SPA"/>
    <s v="6508273878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2-14T00:00:00"/>
    <n v="2"/>
    <d v="2025-02-26T00:00:00"/>
    <d v="2025-02-21T00:00:00"/>
    <x v="1"/>
    <n v="2025"/>
    <n v="1405320"/>
    <n v="1405320"/>
  </r>
  <r>
    <s v="4000006878"/>
    <s v="76201342-8"/>
    <s v="KNAUF CHILE SPA"/>
    <s v="6701151472"/>
    <s v="ZPCD"/>
    <s v="20"/>
    <x v="0"/>
    <s v="101"/>
    <s v="C004"/>
    <s v="E652"/>
    <m/>
    <s v="Local"/>
    <x v="0"/>
    <s v="Construccion"/>
    <x v="0"/>
    <s v="430204003"/>
    <s v="1246704"/>
    <s v="AQUAPANEL WATER BARRIER 1.50X50"/>
    <n v="22"/>
    <n v="22"/>
    <s v="UN"/>
    <d v="2025-01-15T00:00:00"/>
    <n v="1"/>
    <d v="2025-01-17T00:00:00"/>
    <d v="2025-02-28T00:00:00"/>
    <x v="1"/>
    <n v="2025"/>
    <n v="3048716"/>
    <n v="3048716"/>
  </r>
  <r>
    <s v="4000006878"/>
    <s v="76201342-8"/>
    <s v="KNAUF CHILE SPA"/>
    <s v="6701151472"/>
    <s v="ZPCD"/>
    <s v="30"/>
    <x v="0"/>
    <s v="101"/>
    <s v="C004"/>
    <s v="E652"/>
    <m/>
    <s v="Local"/>
    <x v="0"/>
    <s v="Construccion"/>
    <x v="0"/>
    <s v="430401007"/>
    <s v="1246707"/>
    <s v="AQUAPANEL MORTERO SUP. BLANCO 25KG"/>
    <n v="417"/>
    <n v="417"/>
    <s v="UN"/>
    <d v="2025-01-15T00:00:00"/>
    <n v="1"/>
    <d v="2025-01-17T00:00:00"/>
    <d v="2025-02-28T00:00:00"/>
    <x v="1"/>
    <n v="2025"/>
    <n v="6629466"/>
    <n v="6629466"/>
  </r>
  <r>
    <s v="4000006878"/>
    <s v="76201342-8"/>
    <s v="KNAUF CHILE SPA"/>
    <s v="6701151472"/>
    <s v="ZPCD"/>
    <s v="40"/>
    <x v="0"/>
    <s v="101"/>
    <s v="C004"/>
    <s v="E652"/>
    <m/>
    <s v="Local"/>
    <x v="0"/>
    <s v="Construccion"/>
    <x v="0"/>
    <s v="430503001"/>
    <s v="1309477"/>
    <s v="CINTA PARA JUNTAS AQUAPANEL 10CM  50M"/>
    <n v="49"/>
    <n v="49"/>
    <s v="UN"/>
    <d v="2025-01-15T00:00:00"/>
    <n v="1"/>
    <d v="2025-01-17T00:00:00"/>
    <d v="2025-02-28T00:00:00"/>
    <x v="1"/>
    <n v="2025"/>
    <n v="672084"/>
    <n v="672084"/>
  </r>
  <r>
    <s v="4000006878"/>
    <s v="76201342-8"/>
    <s v="KNAUF CHILE SPA"/>
    <s v="6701151472"/>
    <s v="ZPCD"/>
    <s v="50"/>
    <x v="0"/>
    <s v="101"/>
    <s v="C004"/>
    <s v="E652"/>
    <m/>
    <s v="Local"/>
    <x v="0"/>
    <s v="Construccion"/>
    <x v="0"/>
    <s v="430201001"/>
    <s v="1246708"/>
    <s v="AQUAPANEL MALLA SUP. OUT /IND 1X50"/>
    <n v="35"/>
    <n v="35"/>
    <s v="UN"/>
    <d v="2025-01-15T00:00:00"/>
    <n v="1"/>
    <d v="2025-01-17T00:00:00"/>
    <d v="2025-02-28T00:00:00"/>
    <x v="1"/>
    <n v="2025"/>
    <n v="2542120"/>
    <n v="2542120"/>
  </r>
  <r>
    <s v="4000006878"/>
    <s v="76201342-8"/>
    <s v="KNAUF CHILE SPA"/>
    <s v="6508286290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6"/>
    <n v="6"/>
    <s v="PAL"/>
    <d v="2025-02-21T00:00:00"/>
    <n v="2"/>
    <d v="2025-03-05T00:00:00"/>
    <d v="2025-02-26T00:00:00"/>
    <x v="1"/>
    <n v="2025"/>
    <n v="2107980"/>
    <n v="2107980"/>
  </r>
  <r>
    <s v="4000006878"/>
    <s v="76201342-8"/>
    <s v="KNAUF CHILE SPA"/>
    <s v="6508286290"/>
    <s v="ZPMC"/>
    <s v="20"/>
    <x v="1"/>
    <s v="101"/>
    <s v="C004"/>
    <s v="E521"/>
    <m/>
    <s v="Local"/>
    <x v="0"/>
    <s v="Construccion"/>
    <x v="0"/>
    <s v="430503006"/>
    <s v="1232379"/>
    <s v="PL YESO CARTON ST BR 15X1200X2400 MM KNA"/>
    <n v="2"/>
    <n v="2"/>
    <s v="PAL"/>
    <d v="2025-02-21T00:00:00"/>
    <n v="2"/>
    <d v="2025-03-05T00:00:00"/>
    <d v="2025-02-26T00:00:00"/>
    <x v="1"/>
    <n v="2025"/>
    <n v="703000"/>
    <n v="703000"/>
  </r>
  <r>
    <s v="4000006878"/>
    <s v="76201342-8"/>
    <s v="KNAUF CHILE SPA"/>
    <s v="6508286291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2-21T00:00:00"/>
    <n v="2"/>
    <d v="2025-03-05T00:00:00"/>
    <d v="2025-02-26T00:00:00"/>
    <x v="1"/>
    <n v="2025"/>
    <n v="1405320"/>
    <n v="1405320"/>
  </r>
  <r>
    <s v="4000006878"/>
    <s v="76201342-8"/>
    <s v="KNAUF CHILE SPA"/>
    <s v="6701159264"/>
    <s v="ZPCD"/>
    <s v="10"/>
    <x v="0"/>
    <s v=""/>
    <s v="C004"/>
    <s v="E508"/>
    <m/>
    <s v="Local"/>
    <x v="0"/>
    <s v="Construccion"/>
    <x v="0"/>
    <s v="430503006"/>
    <s v="1232497"/>
    <s v="PL YESO CARTON RF 15X1200X2400MM KNAUF"/>
    <n v="350"/>
    <n v="0"/>
    <s v="UN"/>
    <d v="2025-01-31T00:00:00"/>
    <n v="1"/>
    <d v="2025-02-14T00:00:00"/>
    <m/>
    <x v="1"/>
    <n v="2025"/>
    <n v="2485350"/>
    <n v="0"/>
  </r>
  <r>
    <s v="4000006878"/>
    <s v="76201342-8"/>
    <s v="KNAUF CHILE SPA"/>
    <s v="6701159264"/>
    <s v="ZPCD"/>
    <s v="20"/>
    <x v="0"/>
    <s v=""/>
    <s v="C004"/>
    <s v="E508"/>
    <m/>
    <s v="Local"/>
    <x v="0"/>
    <s v="Construccion"/>
    <x v="0"/>
    <s v="430507002"/>
    <s v="938731"/>
    <s v="SERVICIO FLETE"/>
    <n v="1"/>
    <n v="0"/>
    <s v="UN"/>
    <d v="2025-01-31T00:00:00"/>
    <n v="1"/>
    <d v="2025-02-14T00:00:00"/>
    <m/>
    <x v="1"/>
    <n v="2025"/>
    <n v="75000"/>
    <n v="0"/>
  </r>
  <r>
    <s v="4000006878"/>
    <s v="76201342-8"/>
    <s v="KNAUF CHILE SPA"/>
    <s v="6701171102"/>
    <s v="ZPCD"/>
    <s v="10"/>
    <x v="0"/>
    <s v=""/>
    <s v="C004"/>
    <s v="E507"/>
    <m/>
    <s v="Local"/>
    <x v="0"/>
    <s v="Construccion"/>
    <x v="0"/>
    <s v="430506002"/>
    <s v="1192671"/>
    <s v="YESO PROYECTADO 25KG"/>
    <n v="500"/>
    <n v="0"/>
    <s v="UN"/>
    <d v="2025-02-25T00:00:00"/>
    <n v="2"/>
    <d v="2025-02-26T00:00:00"/>
    <m/>
    <x v="1"/>
    <n v="2025"/>
    <n v="2978000"/>
    <n v="0"/>
  </r>
  <r>
    <s v="4000006878"/>
    <s v="76201342-8"/>
    <s v="KNAUF CHILE SPA"/>
    <s v="6701171102"/>
    <s v="ZPCD"/>
    <s v="20"/>
    <x v="0"/>
    <s v=""/>
    <s v="C004"/>
    <s v="E507"/>
    <m/>
    <s v="Local"/>
    <x v="0"/>
    <s v="Construccion"/>
    <x v="0"/>
    <s v="430507002"/>
    <s v="938731"/>
    <s v="SERVICIO FLETE"/>
    <n v="1"/>
    <n v="0"/>
    <s v="UN"/>
    <d v="2025-02-25T00:00:00"/>
    <n v="2"/>
    <d v="2025-02-26T00:00:00"/>
    <m/>
    <x v="1"/>
    <n v="2025"/>
    <n v="1232500"/>
    <n v="0"/>
  </r>
  <r>
    <s v="4000006878"/>
    <s v="76201342-8"/>
    <s v="KNAUF CHILE SPA"/>
    <s v="6701172608"/>
    <s v="ZPCD"/>
    <s v="10"/>
    <x v="0"/>
    <s v=""/>
    <s v="C004"/>
    <s v="E652"/>
    <m/>
    <s v="Local"/>
    <x v="0"/>
    <s v="Construccion"/>
    <x v="0"/>
    <s v="430503006"/>
    <s v="1441557"/>
    <s v="PLACA AQUAPANEL RESIDENCIAL 8 1200X2400"/>
    <n v="156"/>
    <n v="0"/>
    <s v="UN"/>
    <d v="2025-02-28T00:00:00"/>
    <n v="2"/>
    <d v="2025-02-28T00:00:00"/>
    <m/>
    <x v="1"/>
    <n v="2025"/>
    <n v="3100968"/>
    <n v="0"/>
  </r>
  <r>
    <s v="4000006878"/>
    <s v="76201342-8"/>
    <s v="KNAUF CHILE SPA"/>
    <s v="6701172608"/>
    <s v="ZPCD"/>
    <s v="20"/>
    <x v="0"/>
    <s v=""/>
    <s v="C004"/>
    <s v="E652"/>
    <m/>
    <s v="Local"/>
    <x v="0"/>
    <s v="Construccion"/>
    <x v="0"/>
    <s v="130211005"/>
    <s v="1366504"/>
    <s v="AQUAPANEL TORNILLO MAXI TB 39MM"/>
    <n v="25"/>
    <n v="0"/>
    <s v="UN"/>
    <d v="2025-02-28T00:00:00"/>
    <n v="2"/>
    <d v="2025-02-28T00:00:00"/>
    <m/>
    <x v="1"/>
    <n v="2025"/>
    <n v="281975"/>
    <n v="0"/>
  </r>
  <r>
    <s v="4000006878"/>
    <s v="76201342-8"/>
    <s v="KNAUF CHILE SPA"/>
    <s v="6701172608"/>
    <s v="ZPCD"/>
    <s v="30"/>
    <x v="0"/>
    <s v=""/>
    <s v="C004"/>
    <s v="E652"/>
    <m/>
    <s v="Local"/>
    <x v="0"/>
    <s v="Construccion"/>
    <x v="0"/>
    <s v="130210003"/>
    <s v="1254402"/>
    <s v="AQUAPANEL TORNILLO MAXI SB 25 250 UN"/>
    <n v="25"/>
    <n v="0"/>
    <s v="UN"/>
    <d v="2025-02-28T00:00:00"/>
    <n v="2"/>
    <d v="2025-02-28T00:00:00"/>
    <m/>
    <x v="1"/>
    <n v="2025"/>
    <n v="433675"/>
    <n v="0"/>
  </r>
  <r>
    <s v="4000006878"/>
    <s v="76201342-8"/>
    <s v="KNAUF CHILE SPA"/>
    <s v="6701172608"/>
    <s v="ZPCD"/>
    <s v="40"/>
    <x v="0"/>
    <s v=""/>
    <s v="C004"/>
    <s v="E652"/>
    <m/>
    <s v="Local"/>
    <x v="0"/>
    <s v="Construccion"/>
    <x v="0"/>
    <s v="430507002"/>
    <s v="938731"/>
    <s v="SERVICIO FLETE"/>
    <n v="1"/>
    <n v="0"/>
    <s v="UN"/>
    <d v="2025-02-28T00:00:00"/>
    <n v="2"/>
    <d v="2025-02-28T00:00:00"/>
    <m/>
    <x v="1"/>
    <n v="2025"/>
    <n v="74200"/>
    <n v="0"/>
  </r>
  <r>
    <s v="4000006878"/>
    <s v="76201342-8"/>
    <s v="KNAUF CHILE SPA"/>
    <s v="6701171933"/>
    <s v="ZPCD"/>
    <s v="10"/>
    <x v="0"/>
    <s v=""/>
    <s v="C004"/>
    <s v="E507"/>
    <m/>
    <s v="Local"/>
    <x v="0"/>
    <s v="Construccion"/>
    <x v="0"/>
    <s v="430506002"/>
    <s v="1192671"/>
    <s v="YESO PROYECTADO 25KG"/>
    <n v="42"/>
    <n v="0"/>
    <s v="UN"/>
    <d v="2025-02-27T00:00:00"/>
    <n v="2"/>
    <d v="2025-02-28T00:00:00"/>
    <m/>
    <x v="1"/>
    <n v="2025"/>
    <n v="250152"/>
    <n v="0"/>
  </r>
  <r>
    <s v="4000006878"/>
    <s v="76201342-8"/>
    <s v="KNAUF CHILE SPA"/>
    <s v="6701171933"/>
    <s v="ZPCD"/>
    <s v="20"/>
    <x v="0"/>
    <s v=""/>
    <s v="C004"/>
    <s v="E507"/>
    <m/>
    <s v="Local"/>
    <x v="0"/>
    <s v="Construccion"/>
    <x v="0"/>
    <s v="430406006"/>
    <s v="1249500"/>
    <s v="PUENTE ADHERENTE YESO BETOKONTAKT 20KG"/>
    <n v="3"/>
    <n v="0"/>
    <s v="UN"/>
    <d v="2025-02-27T00:00:00"/>
    <n v="2"/>
    <d v="2025-02-28T00:00:00"/>
    <m/>
    <x v="1"/>
    <n v="2025"/>
    <n v="138165"/>
    <n v="0"/>
  </r>
  <r>
    <s v="4000006878"/>
    <s v="76201342-8"/>
    <s v="KNAUF CHILE SPA"/>
    <s v="6701171933"/>
    <s v="ZPCD"/>
    <s v="30"/>
    <x v="0"/>
    <s v=""/>
    <s v="C004"/>
    <s v="E507"/>
    <m/>
    <s v="Local"/>
    <x v="0"/>
    <s v="Construccion"/>
    <x v="0"/>
    <s v="430507002"/>
    <s v="938731"/>
    <s v="SERVICIO FLETE"/>
    <n v="1"/>
    <n v="0"/>
    <s v="UN"/>
    <d v="2025-02-27T00:00:00"/>
    <n v="2"/>
    <d v="2025-02-28T00:00:00"/>
    <m/>
    <x v="1"/>
    <n v="2025"/>
    <n v="58000"/>
    <n v="0"/>
  </r>
  <r>
    <s v="4000006878"/>
    <s v="76201342-8"/>
    <s v="KNAUF CHILE SPA"/>
    <s v="6508334637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21T00:00:00"/>
    <n v="3"/>
    <d v="2025-04-02T00:00:00"/>
    <d v="2025-03-28T00:00:00"/>
    <x v="2"/>
    <n v="2025"/>
    <n v="1405320"/>
    <n v="1405320"/>
  </r>
  <r>
    <s v="4000006878"/>
    <s v="76201342-8"/>
    <s v="KNAUF CHILE SPA"/>
    <s v="6508328792"/>
    <s v="ZDCZ"/>
    <s v="10"/>
    <x v="0"/>
    <s v="161"/>
    <s v="C004"/>
    <s v="E652"/>
    <m/>
    <s v="Local"/>
    <x v="0"/>
    <s v="Construccion"/>
    <x v="0"/>
    <s v="430507002"/>
    <s v="938731"/>
    <s v="SERVICIO FLETE"/>
    <n v="80"/>
    <n v="80"/>
    <s v="UN"/>
    <d v="2025-03-18T00:00:00"/>
    <n v="3"/>
    <d v="2025-03-18T00:00:00"/>
    <d v="2025-03-19T00:00:00"/>
    <x v="2"/>
    <n v="2025"/>
    <n v="13280"/>
    <n v="-13280"/>
  </r>
  <r>
    <s v="4000006878"/>
    <s v="76201342-8"/>
    <s v="KNAUF CHILE SPA"/>
    <s v="6508334635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2"/>
    <n v="2"/>
    <s v="PAL"/>
    <d v="2025-03-21T00:00:00"/>
    <n v="3"/>
    <d v="2025-04-02T00:00:00"/>
    <d v="2025-03-27T00:00:00"/>
    <x v="2"/>
    <n v="2025"/>
    <n v="702660"/>
    <n v="702660"/>
  </r>
  <r>
    <s v="4000006878"/>
    <s v="76201342-8"/>
    <s v="KNAUF CHILE SPA"/>
    <s v="6508334635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3-21T00:00:00"/>
    <n v="3"/>
    <d v="2025-04-02T00:00:00"/>
    <d v="2025-03-27T00:00:00"/>
    <x v="2"/>
    <n v="2025"/>
    <n v="1406000"/>
    <n v="1406000"/>
  </r>
  <r>
    <s v="4000006878"/>
    <s v="76201342-8"/>
    <s v="KNAUF CHILE SPA"/>
    <s v="6701159354"/>
    <s v="ZPCD"/>
    <s v="10"/>
    <x v="0"/>
    <s v="101"/>
    <s v="C004"/>
    <s v="E652"/>
    <m/>
    <s v="Local"/>
    <x v="0"/>
    <s v="Construccion"/>
    <x v="0"/>
    <s v="430507002"/>
    <s v="938731"/>
    <s v="SERVICIO FLETE"/>
    <n v="1"/>
    <n v="1"/>
    <s v="UN"/>
    <d v="2025-01-31T00:00:00"/>
    <n v="1"/>
    <d v="2025-02-28T00:00:00"/>
    <d v="2025-03-06T00:00:00"/>
    <x v="2"/>
    <n v="2025"/>
    <n v="121500"/>
    <n v="121500"/>
  </r>
  <r>
    <s v="4000006878"/>
    <s v="76201342-8"/>
    <s v="KNAUF CHILE SPA"/>
    <s v="6508299090"/>
    <s v="ZPMC"/>
    <s v="10"/>
    <x v="1"/>
    <s v="101"/>
    <s v="C004"/>
    <s v="E521"/>
    <m/>
    <s v="Local"/>
    <x v="0"/>
    <s v="Construccion"/>
    <x v="0"/>
    <s v="430503006"/>
    <s v="1232377"/>
    <s v="PL YESO CARTON RH 12.5X1200X2400 MM KNAU"/>
    <n v="2"/>
    <n v="2"/>
    <s v="PAL"/>
    <d v="2025-02-28T00:00:00"/>
    <n v="2"/>
    <d v="2025-03-12T00:00:00"/>
    <d v="2025-03-06T00:00:00"/>
    <x v="2"/>
    <n v="2025"/>
    <n v="1464960"/>
    <n v="1464960"/>
  </r>
  <r>
    <s v="4000006878"/>
    <s v="76201342-8"/>
    <s v="KNAUF CHILE SPA"/>
    <s v="6508299090"/>
    <s v="ZPMC"/>
    <s v="20"/>
    <x v="1"/>
    <s v="101"/>
    <s v="C004"/>
    <s v="E521"/>
    <m/>
    <s v="Local"/>
    <x v="0"/>
    <s v="Construccion"/>
    <x v="0"/>
    <s v="430503006"/>
    <s v="1232378"/>
    <s v="PL YESO CARTON ST BR 10X1200X2400 MM KNA"/>
    <n v="2"/>
    <n v="2"/>
    <s v="PAL"/>
    <d v="2025-02-28T00:00:00"/>
    <n v="2"/>
    <d v="2025-03-12T00:00:00"/>
    <d v="2025-03-06T00:00:00"/>
    <x v="2"/>
    <n v="2025"/>
    <n v="702660"/>
    <n v="702660"/>
  </r>
  <r>
    <s v="4000006878"/>
    <s v="76201342-8"/>
    <s v="KNAUF CHILE SPA"/>
    <s v="6508299090"/>
    <s v="ZPMC"/>
    <s v="30"/>
    <x v="1"/>
    <s v="101"/>
    <s v="C004"/>
    <s v="E521"/>
    <m/>
    <s v="Local"/>
    <x v="0"/>
    <s v="Construccion"/>
    <x v="0"/>
    <s v="430503006"/>
    <s v="1232379"/>
    <s v="PL YESO CARTON ST BR 15X1200X2400 MM KNA"/>
    <n v="2"/>
    <n v="2"/>
    <s v="PAL"/>
    <d v="2025-02-28T00:00:00"/>
    <n v="2"/>
    <d v="2025-03-12T00:00:00"/>
    <d v="2025-03-06T00:00:00"/>
    <x v="2"/>
    <n v="2025"/>
    <n v="703000"/>
    <n v="703000"/>
  </r>
  <r>
    <s v="4000006878"/>
    <s v="76201342-8"/>
    <s v="KNAUF CHILE SPA"/>
    <s v="6701172448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30"/>
    <n v="30"/>
    <s v="UN"/>
    <d v="2025-02-28T00:00:00"/>
    <n v="2"/>
    <d v="2025-02-28T00:00:00"/>
    <d v="2025-03-07T00:00:00"/>
    <x v="2"/>
    <n v="2025"/>
    <n v="972510"/>
    <n v="972510"/>
  </r>
  <r>
    <s v="4000006878"/>
    <s v="76201342-8"/>
    <s v="KNAUF CHILE SPA"/>
    <s v="6701172462"/>
    <s v="ZPCD"/>
    <s v="10"/>
    <x v="0"/>
    <s v="101"/>
    <s v="C004"/>
    <s v="E652"/>
    <m/>
    <s v="Local"/>
    <x v="0"/>
    <s v="Construccion"/>
    <x v="0"/>
    <s v="430503006"/>
    <s v="1370563"/>
    <s v="PLACA KNAUF IMPACT 12.5MM 1200X3000"/>
    <n v="500"/>
    <n v="250"/>
    <s v="UN"/>
    <d v="2025-02-28T00:00:00"/>
    <n v="2"/>
    <d v="2025-05-30T00:00:00"/>
    <d v="2025-03-14T00:00:00"/>
    <x v="2"/>
    <n v="2025"/>
    <n v="5947000"/>
    <n v="2973500"/>
  </r>
  <r>
    <s v="4000006878"/>
    <s v="76201342-8"/>
    <s v="KNAUF CHILE SPA"/>
    <s v="6701172462"/>
    <s v="ZPCD"/>
    <s v="20"/>
    <x v="0"/>
    <s v="101"/>
    <s v="C004"/>
    <s v="E652"/>
    <m/>
    <s v="Local"/>
    <x v="0"/>
    <s v="Construccion"/>
    <x v="0"/>
    <s v="430507002"/>
    <s v="938731"/>
    <s v="SERVICIO FLETE"/>
    <n v="500"/>
    <n v="250"/>
    <s v="UN"/>
    <d v="2025-02-28T00:00:00"/>
    <n v="2"/>
    <d v="2025-05-30T00:00:00"/>
    <d v="2025-03-14T00:00:00"/>
    <x v="2"/>
    <n v="2025"/>
    <n v="162000"/>
    <n v="81000"/>
  </r>
  <r>
    <s v="4000006878"/>
    <s v="76201342-8"/>
    <s v="KNAUF CHILE SPA"/>
    <s v="6701172462"/>
    <s v="ZPCD"/>
    <s v="30"/>
    <x v="0"/>
    <s v="101"/>
    <s v="C004"/>
    <s v="E652"/>
    <m/>
    <s v="Local"/>
    <x v="0"/>
    <s v="Construccion"/>
    <x v="0"/>
    <s v="430503006"/>
    <s v="1232378"/>
    <s v="PL YESO CARTON ST BR 10X1200X2400 MM KNA"/>
    <n v="550"/>
    <n v="300"/>
    <s v="UN"/>
    <d v="2025-02-28T00:00:00"/>
    <n v="2"/>
    <d v="2025-05-30T00:00:00"/>
    <d v="2025-03-14T00:00:00"/>
    <x v="2"/>
    <n v="2025"/>
    <n v="2429900"/>
    <n v="1325400"/>
  </r>
  <r>
    <s v="4000006878"/>
    <s v="76201342-8"/>
    <s v="KNAUF CHILE SPA"/>
    <s v="6701172462"/>
    <s v="ZPCD"/>
    <s v="40"/>
    <x v="0"/>
    <s v="101"/>
    <s v="C004"/>
    <s v="E652"/>
    <m/>
    <s v="Local"/>
    <x v="0"/>
    <s v="Construccion"/>
    <x v="0"/>
    <s v="430507002"/>
    <s v="938731"/>
    <s v="SERVICIO FLETE"/>
    <n v="550"/>
    <n v="300"/>
    <s v="UN"/>
    <d v="2025-02-28T00:00:00"/>
    <n v="2"/>
    <d v="2025-05-30T00:00:00"/>
    <d v="2025-03-14T00:00:00"/>
    <x v="2"/>
    <n v="2025"/>
    <n v="69300"/>
    <n v="37800"/>
  </r>
  <r>
    <s v="4000006878"/>
    <s v="76201342-8"/>
    <s v="KNAUF CHILE SPA"/>
    <s v="6701186785"/>
    <s v="ZPCD"/>
    <s v="10"/>
    <x v="0"/>
    <s v=""/>
    <s v="C004"/>
    <s v="E874"/>
    <m/>
    <s v="Local"/>
    <x v="0"/>
    <s v="Construccion"/>
    <x v="0"/>
    <s v="430201001"/>
    <s v="896692"/>
    <s v="BANDA ACUSTICA 70MM ANCHO ROLLO X 30 M"/>
    <n v="300"/>
    <n v="0"/>
    <s v="ROM"/>
    <d v="2025-03-26T00:00:00"/>
    <n v="3"/>
    <d v="2025-03-27T00:00:00"/>
    <m/>
    <x v="2"/>
    <n v="2025"/>
    <n v="3628800"/>
    <n v="0"/>
  </r>
  <r>
    <s v="4000006878"/>
    <s v="76201342-8"/>
    <s v="KNAUF CHILE SPA"/>
    <s v="6701186785"/>
    <s v="ZPCD"/>
    <s v="20"/>
    <x v="0"/>
    <s v=""/>
    <s v="C004"/>
    <s v="E874"/>
    <m/>
    <s v="Local"/>
    <x v="0"/>
    <s v="Construccion"/>
    <x v="0"/>
    <s v="430507002"/>
    <s v="938731"/>
    <s v="SERVICIO FLETE"/>
    <n v="300"/>
    <n v="0"/>
    <s v="UN"/>
    <d v="2025-03-26T00:00:00"/>
    <n v="3"/>
    <d v="2025-03-27T00:00:00"/>
    <m/>
    <x v="2"/>
    <n v="2025"/>
    <n v="1080000"/>
    <n v="0"/>
  </r>
  <r>
    <s v="4000006878"/>
    <s v="76201342-8"/>
    <s v="KNAUF CHILE SPA"/>
    <s v="6701186785"/>
    <s v="ZPCD"/>
    <s v="30"/>
    <x v="0"/>
    <s v=""/>
    <s v="C004"/>
    <s v="E874"/>
    <m/>
    <s v="Local"/>
    <x v="0"/>
    <s v="Construccion"/>
    <x v="0"/>
    <s v="430503004"/>
    <s v="1247551"/>
    <s v="ACUAPANEL JUNTA PARA CINTA EX 0.10X50"/>
    <n v="305"/>
    <n v="0"/>
    <s v="UN"/>
    <d v="2025-03-26T00:00:00"/>
    <n v="3"/>
    <d v="2025-03-27T00:00:00"/>
    <m/>
    <x v="2"/>
    <n v="2025"/>
    <n v="3908270"/>
    <n v="0"/>
  </r>
  <r>
    <s v="4000006878"/>
    <s v="76201342-8"/>
    <s v="KNAUF CHILE SPA"/>
    <s v="6701186785"/>
    <s v="ZPCD"/>
    <s v="40"/>
    <x v="0"/>
    <s v=""/>
    <s v="C004"/>
    <s v="E874"/>
    <m/>
    <s v="Local"/>
    <x v="0"/>
    <s v="Construccion"/>
    <x v="0"/>
    <s v="430507002"/>
    <s v="938731"/>
    <s v="SERVICIO FLETE"/>
    <n v="305"/>
    <n v="0"/>
    <s v="UN"/>
    <d v="2025-03-26T00:00:00"/>
    <n v="3"/>
    <d v="2025-03-27T00:00:00"/>
    <m/>
    <x v="2"/>
    <n v="2025"/>
    <n v="2440000"/>
    <n v="0"/>
  </r>
  <r>
    <s v="4000006878"/>
    <s v="76201342-8"/>
    <s v="KNAUF CHILE SPA"/>
    <s v="6701186785"/>
    <s v="ZPCD"/>
    <s v="50"/>
    <x v="0"/>
    <s v=""/>
    <s v="C004"/>
    <s v="E874"/>
    <m/>
    <s v="Local"/>
    <x v="0"/>
    <s v="Construccion"/>
    <x v="0"/>
    <s v="430401007"/>
    <s v="1246707"/>
    <s v="AQUAPANEL MORTERO SUP. BLANCO 25KG"/>
    <n v="534"/>
    <n v="0"/>
    <s v="UN"/>
    <d v="2025-03-26T00:00:00"/>
    <n v="3"/>
    <d v="2025-03-27T00:00:00"/>
    <m/>
    <x v="2"/>
    <n v="2025"/>
    <n v="7930968"/>
    <n v="0"/>
  </r>
  <r>
    <s v="4000006878"/>
    <s v="76201342-8"/>
    <s v="KNAUF CHILE SPA"/>
    <s v="6701186785"/>
    <s v="ZPCD"/>
    <s v="60"/>
    <x v="0"/>
    <s v=""/>
    <s v="C004"/>
    <s v="E874"/>
    <m/>
    <s v="Local"/>
    <x v="0"/>
    <s v="Construccion"/>
    <x v="0"/>
    <s v="430507002"/>
    <s v="938731"/>
    <s v="SERVICIO FLETE"/>
    <n v="534"/>
    <n v="0"/>
    <s v="UN"/>
    <d v="2025-03-26T00:00:00"/>
    <n v="3"/>
    <d v="2025-03-27T00:00:00"/>
    <m/>
    <x v="2"/>
    <n v="2025"/>
    <n v="53400"/>
    <n v="0"/>
  </r>
  <r>
    <s v="4000006878"/>
    <s v="76201342-8"/>
    <s v="KNAUF CHILE SPA"/>
    <s v="6701171829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30"/>
    <n v="0"/>
    <s v="UN"/>
    <d v="2025-02-27T00:00:00"/>
    <n v="2"/>
    <d v="2025-03-12T00:00:00"/>
    <m/>
    <x v="2"/>
    <n v="2025"/>
    <n v="972510"/>
    <n v="0"/>
  </r>
  <r>
    <s v="4000006878"/>
    <s v="76201342-8"/>
    <s v="KNAUF CHILE SPA"/>
    <s v="6701171829"/>
    <s v="ZPCD"/>
    <s v="20"/>
    <x v="0"/>
    <s v=""/>
    <s v="C004"/>
    <s v="E652"/>
    <m/>
    <s v="Local"/>
    <x v="0"/>
    <s v="Construccion"/>
    <x v="0"/>
    <s v="430507002"/>
    <s v="938731"/>
    <s v="SERVICIO FLETE"/>
    <n v="30"/>
    <n v="0"/>
    <s v="UN"/>
    <d v="2025-02-27T00:00:00"/>
    <n v="2"/>
    <d v="2025-03-12T00:00:00"/>
    <m/>
    <x v="2"/>
    <n v="2025"/>
    <n v="10350"/>
    <n v="0"/>
  </r>
  <r>
    <s v="4000006878"/>
    <s v="76201342-8"/>
    <s v="KNAUF CHILE SPA"/>
    <s v="6701182016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48"/>
    <n v="45.6"/>
    <s v="M2"/>
    <d v="2025-03-19T00:00:00"/>
    <n v="3"/>
    <d v="2025-03-19T00:00:00"/>
    <d v="2025-03-31T00:00:00"/>
    <x v="2"/>
    <n v="2025"/>
    <n v="994032"/>
    <n v="944330"/>
  </r>
  <r>
    <s v="4000006878"/>
    <s v="76201342-8"/>
    <s v="KNAUF CHILE SPA"/>
    <s v="6701185633"/>
    <s v="ZPCD"/>
    <s v="10"/>
    <x v="0"/>
    <s v="101"/>
    <s v="C004"/>
    <s v="E512"/>
    <m/>
    <s v="Local"/>
    <x v="0"/>
    <s v="Construccion"/>
    <x v="0"/>
    <s v="430503006"/>
    <s v="1232497"/>
    <s v="PL YESO CARTON RF 15X1200X2400MM KNAUF"/>
    <n v="140"/>
    <n v="140"/>
    <s v="UN"/>
    <d v="2025-03-25T00:00:00"/>
    <n v="3"/>
    <d v="2025-03-25T00:00:00"/>
    <d v="2025-03-31T00:00:00"/>
    <x v="2"/>
    <n v="2025"/>
    <n v="966000"/>
    <n v="966000"/>
  </r>
  <r>
    <s v="4000006878"/>
    <s v="76201342-8"/>
    <s v="KNAUF CHILE SPA"/>
    <s v="6701185708"/>
    <s v="ZPCD"/>
    <s v="10"/>
    <x v="0"/>
    <s v="101"/>
    <s v="C004"/>
    <s v="E512"/>
    <m/>
    <s v="Local"/>
    <x v="0"/>
    <s v="Construccion"/>
    <x v="0"/>
    <s v="430503006"/>
    <s v="1232496"/>
    <s v="PL YESO CARTON RH 15X1200X2400MM KNAUF"/>
    <n v="70"/>
    <n v="70"/>
    <s v="UN"/>
    <d v="2025-03-24T00:00:00"/>
    <n v="3"/>
    <d v="2025-03-24T00:00:00"/>
    <d v="2025-03-31T00:00:00"/>
    <x v="2"/>
    <n v="2025"/>
    <n v="692300"/>
    <n v="692300"/>
  </r>
  <r>
    <s v="4000006878"/>
    <s v="76201342-8"/>
    <s v="KNAUF CHILE SPA"/>
    <s v="6701185708"/>
    <s v="ZPCD"/>
    <s v="20"/>
    <x v="0"/>
    <s v="101"/>
    <s v="C004"/>
    <s v="E512"/>
    <m/>
    <s v="Local"/>
    <x v="0"/>
    <s v="Construccion"/>
    <x v="0"/>
    <s v="430503006"/>
    <s v="1232497"/>
    <s v="PL YESO CARTON RF 15X1200X2400MM KNAUF"/>
    <n v="70"/>
    <n v="70"/>
    <s v="UN"/>
    <d v="2025-03-24T00:00:00"/>
    <n v="3"/>
    <d v="2025-03-24T00:00:00"/>
    <d v="2025-03-31T00:00:00"/>
    <x v="2"/>
    <n v="2025"/>
    <n v="491120"/>
    <n v="491120"/>
  </r>
  <r>
    <s v="4000006878"/>
    <s v="76201342-8"/>
    <s v="KNAUF CHILE SPA"/>
    <s v="6701150751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511.2"/>
    <n v="192"/>
    <s v="M2"/>
    <d v="2025-01-14T00:00:00"/>
    <n v="1"/>
    <d v="2025-01-17T00:00:00"/>
    <d v="2025-03-13T00:00:00"/>
    <x v="2"/>
    <n v="2025"/>
    <n v="10586441"/>
    <n v="3976128"/>
  </r>
  <r>
    <s v="4000006878"/>
    <s v="76201342-8"/>
    <s v="KNAUF CHILE SPA"/>
    <s v="6701161121"/>
    <s v="ZPCD"/>
    <s v="10"/>
    <x v="0"/>
    <s v="101"/>
    <s v="C004"/>
    <s v="E522"/>
    <m/>
    <s v="Local"/>
    <x v="0"/>
    <s v="Construccion"/>
    <x v="0"/>
    <s v="430507002"/>
    <s v="1459339"/>
    <s v="PANELES HERADESIGN SF ALPHA AK01 NATURAL"/>
    <n v="205"/>
    <n v="205"/>
    <s v="UN"/>
    <d v="2025-02-04T00:00:00"/>
    <n v="2"/>
    <d v="2025-02-05T00:00:00"/>
    <d v="2025-03-05T00:00:00"/>
    <x v="2"/>
    <n v="2025"/>
    <n v="8135630"/>
    <n v="8135630"/>
  </r>
  <r>
    <s v="4000006878"/>
    <s v="76201342-8"/>
    <s v="KNAUF CHILE SPA"/>
    <s v="6701161121"/>
    <s v="ZPCD"/>
    <s v="20"/>
    <x v="0"/>
    <s v="101"/>
    <s v="C004"/>
    <s v="E522"/>
    <m/>
    <s v="Local"/>
    <x v="0"/>
    <s v="Construccion"/>
    <x v="0"/>
    <s v="430507002"/>
    <s v="1459340"/>
    <s v="TORNILLO HERADESIGN SCREW"/>
    <n v="11"/>
    <n v="11"/>
    <s v="UN"/>
    <d v="2025-02-04T00:00:00"/>
    <n v="2"/>
    <d v="2025-02-05T00:00:00"/>
    <d v="2025-03-05T00:00:00"/>
    <x v="2"/>
    <n v="2025"/>
    <n v="631686"/>
    <n v="631686"/>
  </r>
  <r>
    <s v="4000006878"/>
    <s v="76201342-8"/>
    <s v="KNAUF CHILE SPA"/>
    <s v="6701161121"/>
    <s v="ZPCD"/>
    <s v="30"/>
    <x v="0"/>
    <s v="101"/>
    <s v="C004"/>
    <s v="E522"/>
    <m/>
    <s v="Local"/>
    <x v="0"/>
    <s v="Construccion"/>
    <x v="0"/>
    <s v="430507002"/>
    <s v="938731"/>
    <s v="SERVICIO FLETE"/>
    <n v="1"/>
    <n v="1"/>
    <s v="UN"/>
    <d v="2025-02-04T00:00:00"/>
    <n v="2"/>
    <d v="2025-02-05T00:00:00"/>
    <d v="2025-03-05T00:00:00"/>
    <x v="2"/>
    <n v="2025"/>
    <n v="58000"/>
    <n v="58000"/>
  </r>
  <r>
    <s v="4000006878"/>
    <s v="76201342-8"/>
    <s v="KNAUF CHILE SPA"/>
    <s v="6701151252"/>
    <s v="ZPCD"/>
    <s v="40"/>
    <x v="0"/>
    <s v="101"/>
    <s v="C004"/>
    <s v="E512"/>
    <m/>
    <s v="Local"/>
    <x v="0"/>
    <s v="Construccion"/>
    <x v="0"/>
    <s v="430503006"/>
    <s v="1232496"/>
    <s v="PL YESO CARTON RH 15X1200X2400MM KNAUF"/>
    <n v="368"/>
    <n v="368"/>
    <s v="UN"/>
    <d v="2025-01-14T00:00:00"/>
    <n v="1"/>
    <d v="2025-01-17T00:00:00"/>
    <d v="2025-03-13T00:00:00"/>
    <x v="2"/>
    <n v="2025"/>
    <n v="3254592"/>
    <n v="3254592"/>
  </r>
  <r>
    <s v="4000006878"/>
    <s v="76201342-8"/>
    <s v="KNAUF CHILE SPA"/>
    <s v="6508308060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06T00:00:00"/>
    <n v="3"/>
    <d v="2025-03-18T00:00:00"/>
    <d v="2025-03-18T00:00:00"/>
    <x v="2"/>
    <n v="2025"/>
    <n v="1405320"/>
    <n v="1405320"/>
  </r>
  <r>
    <s v="4000006878"/>
    <s v="76201342-8"/>
    <s v="KNAUF CHILE SPA"/>
    <s v="6508308061"/>
    <s v="ZPMC"/>
    <s v="10"/>
    <x v="1"/>
    <s v="101"/>
    <s v="C004"/>
    <s v="E843"/>
    <m/>
    <s v="Local"/>
    <x v="0"/>
    <s v="Construccion"/>
    <x v="0"/>
    <s v="430506002"/>
    <s v="1347335"/>
    <s v="VP YESO REPARED FIX AND FINISH 1.5KG"/>
    <n v="4"/>
    <n v="3.5"/>
    <s v="CS"/>
    <d v="2025-03-06T00:00:00"/>
    <n v="3"/>
    <d v="2025-03-18T00:00:00"/>
    <d v="2025-03-18T00:00:00"/>
    <x v="2"/>
    <n v="2025"/>
    <n v="70400"/>
    <n v="61600"/>
  </r>
  <r>
    <s v="4000006878"/>
    <s v="76201342-8"/>
    <s v="KNAUF CHILE SPA"/>
    <s v="6508308062"/>
    <s v="ZPMC"/>
    <s v="10"/>
    <x v="1"/>
    <s v="101"/>
    <s v="C004"/>
    <s v="E874"/>
    <m/>
    <s v="Local"/>
    <x v="0"/>
    <s v="Construccion"/>
    <x v="0"/>
    <s v="430506002"/>
    <s v="1347335"/>
    <s v="VP YESO REPARED FIX AND FINISH 1.5KG"/>
    <n v="2"/>
    <n v="2"/>
    <s v="CS"/>
    <d v="2025-03-06T00:00:00"/>
    <n v="3"/>
    <d v="2025-03-18T00:00:00"/>
    <d v="2025-03-17T00:00:00"/>
    <x v="2"/>
    <n v="2025"/>
    <n v="35200"/>
    <n v="35200"/>
  </r>
  <r>
    <s v="4000006878"/>
    <s v="76201342-8"/>
    <s v="KNAUF CHILE SPA"/>
    <s v="6508308062"/>
    <s v="ZPMC"/>
    <s v="20"/>
    <x v="1"/>
    <s v="101"/>
    <s v="C004"/>
    <s v="E874"/>
    <m/>
    <s v="Local"/>
    <x v="0"/>
    <s v="Construccion"/>
    <x v="0"/>
    <s v="430506002"/>
    <s v="1347337"/>
    <s v="MASILLA READYMAS FIX AND FINISH 1.5KG"/>
    <n v="2"/>
    <n v="1.8129999999999999"/>
    <s v="CS"/>
    <d v="2025-03-06T00:00:00"/>
    <n v="3"/>
    <d v="2025-03-18T00:00:00"/>
    <d v="2025-03-17T00:00:00"/>
    <x v="2"/>
    <n v="2025"/>
    <n v="46400"/>
    <n v="42050"/>
  </r>
  <r>
    <s v="4000006878"/>
    <s v="76201342-8"/>
    <s v="KNAUF CHILE SPA"/>
    <s v="6508308063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3-06T00:00:00"/>
    <n v="3"/>
    <d v="2025-03-18T00:00:00"/>
    <d v="2025-03-17T00:00:00"/>
    <x v="2"/>
    <n v="2025"/>
    <n v="1405320"/>
    <n v="1405320"/>
  </r>
  <r>
    <s v="4000006878"/>
    <s v="76201342-8"/>
    <s v="KNAUF CHILE SPA"/>
    <s v="6508322441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4T00:00:00"/>
    <x v="2"/>
    <n v="2025"/>
    <n v="1405320"/>
    <n v="1405320"/>
  </r>
  <r>
    <s v="4000006878"/>
    <s v="76201342-8"/>
    <s v="KNAUF CHILE SPA"/>
    <s v="6508322442"/>
    <s v="ZPMC"/>
    <s v="10"/>
    <x v="1"/>
    <s v="101"/>
    <s v="C004"/>
    <s v="E521"/>
    <m/>
    <s v="Local"/>
    <x v="0"/>
    <s v="Construccion"/>
    <x v="0"/>
    <s v="430503006"/>
    <s v="1232375"/>
    <s v="PL YESO CARTON ST BR 8X1200X2400 MM KNAU"/>
    <n v="1"/>
    <n v="1"/>
    <s v="PAL"/>
    <d v="2025-03-14T00:00:00"/>
    <n v="3"/>
    <d v="2025-03-26T00:00:00"/>
    <d v="2025-03-25T00:00:00"/>
    <x v="2"/>
    <n v="2025"/>
    <n v="418720"/>
    <n v="418720"/>
  </r>
  <r>
    <s v="4000006878"/>
    <s v="76201342-8"/>
    <s v="KNAUF CHILE SPA"/>
    <s v="6508322442"/>
    <s v="ZPMC"/>
    <s v="20"/>
    <x v="1"/>
    <s v="101"/>
    <s v="C004"/>
    <s v="E521"/>
    <m/>
    <s v="Local"/>
    <x v="0"/>
    <s v="Construccion"/>
    <x v="0"/>
    <s v="430503006"/>
    <s v="1232378"/>
    <s v="PL YESO CARTON ST BR 10X1200X2400 MM KNA"/>
    <n v="3"/>
    <n v="3"/>
    <s v="PAL"/>
    <d v="2025-03-14T00:00:00"/>
    <n v="3"/>
    <d v="2025-03-26T00:00:00"/>
    <d v="2025-03-25T00:00:00"/>
    <x v="2"/>
    <n v="2025"/>
    <n v="1053990"/>
    <n v="1053990"/>
  </r>
  <r>
    <s v="4000006878"/>
    <s v="76201342-8"/>
    <s v="KNAUF CHILE SPA"/>
    <s v="6508322442"/>
    <s v="ZPMC"/>
    <s v="30"/>
    <x v="1"/>
    <s v="101"/>
    <s v="C004"/>
    <s v="E521"/>
    <m/>
    <s v="Local"/>
    <x v="0"/>
    <s v="Construccion"/>
    <x v="0"/>
    <s v="430503006"/>
    <s v="1232379"/>
    <s v="PL YESO CARTON ST BR 15X1200X2400 MM KNA"/>
    <n v="4"/>
    <n v="4"/>
    <s v="PAL"/>
    <d v="2025-03-14T00:00:00"/>
    <n v="3"/>
    <d v="2025-03-26T00:00:00"/>
    <d v="2025-03-25T00:00:00"/>
    <x v="2"/>
    <n v="2025"/>
    <n v="1406000"/>
    <n v="1406000"/>
  </r>
  <r>
    <s v="4000006878"/>
    <s v="76201342-8"/>
    <s v="KNAUF CHILE SPA"/>
    <s v="6508322443"/>
    <s v="ZPMC"/>
    <s v="10"/>
    <x v="1"/>
    <s v="101"/>
    <s v="C004"/>
    <s v="E843"/>
    <m/>
    <s v="Local"/>
    <x v="0"/>
    <s v="Construccion"/>
    <x v="0"/>
    <s v="430503006"/>
    <s v="1232376"/>
    <s v="PL YESO CARTON RF 12.5X1200X2400 MM KNAU"/>
    <n v="1"/>
    <n v="1"/>
    <s v="PAL"/>
    <d v="2025-03-14T00:00:00"/>
    <n v="3"/>
    <d v="2025-03-26T00:00:00"/>
    <d v="2025-03-20T00:00:00"/>
    <x v="2"/>
    <n v="2025"/>
    <n v="517860"/>
    <n v="517860"/>
  </r>
  <r>
    <s v="4000006878"/>
    <s v="76201342-8"/>
    <s v="KNAUF CHILE SPA"/>
    <s v="6508322443"/>
    <s v="ZPMC"/>
    <s v="2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0T00:00:00"/>
    <x v="2"/>
    <n v="2025"/>
    <n v="1405320"/>
    <n v="1405320"/>
  </r>
  <r>
    <s v="4000006878"/>
    <s v="76201342-8"/>
    <s v="KNAUF CHILE SPA"/>
    <s v="6508322444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1T00:00:00"/>
    <x v="2"/>
    <n v="2025"/>
    <n v="1405320"/>
    <n v="1405320"/>
  </r>
  <r>
    <s v="4000006878"/>
    <s v="76201342-8"/>
    <s v="KNAUF CHILE SPA"/>
    <s v="6701155128"/>
    <s v="ZPCD"/>
    <s v="10"/>
    <x v="0"/>
    <s v="101"/>
    <s v="C004"/>
    <s v="E652"/>
    <m/>
    <s v="Local"/>
    <x v="0"/>
    <s v="Construccion"/>
    <x v="0"/>
    <s v="430506002"/>
    <s v="1192671"/>
    <s v="YESO PROYECTADO 25KG"/>
    <n v="5000"/>
    <n v="2300"/>
    <s v="UN"/>
    <d v="2025-01-23T00:00:00"/>
    <n v="1"/>
    <d v="2025-05-30T00:00:00"/>
    <d v="2025-03-27T00:00:00"/>
    <x v="2"/>
    <n v="2025"/>
    <n v="29335000"/>
    <n v="13494100"/>
  </r>
  <r>
    <s v="4000006878"/>
    <s v="76201342-8"/>
    <s v="KNAUF CHILE SPA"/>
    <s v="6701169018"/>
    <s v="ZPCD"/>
    <s v="10"/>
    <x v="0"/>
    <s v="101"/>
    <s v="C004"/>
    <s v="E512"/>
    <m/>
    <s v="Local"/>
    <x v="0"/>
    <s v="Construccion"/>
    <x v="0"/>
    <s v="430503006"/>
    <s v="1232497"/>
    <s v="PL YESO CARTON RF 15X1200X2400MM KNAUF"/>
    <n v="140"/>
    <n v="140"/>
    <s v="UN"/>
    <d v="2025-02-20T00:00:00"/>
    <n v="2"/>
    <d v="2025-02-26T00:00:00"/>
    <d v="2025-03-10T00:00:00"/>
    <x v="2"/>
    <n v="2025"/>
    <n v="966000"/>
    <n v="966000"/>
  </r>
  <r>
    <s v="4000006878"/>
    <s v="76201342-8"/>
    <s v="KNAUF CHILE SPA"/>
    <s v="6701169018"/>
    <s v="ZPCD"/>
    <s v="20"/>
    <x v="0"/>
    <s v="101"/>
    <s v="C004"/>
    <s v="E512"/>
    <m/>
    <s v="Local"/>
    <x v="0"/>
    <s v="Construccion"/>
    <x v="0"/>
    <s v="430507002"/>
    <s v="938731"/>
    <s v="SERVICIO FLETE"/>
    <n v="1"/>
    <n v="1"/>
    <s v="UN"/>
    <d v="2025-02-20T00:00:00"/>
    <n v="2"/>
    <d v="2025-02-26T00:00:00"/>
    <d v="2025-03-10T00:00:00"/>
    <x v="2"/>
    <n v="2025"/>
    <n v="65000"/>
    <n v="65000"/>
  </r>
  <r>
    <s v="4000006878"/>
    <s v="76201342-8"/>
    <s v="KNAUF CHILE SPA"/>
    <s v="6701158452"/>
    <s v="ZPCD"/>
    <s v="10"/>
    <x v="0"/>
    <s v="101"/>
    <s v="C004"/>
    <s v="E652"/>
    <m/>
    <s v="Local"/>
    <x v="0"/>
    <s v="Construccion"/>
    <x v="0"/>
    <s v="430507002"/>
    <s v="1465435"/>
    <s v="AQUAPANEL WAT BARRIER 1.5M X 50M 50"/>
    <n v="5"/>
    <n v="5"/>
    <s v="UN"/>
    <d v="2025-01-30T00:00:00"/>
    <n v="1"/>
    <d v="2025-01-31T00:00:00"/>
    <d v="2025-03-06T00:00:00"/>
    <x v="2"/>
    <n v="2025"/>
    <n v="742385"/>
    <n v="742385"/>
  </r>
  <r>
    <s v="4000006878"/>
    <s v="76201342-8"/>
    <s v="KNAUF CHILE SPA"/>
    <s v="6701158643"/>
    <s v="ZPCD"/>
    <s v="10"/>
    <x v="0"/>
    <s v="101"/>
    <s v="C004"/>
    <s v="E652"/>
    <m/>
    <s v="Local"/>
    <x v="0"/>
    <s v="Construccion"/>
    <x v="0"/>
    <s v="430507002"/>
    <s v="1465092"/>
    <s v="PL AQUAPANEL INDOOR 12.5MM 120X300"/>
    <n v="287"/>
    <n v="287"/>
    <s v="UN"/>
    <d v="2025-01-30T00:00:00"/>
    <n v="1"/>
    <d v="2025-03-31T00:00:00"/>
    <d v="2025-03-06T00:00:00"/>
    <x v="2"/>
    <n v="2025"/>
    <n v="8861699"/>
    <n v="8861699"/>
  </r>
  <r>
    <s v="4000006878"/>
    <s v="76201342-8"/>
    <s v="KNAUF CHILE SPA"/>
    <s v="6701174394"/>
    <s v="ZPCD"/>
    <s v="10"/>
    <x v="0"/>
    <s v="101"/>
    <s v="C004"/>
    <s v="E652"/>
    <m/>
    <s v="Local"/>
    <x v="0"/>
    <s v="Construccion"/>
    <x v="0"/>
    <s v="430503006"/>
    <s v="1246703"/>
    <s v="AQUAPANEL PL OUTDOOR 12.5MM 1.20X2.4"/>
    <n v="20"/>
    <n v="20"/>
    <s v="UN"/>
    <d v="2025-03-04T00:00:00"/>
    <n v="3"/>
    <d v="2025-06-04T00:00:00"/>
    <d v="2025-03-12T00:00:00"/>
    <x v="2"/>
    <n v="2025"/>
    <n v="674260"/>
    <n v="674260"/>
  </r>
  <r>
    <s v="4000006878"/>
    <s v="76201342-8"/>
    <s v="KNAUF CHILE SPA"/>
    <s v="6701174394"/>
    <s v="ZPCD"/>
    <s v="20"/>
    <x v="0"/>
    <s v="101"/>
    <s v="C004"/>
    <s v="E652"/>
    <m/>
    <s v="Local"/>
    <x v="0"/>
    <s v="Construccion"/>
    <x v="0"/>
    <s v="430507002"/>
    <s v="938731"/>
    <s v="SERVICIO FLETE"/>
    <n v="1"/>
    <n v="1"/>
    <s v="UN"/>
    <d v="2025-03-04T00:00:00"/>
    <n v="3"/>
    <d v="2025-06-04T00:00:00"/>
    <d v="2025-03-12T00:00:00"/>
    <x v="2"/>
    <n v="2025"/>
    <n v="58000"/>
    <n v="58000"/>
  </r>
  <r>
    <s v="4000006878"/>
    <s v="76201342-8"/>
    <s v="KNAUF CHILE SPA"/>
    <s v="6701174526"/>
    <s v="ZPCD"/>
    <s v="10"/>
    <x v="0"/>
    <s v="101"/>
    <s v="C004"/>
    <s v="E507"/>
    <m/>
    <s v="Local"/>
    <x v="0"/>
    <s v="Construccion"/>
    <x v="0"/>
    <s v="430506002"/>
    <s v="1192671"/>
    <s v="YESO PROYECTADO 25KG"/>
    <n v="42"/>
    <n v="42"/>
    <s v="UN"/>
    <d v="2025-03-03T00:00:00"/>
    <n v="3"/>
    <d v="2025-03-04T00:00:00"/>
    <d v="2025-03-18T00:00:00"/>
    <x v="2"/>
    <n v="2025"/>
    <n v="250152"/>
    <n v="250152"/>
  </r>
  <r>
    <s v="4000006878"/>
    <s v="76201342-8"/>
    <s v="KNAUF CHILE SPA"/>
    <s v="6701174526"/>
    <s v="ZPCD"/>
    <s v="20"/>
    <x v="0"/>
    <s v="101"/>
    <s v="C004"/>
    <s v="E507"/>
    <m/>
    <s v="Local"/>
    <x v="0"/>
    <s v="Construccion"/>
    <x v="0"/>
    <s v="430406006"/>
    <s v="1249500"/>
    <s v="PUENTE ADHERENTE YESO BETOKONTAKT 20KG"/>
    <n v="3"/>
    <n v="3"/>
    <s v="UN"/>
    <d v="2025-03-03T00:00:00"/>
    <n v="3"/>
    <d v="2025-03-04T00:00:00"/>
    <d v="2025-03-18T00:00:00"/>
    <x v="2"/>
    <n v="2025"/>
    <n v="138165"/>
    <n v="138165"/>
  </r>
  <r>
    <s v="4000006878"/>
    <s v="76201342-8"/>
    <s v="KNAUF CHILE SPA"/>
    <s v="6701174526"/>
    <s v="ZPCD"/>
    <s v="3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3-03T00:00:00"/>
    <n v="3"/>
    <d v="2025-03-04T00:00:00"/>
    <d v="2025-03-18T00:00:00"/>
    <x v="2"/>
    <n v="2025"/>
    <n v="58000"/>
    <n v="58000"/>
  </r>
  <r>
    <s v="4000006878"/>
    <s v="76201342-8"/>
    <s v="KNAUF CHILE SPA"/>
    <s v="6701175247"/>
    <s v="ZPCD"/>
    <s v="10"/>
    <x v="0"/>
    <s v="101"/>
    <s v="C004"/>
    <s v="E507"/>
    <m/>
    <s v="Local"/>
    <x v="0"/>
    <s v="Construccion"/>
    <x v="0"/>
    <s v="430506002"/>
    <s v="1192671"/>
    <s v="YESO PROYECTADO 25KG"/>
    <n v="1000"/>
    <n v="1000"/>
    <s v="UN"/>
    <d v="2025-03-05T00:00:00"/>
    <n v="3"/>
    <d v="2025-03-06T00:00:00"/>
    <d v="2025-03-18T00:00:00"/>
    <x v="2"/>
    <n v="2025"/>
    <n v="5956000"/>
    <n v="5956000"/>
  </r>
  <r>
    <s v="4000006878"/>
    <s v="76201342-8"/>
    <s v="KNAUF CHILE SPA"/>
    <s v="6701175247"/>
    <s v="ZPCD"/>
    <s v="2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3-05T00:00:00"/>
    <n v="3"/>
    <d v="2025-03-06T00:00:00"/>
    <d v="2025-03-18T00:00:00"/>
    <x v="2"/>
    <n v="2025"/>
    <n v="1232500"/>
    <n v="1232500"/>
  </r>
  <r>
    <s v="4000006878"/>
    <s v="76201342-8"/>
    <s v="KNAUF CHILE SPA"/>
    <s v="670117549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480"/>
    <n v="6024480"/>
  </r>
  <r>
    <s v="4000006878"/>
    <s v="76201342-8"/>
    <s v="KNAUF CHILE SPA"/>
    <s v="670117549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648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270"/>
    <n v="6024270"/>
  </r>
  <r>
    <s v="4000006878"/>
    <s v="76201342-8"/>
    <s v="KNAUF CHILE SPA"/>
    <s v="6701175648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729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420"/>
    <n v="420"/>
    <s v="UN"/>
    <d v="2025-03-06T00:00:00"/>
    <n v="3"/>
    <d v="2025-03-07T00:00:00"/>
    <d v="2025-03-14T00:00:00"/>
    <x v="2"/>
    <n v="2025"/>
    <n v="12048960"/>
    <n v="12048960"/>
  </r>
  <r>
    <s v="4000006878"/>
    <s v="76201342-8"/>
    <s v="KNAUF CHILE SPA"/>
    <s v="6701175729"/>
    <s v="ZPCD"/>
    <s v="20"/>
    <x v="0"/>
    <s v="101"/>
    <s v="C004"/>
    <s v="E874"/>
    <m/>
    <s v="Local"/>
    <x v="0"/>
    <s v="Construccion"/>
    <x v="0"/>
    <s v="430507002"/>
    <s v="938731"/>
    <s v="SERVICIO FLETE"/>
    <n v="420"/>
    <n v="420"/>
    <s v="UN"/>
    <d v="2025-03-06T00:00:00"/>
    <n v="3"/>
    <d v="2025-03-07T00:00:00"/>
    <d v="2025-03-14T00:00:00"/>
    <x v="2"/>
    <n v="2025"/>
    <n v="77280"/>
    <n v="77280"/>
  </r>
  <r>
    <s v="4000006878"/>
    <s v="76201342-8"/>
    <s v="KNAUF CHILE SPA"/>
    <s v="670117573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480"/>
    <n v="6024480"/>
  </r>
  <r>
    <s v="4000006878"/>
    <s v="76201342-8"/>
    <s v="KNAUF CHILE SPA"/>
    <s v="670117573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838"/>
    <s v="ZPCD"/>
    <s v="10"/>
    <x v="0"/>
    <s v="101"/>
    <s v="C004"/>
    <s v="E652"/>
    <m/>
    <s v="Local"/>
    <x v="0"/>
    <s v="Construccion"/>
    <x v="0"/>
    <s v="430406006"/>
    <s v="1249500"/>
    <s v="PUENTE ADHERENTE YESO BETOKONTAKT 20KG"/>
    <n v="53"/>
    <n v="4"/>
    <s v="UN"/>
    <d v="2025-03-06T00:00:00"/>
    <n v="3"/>
    <d v="2026-03-07T00:00:00"/>
    <d v="2025-03-06T00:00:00"/>
    <x v="2"/>
    <n v="2025"/>
    <n v="2464659"/>
    <n v="186012"/>
  </r>
  <r>
    <s v="4000006878"/>
    <s v="76201342-8"/>
    <s v="KNAUF CHILE SPA"/>
    <s v="6701175847"/>
    <s v="ZPCD"/>
    <s v="10"/>
    <x v="0"/>
    <s v="101"/>
    <s v="C004"/>
    <s v="E507"/>
    <m/>
    <s v="Local"/>
    <x v="0"/>
    <s v="Construccion"/>
    <x v="0"/>
    <s v="430503006"/>
    <s v="1460191"/>
    <s v="CENEFA MULTIFORM ESTÁNDAR 12.5"/>
    <n v="492"/>
    <n v="492"/>
    <s v="UN"/>
    <d v="2025-03-06T00:00:00"/>
    <n v="3"/>
    <d v="2025-03-07T00:00:00"/>
    <d v="2025-03-10T00:00:00"/>
    <x v="2"/>
    <n v="2025"/>
    <n v="12229152"/>
    <n v="12229152"/>
  </r>
  <r>
    <s v="4000006878"/>
    <s v="76201342-8"/>
    <s v="KNAUF CHILE SPA"/>
    <s v="6701175938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4T00:00:00"/>
    <x v="2"/>
    <n v="2025"/>
    <n v="6024480"/>
    <n v="6024480"/>
  </r>
  <r>
    <s v="4000006878"/>
    <s v="76201342-8"/>
    <s v="KNAUF CHILE SPA"/>
    <s v="6701175938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4T00:00:00"/>
    <x v="2"/>
    <n v="2025"/>
    <n v="38640"/>
    <n v="38640"/>
  </r>
  <r>
    <s v="4000006878"/>
    <s v="76201342-8"/>
    <s v="KNAUF CHILE SPA"/>
    <s v="670117815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14T00:00:00"/>
    <n v="3"/>
    <d v="2025-03-14T00:00:00"/>
    <d v="2025-03-28T00:00:00"/>
    <x v="2"/>
    <n v="2025"/>
    <n v="6024480"/>
    <n v="6024480"/>
  </r>
  <r>
    <s v="4000006878"/>
    <s v="76201342-8"/>
    <s v="KNAUF CHILE SPA"/>
    <s v="670117815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14T00:00:00"/>
    <n v="3"/>
    <d v="2025-03-14T00:00:00"/>
    <d v="2025-03-28T00:00:00"/>
    <x v="2"/>
    <n v="2025"/>
    <n v="38640"/>
    <n v="38640"/>
  </r>
  <r>
    <s v="4000006878"/>
    <s v="76201342-8"/>
    <s v="KNAUF CHILE SPA"/>
    <s v="6701179083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595"/>
    <n v="595"/>
    <s v="UN"/>
    <d v="2025-03-13T00:00:00"/>
    <n v="3"/>
    <d v="2025-03-14T00:00:00"/>
    <d v="2025-03-27T00:00:00"/>
    <x v="2"/>
    <n v="2025"/>
    <n v="17069360"/>
    <n v="17069360"/>
  </r>
  <r>
    <s v="4000006878"/>
    <s v="76201342-8"/>
    <s v="KNAUF CHILE SPA"/>
    <s v="6701179083"/>
    <s v="ZPCD"/>
    <s v="20"/>
    <x v="0"/>
    <s v="101"/>
    <s v="C004"/>
    <s v="E874"/>
    <m/>
    <s v="Local"/>
    <x v="0"/>
    <s v="Construccion"/>
    <x v="0"/>
    <s v="430507002"/>
    <s v="938731"/>
    <s v="SERVICIO FLETE"/>
    <n v="595"/>
    <n v="595"/>
    <s v="UN"/>
    <d v="2025-03-13T00:00:00"/>
    <n v="3"/>
    <d v="2025-03-14T00:00:00"/>
    <d v="2025-03-27T00:00:00"/>
    <x v="2"/>
    <n v="2025"/>
    <n v="109480"/>
    <n v="109480"/>
  </r>
  <r>
    <s v="4000006878"/>
    <s v="76201342-8"/>
    <s v="KNAUF CHILE SPA"/>
    <s v="6701179083"/>
    <s v="ZPCD"/>
    <s v="30"/>
    <x v="0"/>
    <s v="101"/>
    <s v="C004"/>
    <s v="E874"/>
    <m/>
    <s v="Local"/>
    <x v="0"/>
    <s v="Construccion"/>
    <x v="0"/>
    <s v="430503006"/>
    <s v="1370563"/>
    <s v="PLACA KNAUF IMPACT 12.5MM 1200X3000"/>
    <n v="600"/>
    <n v="300"/>
    <s v="UN"/>
    <d v="2025-03-13T00:00:00"/>
    <n v="3"/>
    <d v="2025-03-14T00:00:00"/>
    <d v="2025-03-27T00:00:00"/>
    <x v="2"/>
    <n v="2025"/>
    <n v="5385000"/>
    <n v="2692500"/>
  </r>
  <r>
    <s v="4000006878"/>
    <s v="76201342-8"/>
    <s v="KNAUF CHILE SPA"/>
    <s v="6701179083"/>
    <s v="ZPCD"/>
    <s v="40"/>
    <x v="0"/>
    <s v="101"/>
    <s v="C004"/>
    <s v="E874"/>
    <m/>
    <s v="Local"/>
    <x v="0"/>
    <s v="Construccion"/>
    <x v="0"/>
    <s v="430507002"/>
    <s v="938731"/>
    <s v="SERVICIO FLETE"/>
    <n v="600"/>
    <n v="300"/>
    <s v="UN"/>
    <d v="2025-03-13T00:00:00"/>
    <n v="3"/>
    <d v="2025-03-14T00:00:00"/>
    <d v="2025-03-27T00:00:00"/>
    <x v="2"/>
    <n v="2025"/>
    <n v="103800"/>
    <n v="51900"/>
  </r>
  <r>
    <s v="4000006878"/>
    <s v="76201342-8"/>
    <s v="KNAUF CHILE SPA"/>
    <s v="6701179735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16.8"/>
    <n v="16.8"/>
    <s v="M2"/>
    <d v="2025-03-14T00:00:00"/>
    <n v="3"/>
    <d v="2025-03-18T00:00:00"/>
    <d v="2025-03-25T00:00:00"/>
    <x v="2"/>
    <n v="2025"/>
    <n v="353254"/>
    <n v="353254"/>
  </r>
  <r>
    <s v="4000006878"/>
    <s v="76201342-8"/>
    <s v="KNAUF CHILE SPA"/>
    <s v="6508286288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6"/>
    <n v="6"/>
    <s v="PAL"/>
    <d v="2025-02-21T00:00:00"/>
    <n v="2"/>
    <d v="2025-03-05T00:00:00"/>
    <d v="2025-03-05T00:00:00"/>
    <x v="2"/>
    <n v="2025"/>
    <n v="2107980"/>
    <n v="2107980"/>
  </r>
  <r>
    <s v="4000006878"/>
    <s v="76201342-8"/>
    <s v="KNAUF CHILE SPA"/>
    <s v="6508286288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2"/>
    <n v="2"/>
    <s v="PAL"/>
    <d v="2025-02-21T00:00:00"/>
    <n v="2"/>
    <d v="2025-03-05T00:00:00"/>
    <d v="2025-03-05T00:00:00"/>
    <x v="2"/>
    <n v="2025"/>
    <n v="703000"/>
    <n v="703000"/>
  </r>
  <r>
    <s v="4000006878"/>
    <s v="76201342-8"/>
    <s v="KNAUF CHILE SPA"/>
    <s v="6508286289"/>
    <s v="ZPMC"/>
    <s v="10"/>
    <x v="1"/>
    <s v=""/>
    <s v="C004"/>
    <s v="E517"/>
    <m/>
    <s v="Local"/>
    <x v="0"/>
    <s v="Construccion"/>
    <x v="0"/>
    <s v="430503004"/>
    <s v="1230790"/>
    <s v="MASILLA BASE KNAUF 20KG"/>
    <n v="200"/>
    <n v="0"/>
    <s v="UN"/>
    <d v="2025-02-21T00:00:00"/>
    <n v="2"/>
    <d v="2025-03-05T00:00:00"/>
    <m/>
    <x v="2"/>
    <n v="2025"/>
    <n v="1739200"/>
    <n v="0"/>
  </r>
  <r>
    <s v="4000006878"/>
    <s v="76201342-8"/>
    <s v="KNAUF CHILE SPA"/>
    <s v="6701147461"/>
    <s v="ZPCD"/>
    <s v="10"/>
    <x v="0"/>
    <s v=""/>
    <s v="C004"/>
    <s v="E652"/>
    <m/>
    <s v="Local"/>
    <x v="0"/>
    <s v="Construccion"/>
    <x v="0"/>
    <s v="430507002"/>
    <s v="1458174"/>
    <s v="CIELO MODULAR CMF MERCURE 60X60 CMS"/>
    <n v="35"/>
    <n v="0"/>
    <s v="UN"/>
    <d v="2025-01-07T00:00:00"/>
    <n v="1"/>
    <d v="2025-04-07T00:00:00"/>
    <m/>
    <x v="3"/>
    <n v="2025"/>
    <n v="1480395"/>
    <n v="0"/>
  </r>
  <r>
    <s v="4000006878"/>
    <s v="76201342-8"/>
    <s v="KNAUF CHILE SPA"/>
    <s v="6701147461"/>
    <s v="ZPCD"/>
    <s v="20"/>
    <x v="0"/>
    <s v=""/>
    <s v="C004"/>
    <s v="E652"/>
    <m/>
    <s v="Local"/>
    <x v="0"/>
    <s v="Construccion"/>
    <x v="0"/>
    <s v="430507002"/>
    <s v="1458175"/>
    <s v="PERFIL PRINCIPAL 9/16 3050 MM LD 25"/>
    <n v="5"/>
    <n v="0"/>
    <s v="UN"/>
    <d v="2025-01-07T00:00:00"/>
    <n v="1"/>
    <d v="2025-04-07T00:00:00"/>
    <m/>
    <x v="3"/>
    <n v="2025"/>
    <n v="357795"/>
    <n v="0"/>
  </r>
  <r>
    <s v="4000006878"/>
    <s v="76201342-8"/>
    <s v="KNAUF CHILE SPA"/>
    <s v="6701147461"/>
    <s v="ZPCD"/>
    <s v="30"/>
    <x v="0"/>
    <s v=""/>
    <s v="C004"/>
    <s v="E652"/>
    <m/>
    <s v="Local"/>
    <x v="0"/>
    <s v="Construccion"/>
    <x v="0"/>
    <s v="430507002"/>
    <s v="1458176"/>
    <s v="PERFIL SECUNDARIO 9/16 1220 MM LD 50"/>
    <n v="14"/>
    <n v="0"/>
    <s v="UN"/>
    <d v="2025-01-07T00:00:00"/>
    <n v="1"/>
    <d v="2025-04-07T00:00:00"/>
    <m/>
    <x v="3"/>
    <n v="2025"/>
    <n v="732032"/>
    <n v="0"/>
  </r>
  <r>
    <s v="4000006878"/>
    <s v="76201342-8"/>
    <s v="KNAUF CHILE SPA"/>
    <s v="6701147461"/>
    <s v="ZPCD"/>
    <s v="40"/>
    <x v="0"/>
    <s v=""/>
    <s v="C004"/>
    <s v="E652"/>
    <m/>
    <s v="Local"/>
    <x v="0"/>
    <s v="Construccion"/>
    <x v="0"/>
    <s v="430507002"/>
    <s v="1458177"/>
    <s v="PERFIL METÁLICO TRAV 9/16 610 MM LD 50"/>
    <n v="14"/>
    <n v="0"/>
    <s v="UN"/>
    <d v="2025-01-07T00:00:00"/>
    <n v="1"/>
    <d v="2025-04-07T00:00:00"/>
    <m/>
    <x v="3"/>
    <n v="2025"/>
    <n v="353248"/>
    <n v="0"/>
  </r>
  <r>
    <s v="4000006878"/>
    <s v="76201342-8"/>
    <s v="KNAUF CHILE SPA"/>
    <s v="6701147461"/>
    <s v="ZPCD"/>
    <s v="50"/>
    <x v="0"/>
    <s v=""/>
    <s v="C004"/>
    <s v="E652"/>
    <m/>
    <s v="Local"/>
    <x v="0"/>
    <s v="Construccion"/>
    <x v="0"/>
    <s v="430507002"/>
    <s v="1458178"/>
    <s v="PERFIL ACERO PERIM 20/20 3000 MM 50"/>
    <n v="3"/>
    <n v="0"/>
    <s v="UN"/>
    <d v="2025-01-07T00:00:00"/>
    <n v="1"/>
    <d v="2025-04-07T00:00:00"/>
    <m/>
    <x v="3"/>
    <n v="2025"/>
    <n v="257097"/>
    <n v="0"/>
  </r>
  <r>
    <s v="4000006878"/>
    <s v="76201342-8"/>
    <s v="KNAUF CHILE SPA"/>
    <s v="6701147461"/>
    <s v="ZPCD"/>
    <s v="60"/>
    <x v="0"/>
    <s v=""/>
    <s v="C004"/>
    <s v="E652"/>
    <m/>
    <s v="Local"/>
    <x v="0"/>
    <s v="Construccion"/>
    <x v="0"/>
    <s v="430507002"/>
    <s v="1458179"/>
    <s v="CIELO MOD.THERMATEX /ANTA BOARD 60X60CM"/>
    <n v="60"/>
    <n v="0"/>
    <s v="UN"/>
    <d v="2025-01-07T00:00:00"/>
    <n v="1"/>
    <d v="2025-04-07T00:00:00"/>
    <m/>
    <x v="3"/>
    <n v="2025"/>
    <n v="3987960"/>
    <n v="0"/>
  </r>
  <r>
    <s v="4000006878"/>
    <s v="76201342-8"/>
    <s v="KNAUF CHILE SPA"/>
    <s v="6701147461"/>
    <s v="ZPCD"/>
    <s v="70"/>
    <x v="0"/>
    <s v=""/>
    <s v="C004"/>
    <s v="E652"/>
    <m/>
    <s v="Local"/>
    <x v="0"/>
    <s v="Construccion"/>
    <x v="0"/>
    <s v="430507002"/>
    <s v="938731"/>
    <s v="SERVICIO FLETE"/>
    <n v="2"/>
    <n v="0"/>
    <s v="UN"/>
    <d v="2025-01-07T00:00:00"/>
    <n v="1"/>
    <d v="2025-04-07T00:00:00"/>
    <m/>
    <x v="3"/>
    <n v="2025"/>
    <n v="116000"/>
    <n v="0"/>
  </r>
  <r>
    <s v="4000006878"/>
    <s v="76201342-8"/>
    <s v="KNAUF CHILE SPA"/>
    <s v="6701185887"/>
    <s v="ZPCD"/>
    <s v="10"/>
    <x v="0"/>
    <s v="101"/>
    <s v="C004"/>
    <s v="E508"/>
    <m/>
    <s v="Local"/>
    <x v="0"/>
    <s v="Construccion"/>
    <x v="0"/>
    <s v="430502003"/>
    <s v="1239233"/>
    <s v="PLACA IMPACT 15MM 120X240"/>
    <n v="15"/>
    <n v="15"/>
    <s v="UN"/>
    <d v="2025-03-25T00:00:00"/>
    <n v="3"/>
    <d v="2025-04-04T00:00:00"/>
    <d v="2025-04-03T00:00:00"/>
    <x v="3"/>
    <n v="2025"/>
    <n v="221400"/>
    <n v="221400"/>
  </r>
  <r>
    <s v="4000006878"/>
    <s v="76201342-8"/>
    <s v="KNAUF CHILE SPA"/>
    <s v="6701185887"/>
    <s v="ZPCD"/>
    <s v="20"/>
    <x v="0"/>
    <s v="101"/>
    <s v="C004"/>
    <s v="E508"/>
    <m/>
    <s v="Local"/>
    <x v="0"/>
    <s v="Construccion"/>
    <x v="0"/>
    <s v="430506002"/>
    <s v="1249225"/>
    <s v="PEGAMENTO PERLFIX 25 KGS"/>
    <n v="8"/>
    <n v="8"/>
    <s v="UN"/>
    <d v="2025-03-25T00:00:00"/>
    <n v="3"/>
    <d v="2025-04-04T00:00:00"/>
    <d v="2025-04-03T00:00:00"/>
    <x v="3"/>
    <n v="2025"/>
    <n v="93768"/>
    <n v="93768"/>
  </r>
  <r>
    <s v="4000006878"/>
    <s v="76201342-8"/>
    <s v="KNAUF CHILE SPA"/>
    <s v="6701182871"/>
    <s v="ZPCD"/>
    <s v="10"/>
    <x v="0"/>
    <s v="101"/>
    <s v="C004"/>
    <s v="E988"/>
    <m/>
    <s v="Local"/>
    <x v="0"/>
    <s v="Construccion"/>
    <x v="0"/>
    <s v="430503006"/>
    <s v="1246703"/>
    <s v="AQUAPANEL PL OUTDOOR 12.5MM 1.20X2.4"/>
    <n v="70"/>
    <n v="70"/>
    <s v="UN"/>
    <d v="2025-03-21T00:00:00"/>
    <n v="3"/>
    <d v="2025-03-26T00:00:00"/>
    <d v="2025-04-01T00:00:00"/>
    <x v="3"/>
    <n v="2025"/>
    <n v="2065000"/>
    <n v="2065000"/>
  </r>
  <r>
    <s v="4000006878"/>
    <s v="76201342-8"/>
    <s v="KNAUF CHILE SPA"/>
    <s v="6701182871"/>
    <s v="ZPCD"/>
    <s v="20"/>
    <x v="0"/>
    <s v="101"/>
    <s v="C004"/>
    <s v="E988"/>
    <m/>
    <s v="Local"/>
    <x v="0"/>
    <s v="Construccion"/>
    <x v="0"/>
    <s v="430507002"/>
    <s v="938731"/>
    <s v="SERVICIO FLETE"/>
    <n v="70"/>
    <n v="70"/>
    <s v="UN"/>
    <d v="2025-03-21T00:00:00"/>
    <n v="3"/>
    <d v="2025-03-26T00:00:00"/>
    <d v="2025-04-01T00:00:00"/>
    <x v="3"/>
    <n v="2025"/>
    <n v="74970"/>
    <n v="74970"/>
  </r>
  <r>
    <s v="4000006878"/>
    <s v="76201342-8"/>
    <s v="KNAUF CHILE SPA"/>
    <s v="6701193792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5"/>
    <n v="5"/>
    <s v="UN"/>
    <d v="2025-04-04T00:00:00"/>
    <n v="4"/>
    <d v="2025-07-04T00:00:00"/>
    <d v="2025-04-23T00:00:00"/>
    <x v="3"/>
    <n v="2025"/>
    <n v="391675"/>
    <n v="391675"/>
  </r>
  <r>
    <s v="4000006878"/>
    <s v="76201342-8"/>
    <s v="KNAUF CHILE SPA"/>
    <s v="6701193792"/>
    <s v="ZPCD"/>
    <s v="20"/>
    <x v="0"/>
    <s v="101"/>
    <s v="C004"/>
    <s v="E652"/>
    <n v="1"/>
    <s v="Local"/>
    <x v="0"/>
    <s v="Construccion"/>
    <x v="0"/>
    <s v="430502002"/>
    <s v="1266133"/>
    <s v="PRINCIAPAL 15/16 VT243660ML 25"/>
    <n v="1"/>
    <n v="1"/>
    <s v="UN"/>
    <d v="2025-04-04T00:00:00"/>
    <n v="4"/>
    <d v="2025-07-04T00:00:00"/>
    <d v="2025-04-23T00:00:00"/>
    <x v="3"/>
    <n v="2025"/>
    <n v="101023"/>
    <n v="101023"/>
  </r>
  <r>
    <s v="4000006878"/>
    <s v="76201342-8"/>
    <s v="KNAUF CHILE SPA"/>
    <s v="6701193792"/>
    <s v="ZPCD"/>
    <s v="30"/>
    <x v="0"/>
    <s v="101"/>
    <s v="C004"/>
    <s v="E652"/>
    <n v="1"/>
    <s v="Local"/>
    <x v="0"/>
    <s v="Construccion"/>
    <x v="0"/>
    <s v="430502002"/>
    <s v="1266134"/>
    <s v="SECUNDARIO 15/16 VT24 1220ML 50"/>
    <n v="1"/>
    <n v="1"/>
    <s v="UN"/>
    <d v="2025-04-04T00:00:00"/>
    <n v="4"/>
    <d v="2025-07-04T00:00:00"/>
    <d v="2025-04-23T00:00:00"/>
    <x v="3"/>
    <n v="2025"/>
    <n v="74149"/>
    <n v="74149"/>
  </r>
  <r>
    <s v="4000006878"/>
    <s v="76201342-8"/>
    <s v="KNAUF CHILE SPA"/>
    <s v="6701193792"/>
    <s v="ZPCD"/>
    <s v="50"/>
    <x v="0"/>
    <s v="101"/>
    <s v="C004"/>
    <s v="E652"/>
    <n v="1"/>
    <s v="Local"/>
    <x v="0"/>
    <s v="Construccion"/>
    <x v="0"/>
    <s v="430502002"/>
    <s v="1266136"/>
    <s v="PERIMETRAL 20/20 3000MM 50"/>
    <n v="1"/>
    <n v="1"/>
    <s v="UN"/>
    <d v="2025-04-04T00:00:00"/>
    <n v="4"/>
    <d v="2025-07-04T00:00:00"/>
    <d v="2025-04-23T00:00:00"/>
    <x v="3"/>
    <n v="2025"/>
    <n v="97587"/>
    <n v="97587"/>
  </r>
  <r>
    <s v="4000006878"/>
    <s v="76201342-8"/>
    <s v="KNAUF CHILE SPA"/>
    <s v="6701194320"/>
    <s v="ZPCD"/>
    <s v="10"/>
    <x v="0"/>
    <s v="101"/>
    <s v="C004"/>
    <s v="E507"/>
    <n v="1"/>
    <s v="Local"/>
    <x v="0"/>
    <s v="Construccion"/>
    <x v="0"/>
    <s v="430503006"/>
    <s v="1441557"/>
    <s v="PLACA AQUAPANEL RESIDENCIAL 8 1200X2400"/>
    <n v="720"/>
    <n v="720"/>
    <s v="UN"/>
    <d v="2025-04-04T00:00:00"/>
    <n v="4"/>
    <d v="2025-04-04T00:00:00"/>
    <d v="2025-04-30T00:00:00"/>
    <x v="3"/>
    <n v="2025"/>
    <n v="14312160"/>
    <n v="14312160"/>
  </r>
  <r>
    <s v="4000006878"/>
    <s v="76201342-8"/>
    <s v="KNAUF CHILE SPA"/>
    <s v="6701187222"/>
    <s v="ZPCD"/>
    <s v="10"/>
    <x v="0"/>
    <s v="101"/>
    <s v="C004"/>
    <s v="E652"/>
    <m/>
    <s v="Local"/>
    <x v="0"/>
    <s v="Construccion"/>
    <x v="0"/>
    <s v="430503001"/>
    <s v="1246706"/>
    <s v="AQUAPANEL CINTA EXT. 0.10X50"/>
    <n v="14"/>
    <n v="14"/>
    <s v="UN"/>
    <d v="2025-03-27T00:00:00"/>
    <n v="3"/>
    <d v="2025-04-04T00:00:00"/>
    <d v="2025-04-03T00:00:00"/>
    <x v="3"/>
    <n v="2025"/>
    <n v="189140"/>
    <n v="189140"/>
  </r>
  <r>
    <s v="4000006878"/>
    <s v="76201342-8"/>
    <s v="KNAUF CHILE SPA"/>
    <s v="6701187222"/>
    <s v="ZPCD"/>
    <s v="20"/>
    <x v="0"/>
    <s v="101"/>
    <s v="C004"/>
    <s v="E652"/>
    <m/>
    <s v="Local"/>
    <x v="0"/>
    <s v="Construccion"/>
    <x v="0"/>
    <s v="430401007"/>
    <s v="1246707"/>
    <s v="AQUAPANEL MORTERO SUP. BLANCO 25KG"/>
    <n v="16"/>
    <n v="16"/>
    <s v="UN"/>
    <d v="2025-03-27T00:00:00"/>
    <n v="3"/>
    <d v="2025-04-04T00:00:00"/>
    <d v="2025-04-03T00:00:00"/>
    <x v="3"/>
    <n v="2025"/>
    <n v="250560"/>
    <n v="250560"/>
  </r>
  <r>
    <s v="4000006878"/>
    <s v="76201342-8"/>
    <s v="KNAUF CHILE SPA"/>
    <s v="6701187222"/>
    <s v="ZPCD"/>
    <s v="30"/>
    <x v="0"/>
    <s v="101"/>
    <s v="C004"/>
    <s v="E652"/>
    <m/>
    <s v="Local"/>
    <x v="0"/>
    <s v="Construccion"/>
    <x v="0"/>
    <s v="430503006"/>
    <s v="1448820"/>
    <s v="AQUAPANEL PLACA SKYLITE 8MM 900X1200MM"/>
    <n v="399"/>
    <n v="399"/>
    <s v="UN"/>
    <d v="2025-03-27T00:00:00"/>
    <n v="3"/>
    <d v="2025-04-04T00:00:00"/>
    <d v="2025-04-03T00:00:00"/>
    <x v="3"/>
    <n v="2025"/>
    <n v="4300023"/>
    <n v="4300023"/>
  </r>
  <r>
    <s v="4000006878"/>
    <s v="76201342-8"/>
    <s v="KNAUF CHILE SPA"/>
    <s v="6701190183"/>
    <s v="ZPCD"/>
    <s v="10"/>
    <x v="0"/>
    <s v=""/>
    <s v="C004"/>
    <s v="E874"/>
    <m/>
    <s v="Local"/>
    <x v="0"/>
    <s v="Construccion"/>
    <x v="0"/>
    <s v="430201001"/>
    <s v="896692"/>
    <s v="BANDA ACUSTICA 70MM ANCHO ROLLO X 30 M"/>
    <n v="300"/>
    <n v="0"/>
    <s v="ROM"/>
    <d v="2025-03-31T00:00:00"/>
    <n v="3"/>
    <d v="2025-04-01T00:00:00"/>
    <m/>
    <x v="3"/>
    <n v="2025"/>
    <n v="3628800"/>
    <n v="0"/>
  </r>
  <r>
    <s v="4000006878"/>
    <s v="76201342-8"/>
    <s v="KNAUF CHILE SPA"/>
    <s v="6701190183"/>
    <s v="ZPCD"/>
    <s v="20"/>
    <x v="0"/>
    <s v=""/>
    <s v="C004"/>
    <s v="E874"/>
    <m/>
    <s v="Local"/>
    <x v="0"/>
    <s v="Construccion"/>
    <x v="0"/>
    <s v="430507002"/>
    <s v="938731"/>
    <s v="SERVICIO FLETE"/>
    <n v="300"/>
    <n v="0"/>
    <s v="UN"/>
    <d v="2025-03-31T00:00:00"/>
    <n v="3"/>
    <d v="2025-04-01T00:00:00"/>
    <m/>
    <x v="3"/>
    <n v="2025"/>
    <n v="1200"/>
    <n v="0"/>
  </r>
  <r>
    <s v="4000006878"/>
    <s v="76201342-8"/>
    <s v="KNAUF CHILE SPA"/>
    <s v="6701190183"/>
    <s v="ZPCD"/>
    <s v="30"/>
    <x v="0"/>
    <s v=""/>
    <s v="C004"/>
    <s v="E874"/>
    <m/>
    <s v="Local"/>
    <x v="0"/>
    <s v="Construccion"/>
    <x v="0"/>
    <s v="430503004"/>
    <s v="1247551"/>
    <s v="ACUAPANEL JUNTA PARA CINTA EX 0.10X50"/>
    <n v="305"/>
    <n v="0"/>
    <s v="UN"/>
    <d v="2025-03-31T00:00:00"/>
    <n v="3"/>
    <d v="2025-04-01T00:00:00"/>
    <m/>
    <x v="3"/>
    <n v="2025"/>
    <n v="3908270"/>
    <n v="0"/>
  </r>
  <r>
    <s v="4000006878"/>
    <s v="76201342-8"/>
    <s v="KNAUF CHILE SPA"/>
    <s v="6701190183"/>
    <s v="ZPCD"/>
    <s v="40"/>
    <x v="0"/>
    <s v=""/>
    <s v="C004"/>
    <s v="E874"/>
    <m/>
    <s v="Local"/>
    <x v="0"/>
    <s v="Construccion"/>
    <x v="0"/>
    <s v="430507002"/>
    <s v="938731"/>
    <s v="SERVICIO FLETE"/>
    <n v="305"/>
    <n v="0"/>
    <s v="UN"/>
    <d v="2025-03-31T00:00:00"/>
    <n v="3"/>
    <d v="2025-04-01T00:00:00"/>
    <m/>
    <x v="3"/>
    <n v="2025"/>
    <n v="2440"/>
    <n v="0"/>
  </r>
  <r>
    <s v="4000006878"/>
    <s v="76201342-8"/>
    <s v="KNAUF CHILE SPA"/>
    <s v="6701190183"/>
    <s v="ZPCD"/>
    <s v="50"/>
    <x v="0"/>
    <s v=""/>
    <s v="C004"/>
    <s v="E874"/>
    <m/>
    <s v="Local"/>
    <x v="0"/>
    <s v="Construccion"/>
    <x v="0"/>
    <s v="430401007"/>
    <s v="1246707"/>
    <s v="AQUAPANEL MORTERO SUP. BLANCO 25KG"/>
    <n v="534"/>
    <n v="0"/>
    <s v="UN"/>
    <d v="2025-03-31T00:00:00"/>
    <n v="3"/>
    <d v="2025-04-01T00:00:00"/>
    <m/>
    <x v="3"/>
    <n v="2025"/>
    <n v="7930968"/>
    <n v="0"/>
  </r>
  <r>
    <s v="4000006878"/>
    <s v="76201342-8"/>
    <s v="KNAUF CHILE SPA"/>
    <s v="6701190183"/>
    <s v="ZPCD"/>
    <s v="60"/>
    <x v="0"/>
    <s v=""/>
    <s v="C004"/>
    <s v="E874"/>
    <m/>
    <s v="Local"/>
    <x v="0"/>
    <s v="Construccion"/>
    <x v="0"/>
    <s v="430507002"/>
    <s v="938731"/>
    <s v="SERVICIO FLETE"/>
    <n v="534"/>
    <n v="0"/>
    <s v="UN"/>
    <d v="2025-03-31T00:00:00"/>
    <n v="3"/>
    <d v="2025-04-01T00:00:00"/>
    <m/>
    <x v="3"/>
    <n v="2025"/>
    <n v="53400"/>
    <n v="0"/>
  </r>
  <r>
    <s v="4000006878"/>
    <s v="76201342-8"/>
    <s v="KNAUF CHILE SPA"/>
    <s v="6508358306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6"/>
    <n v="6"/>
    <s v="PAL"/>
    <d v="2025-04-04T00:00:00"/>
    <n v="4"/>
    <d v="2025-04-17T00:00:00"/>
    <d v="2025-04-11T00:00:00"/>
    <x v="3"/>
    <n v="2025"/>
    <n v="2107980"/>
    <n v="2107980"/>
  </r>
  <r>
    <s v="4000006878"/>
    <s v="76201342-8"/>
    <s v="KNAUF CHILE SPA"/>
    <s v="6508358306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1T00:00:00"/>
    <x v="3"/>
    <n v="2025"/>
    <n v="703000"/>
    <n v="703000"/>
  </r>
  <r>
    <s v="4000006878"/>
    <s v="76201342-8"/>
    <s v="KNAUF CHILE SPA"/>
    <s v="6508358307"/>
    <s v="ZPMC"/>
    <s v="10"/>
    <x v="1"/>
    <s v=""/>
    <s v="C004"/>
    <s v="E521"/>
    <n v="1"/>
    <s v="Local"/>
    <x v="0"/>
    <s v="Construccion"/>
    <x v="0"/>
    <s v="430503006"/>
    <s v="1232375"/>
    <s v="PL YESO CARTON ST BR 8X1200X2400 MM KNAU"/>
    <n v="1"/>
    <n v="0"/>
    <s v="PAL"/>
    <d v="2025-04-04T00:00:00"/>
    <n v="4"/>
    <d v="2025-04-17T00:00:00"/>
    <m/>
    <x v="3"/>
    <n v="2025"/>
    <n v="418720"/>
    <n v="0"/>
  </r>
  <r>
    <s v="4000006878"/>
    <s v="76201342-8"/>
    <s v="KNAUF CHILE SPA"/>
    <s v="6508358307"/>
    <s v="ZPMC"/>
    <s v="20"/>
    <x v="1"/>
    <s v="101"/>
    <s v="C004"/>
    <s v="E521"/>
    <n v="1"/>
    <s v="Local"/>
    <x v="0"/>
    <s v="Construccion"/>
    <x v="0"/>
    <s v="430503006"/>
    <s v="1232376"/>
    <s v="PL YESO CARTON RF 12.5X1200X2400 MM KNAU"/>
    <n v="3"/>
    <n v="3"/>
    <s v="PAL"/>
    <d v="2025-04-04T00:00:00"/>
    <n v="4"/>
    <d v="2025-04-17T00:00:00"/>
    <d v="2025-04-10T00:00:00"/>
    <x v="3"/>
    <n v="2025"/>
    <n v="1553580"/>
    <n v="1553580"/>
  </r>
  <r>
    <s v="4000006878"/>
    <s v="76201342-8"/>
    <s v="KNAUF CHILE SPA"/>
    <s v="6508358307"/>
    <s v="ZPMC"/>
    <s v="30"/>
    <x v="1"/>
    <s v="101"/>
    <s v="C004"/>
    <s v="E521"/>
    <n v="1"/>
    <s v="Local"/>
    <x v="0"/>
    <s v="Construccion"/>
    <x v="0"/>
    <s v="430503006"/>
    <s v="1232378"/>
    <s v="PL YESO CARTON ST BR 10X1200X2400 MM KNA"/>
    <n v="6"/>
    <n v="6"/>
    <s v="PAL"/>
    <d v="2025-04-04T00:00:00"/>
    <n v="4"/>
    <d v="2025-04-17T00:00:00"/>
    <d v="2025-04-10T00:00:00"/>
    <x v="3"/>
    <n v="2025"/>
    <n v="2107980"/>
    <n v="2107980"/>
  </r>
  <r>
    <s v="4000006878"/>
    <s v="76201342-8"/>
    <s v="KNAUF CHILE SPA"/>
    <s v="6508358307"/>
    <s v="ZPMC"/>
    <s v="4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0T00:00:00"/>
    <x v="3"/>
    <n v="2025"/>
    <n v="703000"/>
    <n v="703000"/>
  </r>
  <r>
    <s v="4000006878"/>
    <s v="76201342-8"/>
    <s v="KNAUF CHILE SPA"/>
    <s v="6508358308"/>
    <s v="ZPMC"/>
    <s v="10"/>
    <x v="1"/>
    <s v="101"/>
    <s v="C004"/>
    <s v="E843"/>
    <n v="1"/>
    <s v="Local"/>
    <x v="0"/>
    <s v="Construccion"/>
    <x v="0"/>
    <s v="430503006"/>
    <s v="1232376"/>
    <s v="PL YESO CARTON RF 12.5X1200X2400 MM KNAU"/>
    <n v="1"/>
    <n v="1"/>
    <s v="PAL"/>
    <d v="2025-04-04T00:00:00"/>
    <n v="4"/>
    <d v="2025-04-17T00:00:00"/>
    <d v="2025-04-10T00:00:00"/>
    <x v="3"/>
    <n v="2025"/>
    <n v="517860"/>
    <n v="517860"/>
  </r>
  <r>
    <s v="4000006878"/>
    <s v="76201342-8"/>
    <s v="KNAUF CHILE SPA"/>
    <s v="6508358308"/>
    <s v="ZPMC"/>
    <s v="20"/>
    <x v="1"/>
    <s v="101"/>
    <s v="C004"/>
    <s v="E843"/>
    <n v="1"/>
    <s v="Local"/>
    <x v="0"/>
    <s v="Construccion"/>
    <x v="0"/>
    <s v="430503006"/>
    <s v="1232378"/>
    <s v="PL YESO CARTON ST BR 10X1200X2400 MM KNA"/>
    <n v="4"/>
    <n v="4"/>
    <s v="PAL"/>
    <d v="2025-04-04T00:00:00"/>
    <n v="4"/>
    <d v="2025-04-17T00:00:00"/>
    <d v="2025-04-10T00:00:00"/>
    <x v="3"/>
    <n v="2025"/>
    <n v="1405320"/>
    <n v="1405320"/>
  </r>
  <r>
    <s v="4000006878"/>
    <s v="76201342-8"/>
    <s v="KNAUF CHILE SPA"/>
    <s v="6508358309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04T00:00:00"/>
    <n v="4"/>
    <d v="2025-04-17T00:00:00"/>
    <d v="2025-04-11T00:00:00"/>
    <x v="3"/>
    <n v="2025"/>
    <n v="1405320"/>
    <n v="1405320"/>
  </r>
  <r>
    <s v="4000006878"/>
    <s v="76201342-8"/>
    <s v="KNAUF CHILE SPA"/>
    <s v="6508358309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1T00:00:00"/>
    <x v="3"/>
    <n v="2025"/>
    <n v="703000"/>
    <n v="703000"/>
  </r>
  <r>
    <s v="4000006878"/>
    <s v="76201342-8"/>
    <s v="KNAUF CHILE SPA"/>
    <s v="6508370459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4-11T00:00:00"/>
    <n v="4"/>
    <d v="2025-04-24T00:00:00"/>
    <d v="2025-04-23T00:00:00"/>
    <x v="3"/>
    <n v="2025"/>
    <n v="1405320"/>
    <n v="1405320"/>
  </r>
  <r>
    <s v="4000006878"/>
    <s v="76201342-8"/>
    <s v="KNAUF CHILE SPA"/>
    <s v="6508370459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4-11T00:00:00"/>
    <n v="4"/>
    <d v="2025-04-24T00:00:00"/>
    <d v="2025-04-23T00:00:00"/>
    <x v="3"/>
    <n v="2025"/>
    <n v="1406000"/>
    <n v="1406000"/>
  </r>
  <r>
    <s v="4000006878"/>
    <s v="76201342-8"/>
    <s v="KNAUF CHILE SPA"/>
    <s v="6508370460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11T00:00:00"/>
    <n v="4"/>
    <d v="2025-04-24T00:00:00"/>
    <d v="2025-04-24T00:00:00"/>
    <x v="3"/>
    <n v="2025"/>
    <n v="1405320"/>
    <n v="1405320"/>
  </r>
  <r>
    <s v="4000006878"/>
    <s v="76201342-8"/>
    <s v="KNAUF CHILE SPA"/>
    <s v="6508370460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11T00:00:00"/>
    <n v="4"/>
    <d v="2025-04-24T00:00:00"/>
    <d v="2025-04-24T00:00:00"/>
    <x v="3"/>
    <n v="2025"/>
    <n v="703000"/>
    <n v="703000"/>
  </r>
  <r>
    <s v="4000006878"/>
    <s v="76201342-8"/>
    <s v="KNAUF CHILE SPA"/>
    <s v="6701191298"/>
    <s v="ZPCD"/>
    <s v="10"/>
    <x v="0"/>
    <s v=""/>
    <s v="C004"/>
    <s v="E591"/>
    <n v="1"/>
    <s v="Local"/>
    <x v="0"/>
    <s v="Construccion"/>
    <x v="0"/>
    <s v="430503006"/>
    <s v="1266349"/>
    <s v="YESO CARTON ST BR 10X1200X2400 MM"/>
    <n v="1120"/>
    <n v="0"/>
    <s v="UN"/>
    <d v="2025-04-01T00:00:00"/>
    <n v="4"/>
    <d v="2025-04-02T00:00:00"/>
    <m/>
    <x v="3"/>
    <n v="2025"/>
    <n v="4857440"/>
    <n v="0"/>
  </r>
  <r>
    <s v="4000006878"/>
    <s v="76201342-8"/>
    <s v="KNAUF CHILE SPA"/>
    <s v="6508334636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5"/>
    <n v="5"/>
    <s v="PAL"/>
    <d v="2025-03-21T00:00:00"/>
    <n v="3"/>
    <d v="2025-04-02T00:00:00"/>
    <d v="2025-04-02T00:00:00"/>
    <x v="3"/>
    <n v="2025"/>
    <n v="1756650"/>
    <n v="1756650"/>
  </r>
  <r>
    <s v="4000006878"/>
    <s v="76201342-8"/>
    <s v="KNAUF CHILE SPA"/>
    <s v="6508334636"/>
    <s v="ZPMC"/>
    <s v="20"/>
    <x v="1"/>
    <s v="101"/>
    <s v="C004"/>
    <s v="E521"/>
    <m/>
    <s v="Local"/>
    <x v="0"/>
    <s v="Construccion"/>
    <x v="0"/>
    <s v="430503006"/>
    <s v="1232379"/>
    <s v="PL YESO CARTON ST BR 15X1200X2400 MM KNA"/>
    <n v="1"/>
    <n v="1"/>
    <s v="PAL"/>
    <d v="2025-03-21T00:00:00"/>
    <n v="3"/>
    <d v="2025-04-02T00:00:00"/>
    <d v="2025-04-02T00:00:00"/>
    <x v="3"/>
    <n v="2025"/>
    <n v="351500"/>
    <n v="351500"/>
  </r>
  <r>
    <s v="4000006878"/>
    <s v="76201342-8"/>
    <s v="KNAUF CHILE SPA"/>
    <s v="6508345015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28T00:00:00"/>
    <n v="3"/>
    <d v="2025-04-10T00:00:00"/>
    <d v="2025-04-08T00:00:00"/>
    <x v="3"/>
    <n v="2025"/>
    <n v="1405320"/>
    <n v="1405320"/>
  </r>
  <r>
    <s v="4000006878"/>
    <s v="76201342-8"/>
    <s v="KNAUF CHILE SPA"/>
    <s v="6508345015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2"/>
    <n v="2"/>
    <s v="PAL"/>
    <d v="2025-03-28T00:00:00"/>
    <n v="3"/>
    <d v="2025-04-10T00:00:00"/>
    <d v="2025-04-08T00:00:00"/>
    <x v="3"/>
    <n v="2025"/>
    <n v="703000"/>
    <n v="703000"/>
  </r>
  <r>
    <s v="4000006878"/>
    <s v="76201342-8"/>
    <s v="KNAUF CHILE SPA"/>
    <s v="6508345016"/>
    <s v="ZPMC"/>
    <s v="10"/>
    <x v="1"/>
    <s v="101"/>
    <s v="C004"/>
    <s v="E517"/>
    <m/>
    <s v="Local"/>
    <x v="0"/>
    <s v="Construccion"/>
    <x v="0"/>
    <s v="430503004"/>
    <s v="1230790"/>
    <s v="MASILLA BASE KNAUF 20KG"/>
    <n v="200"/>
    <n v="200"/>
    <s v="UN"/>
    <d v="2025-03-28T00:00:00"/>
    <n v="3"/>
    <d v="2025-04-10T00:00:00"/>
    <d v="2025-04-08T00:00:00"/>
    <x v="3"/>
    <n v="2025"/>
    <n v="1739200"/>
    <n v="1739200"/>
  </r>
  <r>
    <s v="4000006878"/>
    <s v="76201342-8"/>
    <s v="KNAUF CHILE SPA"/>
    <s v="6508345017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28T00:00:00"/>
    <n v="3"/>
    <d v="2025-04-10T00:00:00"/>
    <d v="2025-04-08T00:00:00"/>
    <x v="3"/>
    <n v="2025"/>
    <n v="1405320"/>
    <n v="1405320"/>
  </r>
  <r>
    <s v="4000006878"/>
    <s v="76201342-8"/>
    <s v="KNAUF CHILE SPA"/>
    <s v="6701197591"/>
    <s v="ZPCD"/>
    <s v="10"/>
    <x v="0"/>
    <s v="101"/>
    <s v="C004"/>
    <s v="E652"/>
    <n v="1"/>
    <s v="Local"/>
    <x v="0"/>
    <s v="Construccion"/>
    <x v="0"/>
    <s v="430201001"/>
    <s v="1246708"/>
    <s v="AQUAPANEL MALLA SUP. OUT /IND 1X50"/>
    <n v="5"/>
    <n v="5"/>
    <s v="UN"/>
    <d v="2025-04-10T00:00:00"/>
    <n v="4"/>
    <d v="2025-04-11T00:00:00"/>
    <d v="2025-04-22T00:00:00"/>
    <x v="3"/>
    <n v="2025"/>
    <n v="380450"/>
    <n v="380450"/>
  </r>
  <r>
    <s v="4000006878"/>
    <s v="76201342-8"/>
    <s v="KNAUF CHILE SPA"/>
    <s v="6701197834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10"/>
    <n v="10"/>
    <s v="UN"/>
    <d v="2025-04-10T00:00:00"/>
    <n v="4"/>
    <d v="2025-04-10T00:00:00"/>
    <d v="2025-04-22T00:00:00"/>
    <x v="3"/>
    <n v="2025"/>
    <n v="324170"/>
    <n v="324170"/>
  </r>
  <r>
    <s v="4000006878"/>
    <s v="76201342-8"/>
    <s v="KNAUF CHILE SPA"/>
    <s v="6701199820"/>
    <s v="ZPCD"/>
    <s v="10"/>
    <x v="0"/>
    <s v="101"/>
    <s v="C004"/>
    <s v="E507"/>
    <n v="1"/>
    <s v="Local"/>
    <x v="0"/>
    <s v="Construccion"/>
    <x v="0"/>
    <s v="430401007"/>
    <s v="1246707"/>
    <s v="AQUAPANEL MORTERO SUP. BLANCO 25KG"/>
    <n v="3"/>
    <n v="3"/>
    <s v="UN"/>
    <d v="2025-04-15T00:00:00"/>
    <n v="4"/>
    <d v="2025-04-16T00:00:00"/>
    <d v="2025-04-24T00:00:00"/>
    <x v="3"/>
    <n v="2025"/>
    <n v="49965"/>
    <n v="49965"/>
  </r>
  <r>
    <s v="4000006878"/>
    <s v="76201342-8"/>
    <s v="KNAUF CHILE SPA"/>
    <s v="6701194320"/>
    <s v="ZPCD"/>
    <s v="40"/>
    <x v="0"/>
    <s v="101"/>
    <s v="C004"/>
    <s v="E507"/>
    <n v="1"/>
    <s v="Local"/>
    <x v="0"/>
    <s v="Construccion"/>
    <x v="0"/>
    <s v="430507002"/>
    <s v="938731"/>
    <s v="SERVICIO FLETE"/>
    <n v="1"/>
    <n v="1"/>
    <s v="UN"/>
    <d v="2025-04-04T00:00:00"/>
    <n v="4"/>
    <d v="2025-04-04T00:00:00"/>
    <d v="2025-04-30T00:00:00"/>
    <x v="3"/>
    <n v="2025"/>
    <n v="58000"/>
    <n v="58000"/>
  </r>
  <r>
    <s v="4000006878"/>
    <s v="76201342-8"/>
    <s v="KNAUF CHILE SPA"/>
    <s v="6508382260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4-17T00:00:00"/>
    <n v="4"/>
    <d v="2025-04-30T00:00:00"/>
    <d v="2025-04-23T00:00:00"/>
    <x v="3"/>
    <n v="2025"/>
    <n v="1405320"/>
    <n v="1405320"/>
  </r>
  <r>
    <s v="4000006878"/>
    <s v="76201342-8"/>
    <s v="KNAUF CHILE SPA"/>
    <s v="6508382260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4-17T00:00:00"/>
    <n v="4"/>
    <d v="2025-04-30T00:00:00"/>
    <d v="2025-04-23T00:00:00"/>
    <x v="3"/>
    <n v="2025"/>
    <n v="703000"/>
    <n v="703000"/>
  </r>
  <r>
    <s v="4000006878"/>
    <s v="76201342-8"/>
    <s v="KNAUF CHILE SPA"/>
    <s v="6508382261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17T00:00:00"/>
    <n v="4"/>
    <d v="2025-04-30T00:00:00"/>
    <d v="2025-04-30T00:00:00"/>
    <x v="3"/>
    <n v="2025"/>
    <n v="1405320"/>
    <n v="1405320"/>
  </r>
  <r>
    <s v="4000006878"/>
    <s v="76201342-8"/>
    <s v="KNAUF CHILE SPA"/>
    <s v="6508382261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17T00:00:00"/>
    <n v="4"/>
    <d v="2025-04-30T00:00:00"/>
    <d v="2025-04-30T00:00:00"/>
    <x v="3"/>
    <n v="2025"/>
    <n v="703000"/>
    <n v="703000"/>
  </r>
  <r>
    <s v="4000006878"/>
    <s v="76201342-8"/>
    <s v="KNAUF CHILE SPA"/>
    <s v="6701200609"/>
    <s v="ZPCD"/>
    <s v="10"/>
    <x v="0"/>
    <s v=""/>
    <s v="C004"/>
    <s v="E652"/>
    <n v="1"/>
    <s v="Local"/>
    <x v="0"/>
    <s v="Construccion"/>
    <x v="0"/>
    <s v="430506002"/>
    <s v="1192671"/>
    <s v="YESO PROYECTADO 25KG"/>
    <n v="8650"/>
    <n v="0"/>
    <s v="UN"/>
    <d v="2025-04-17T00:00:00"/>
    <n v="4"/>
    <d v="2025-04-22T00:00:00"/>
    <m/>
    <x v="3"/>
    <n v="2025"/>
    <n v="48388100"/>
    <n v="0"/>
  </r>
  <r>
    <s v="4000006878"/>
    <s v="76201342-8"/>
    <s v="KNAUF CHILE SPA"/>
    <s v="6701200609"/>
    <s v="ZPCD"/>
    <s v="20"/>
    <x v="0"/>
    <s v=""/>
    <s v="C004"/>
    <s v="E652"/>
    <n v="1"/>
    <s v="Local"/>
    <x v="0"/>
    <s v="Construccion"/>
    <x v="0"/>
    <s v="430507002"/>
    <s v="938731"/>
    <s v="SERVICIO FLETE"/>
    <n v="8650"/>
    <n v="0"/>
    <s v="UN"/>
    <d v="2025-04-17T00:00:00"/>
    <n v="4"/>
    <d v="2025-04-22T00:00:00"/>
    <m/>
    <x v="3"/>
    <n v="2025"/>
    <n v="1626200"/>
    <n v="0"/>
  </r>
  <r>
    <s v="4000006878"/>
    <s v="76201342-8"/>
    <s v="KNAUF CHILE SPA"/>
    <s v="670120061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17T00:00:00"/>
    <n v="4"/>
    <d v="2025-04-22T00:00:00"/>
    <m/>
    <x v="3"/>
    <n v="2025"/>
    <n v="10379136"/>
    <n v="0"/>
  </r>
  <r>
    <s v="4000006878"/>
    <s v="76201342-8"/>
    <s v="KNAUF CHILE SPA"/>
    <s v="6701200610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4-17T00:00:00"/>
    <n v="4"/>
    <d v="2025-04-22T00:00:00"/>
    <m/>
    <x v="3"/>
    <n v="2025"/>
    <n v="28800"/>
    <n v="0"/>
  </r>
  <r>
    <s v="4000006878"/>
    <s v="76201342-8"/>
    <s v="KNAUF CHILE SPA"/>
    <s v="6701202721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22T00:00:00"/>
    <n v="4"/>
    <d v="2025-04-23T00:00:00"/>
    <m/>
    <x v="3"/>
    <n v="2025"/>
    <n v="11041536"/>
    <n v="0"/>
  </r>
  <r>
    <s v="4000006878"/>
    <s v="76201342-8"/>
    <s v="KNAUF CHILE SPA"/>
    <s v="6701202721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4-22T00:00:00"/>
    <n v="4"/>
    <d v="2025-04-23T00:00:00"/>
    <m/>
    <x v="3"/>
    <n v="2025"/>
    <n v="28800"/>
    <n v="0"/>
  </r>
  <r>
    <s v="4000006878"/>
    <s v="76201342-8"/>
    <s v="KNAUF CHILE SPA"/>
    <s v="670120364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25T00:00:00"/>
    <n v="4"/>
    <d v="2025-04-25T00:00:00"/>
    <m/>
    <x v="3"/>
    <n v="2025"/>
    <n v="11041536"/>
    <n v="0"/>
  </r>
  <r>
    <s v="4000006878"/>
    <s v="76201342-8"/>
    <s v="KNAUF CHILE SPA"/>
    <s v="6701194320"/>
    <s v="ZPCD"/>
    <s v="30"/>
    <x v="0"/>
    <s v="101"/>
    <s v="C004"/>
    <s v="E507"/>
    <n v="1"/>
    <s v="Local"/>
    <x v="0"/>
    <s v="Construccion"/>
    <x v="0"/>
    <s v="430507002"/>
    <s v="938731"/>
    <s v="SERVICIO FLETE"/>
    <n v="2"/>
    <n v="2"/>
    <s v="UN"/>
    <d v="2025-04-04T00:00:00"/>
    <n v="4"/>
    <d v="2025-04-04T00:00:00"/>
    <d v="2025-05-02T00:00:00"/>
    <x v="4"/>
    <n v="2025"/>
    <n v="150000"/>
    <n v="150000"/>
  </r>
  <r>
    <s v="4000006878"/>
    <s v="76201342-8"/>
    <s v="KNAUF CHILE SPA"/>
    <s v="6701205933"/>
    <s v="ZPCD"/>
    <s v="30"/>
    <x v="0"/>
    <s v="101"/>
    <s v="C004"/>
    <s v="E652"/>
    <n v="1"/>
    <s v="Local"/>
    <x v="0"/>
    <s v="Construccion"/>
    <x v="0"/>
    <s v="430503006"/>
    <s v="1232377"/>
    <s v="PL YESO CARTON RH 12.5X1200X2400 MM KNAU"/>
    <n v="1339"/>
    <n v="1361"/>
    <s v="UN"/>
    <d v="2025-04-29T00:00:00"/>
    <n v="4"/>
    <d v="2025-07-30T00:00:00"/>
    <d v="2025-05-23T00:00:00"/>
    <x v="4"/>
    <n v="2025"/>
    <n v="10698610"/>
    <n v="10874390"/>
  </r>
  <r>
    <s v="4000006878"/>
    <s v="76201342-8"/>
    <s v="KNAUF CHILE SPA"/>
    <s v="6701203449"/>
    <s v="ZPCD"/>
    <s v="10"/>
    <x v="0"/>
    <s v="101"/>
    <s v="C004"/>
    <s v="E507"/>
    <n v="1"/>
    <s v="Local"/>
    <x v="0"/>
    <s v="Construccion"/>
    <x v="0"/>
    <s v="430506002"/>
    <s v="1192671"/>
    <s v="YESO PROYECTADO 25KG"/>
    <n v="1098"/>
    <n v="730"/>
    <s v="UN"/>
    <d v="2025-04-25T00:00:00"/>
    <n v="4"/>
    <d v="2025-04-28T00:00:00"/>
    <d v="2025-05-19T00:00:00"/>
    <x v="4"/>
    <n v="2025"/>
    <n v="6529806"/>
    <n v="4341310"/>
  </r>
  <r>
    <s v="4000006878"/>
    <s v="76201342-8"/>
    <s v="KNAUF CHILE SPA"/>
    <s v="6701205933"/>
    <s v="ZPCD"/>
    <s v="80"/>
    <x v="0"/>
    <s v="101"/>
    <s v="C004"/>
    <s v="E652"/>
    <n v="1"/>
    <s v="Local"/>
    <x v="0"/>
    <s v="Construccion"/>
    <x v="0"/>
    <s v="430507002"/>
    <s v="938731"/>
    <s v="SERVICIO FLETE"/>
    <n v="949"/>
    <n v="367"/>
    <s v="UN"/>
    <d v="2025-04-29T00:00:00"/>
    <n v="4"/>
    <d v="2025-07-30T00:00:00"/>
    <d v="2025-05-14T00:00:00"/>
    <x v="4"/>
    <n v="2025"/>
    <n v="218270"/>
    <n v="84410"/>
  </r>
  <r>
    <s v="4000006878"/>
    <s v="76201342-8"/>
    <s v="KNAUF CHILE SPA"/>
    <s v="6701205933"/>
    <s v="ZPCD"/>
    <s v="90"/>
    <x v="0"/>
    <s v="101"/>
    <s v="C004"/>
    <s v="E652"/>
    <n v="1"/>
    <s v="Local"/>
    <x v="0"/>
    <s v="Construccion"/>
    <x v="0"/>
    <s v="430503004"/>
    <s v="1230790"/>
    <s v="MASILLA BASE KNAUF 20KG"/>
    <n v="564"/>
    <n v="80"/>
    <s v="UN"/>
    <d v="2025-04-29T00:00:00"/>
    <n v="4"/>
    <d v="2025-07-30T00:00:00"/>
    <d v="2025-05-14T00:00:00"/>
    <x v="4"/>
    <n v="2025"/>
    <n v="4283016"/>
    <n v="607520"/>
  </r>
  <r>
    <s v="4000006878"/>
    <s v="76201342-8"/>
    <s v="KNAUF CHILE SPA"/>
    <s v="6701205933"/>
    <s v="ZPCD"/>
    <s v="100"/>
    <x v="0"/>
    <s v="101"/>
    <s v="C004"/>
    <s v="E652"/>
    <n v="1"/>
    <s v="Local"/>
    <x v="0"/>
    <s v="Construccion"/>
    <x v="0"/>
    <s v="430507002"/>
    <s v="938731"/>
    <s v="SERVICIO FLETE"/>
    <n v="564"/>
    <n v="80"/>
    <s v="UN"/>
    <d v="2025-04-29T00:00:00"/>
    <n v="4"/>
    <d v="2025-07-30T00:00:00"/>
    <d v="2025-05-14T00:00:00"/>
    <x v="4"/>
    <n v="2025"/>
    <n v="84600"/>
    <n v="12000"/>
  </r>
  <r>
    <s v="4000006878"/>
    <s v="76201342-8"/>
    <s v="KNAUF CHILE SPA"/>
    <s v="6508394080"/>
    <s v="ZPMC"/>
    <s v="1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4-25T00:00:00"/>
    <n v="4"/>
    <d v="2025-05-08T00:00:00"/>
    <d v="2025-05-07T00:00:00"/>
    <x v="4"/>
    <n v="2025"/>
    <n v="1406000"/>
    <n v="1406000"/>
  </r>
  <r>
    <s v="4000006878"/>
    <s v="76201342-8"/>
    <s v="KNAUF CHILE SPA"/>
    <s v="6508394081"/>
    <s v="ZPMC"/>
    <s v="10"/>
    <x v="1"/>
    <s v="101"/>
    <s v="C004"/>
    <s v="E521"/>
    <n v="1"/>
    <s v="Local"/>
    <x v="0"/>
    <s v="Construccion"/>
    <x v="0"/>
    <s v="430503006"/>
    <s v="1232378"/>
    <s v="PL YESO CARTON ST BR 10X1200X2400 MM KNA"/>
    <n v="8"/>
    <n v="8"/>
    <s v="PAL"/>
    <d v="2025-04-25T00:00:00"/>
    <n v="4"/>
    <d v="2025-05-08T00:00:00"/>
    <d v="2025-05-06T00:00:00"/>
    <x v="4"/>
    <n v="2025"/>
    <n v="2810640"/>
    <n v="2810640"/>
  </r>
  <r>
    <s v="4000006878"/>
    <s v="76201342-8"/>
    <s v="KNAUF CHILE SPA"/>
    <s v="6701200076"/>
    <s v="ZPCD"/>
    <s v="10"/>
    <x v="0"/>
    <s v=""/>
    <s v="C004"/>
    <s v="E652"/>
    <n v="1"/>
    <s v="Local"/>
    <x v="0"/>
    <s v="Construccion"/>
    <x v="0"/>
    <s v="430503006"/>
    <s v="1232378"/>
    <s v="PL YESO CARTON ST BR 10X1200X2400 MM KNA"/>
    <n v="70"/>
    <n v="0"/>
    <s v="UN"/>
    <d v="2025-04-16T00:00:00"/>
    <n v="4"/>
    <d v="2025-05-23T00:00:00"/>
    <m/>
    <x v="4"/>
    <n v="2025"/>
    <n v="293720"/>
    <n v="0"/>
  </r>
  <r>
    <s v="4000006878"/>
    <s v="76201342-8"/>
    <s v="KNAUF CHILE SPA"/>
    <s v="6701200076"/>
    <s v="ZPCD"/>
    <s v="20"/>
    <x v="0"/>
    <s v=""/>
    <s v="C004"/>
    <s v="E652"/>
    <n v="1"/>
    <s v="Local"/>
    <x v="0"/>
    <s v="Construccion"/>
    <x v="0"/>
    <s v="430507002"/>
    <s v="938731"/>
    <s v="SERVICIO FLETE"/>
    <n v="70"/>
    <n v="0"/>
    <s v="UN"/>
    <d v="2025-04-16T00:00:00"/>
    <n v="4"/>
    <d v="2025-05-23T00:00:00"/>
    <m/>
    <x v="4"/>
    <n v="2025"/>
    <n v="12390"/>
    <n v="0"/>
  </r>
  <r>
    <s v="4000006878"/>
    <s v="76201342-8"/>
    <s v="KNAUF CHILE SPA"/>
    <s v="6701215576"/>
    <s v="ZPCD"/>
    <s v="10"/>
    <x v="0"/>
    <s v="101"/>
    <s v="C004"/>
    <s v="E508"/>
    <n v="1"/>
    <s v="Local"/>
    <x v="0"/>
    <s v="Construccion"/>
    <x v="0"/>
    <s v="430502003"/>
    <s v="1239233"/>
    <s v="PLACA IMPACT 15MM 120X240"/>
    <n v="50"/>
    <n v="50"/>
    <s v="UN"/>
    <d v="2025-05-20T00:00:00"/>
    <n v="5"/>
    <d v="2025-05-30T00:00:00"/>
    <d v="2025-05-29T00:00:00"/>
    <x v="4"/>
    <n v="2025"/>
    <n v="727650"/>
    <n v="727650"/>
  </r>
  <r>
    <s v="4000006878"/>
    <s v="76201342-8"/>
    <s v="KNAUF CHILE SPA"/>
    <s v="6701215576"/>
    <s v="ZPCD"/>
    <s v="20"/>
    <x v="0"/>
    <s v="101"/>
    <s v="C004"/>
    <s v="E508"/>
    <n v="1"/>
    <s v="Local"/>
    <x v="0"/>
    <s v="Construccion"/>
    <x v="0"/>
    <s v="430502003"/>
    <s v="1239231"/>
    <s v="PLACA AQUAPANAL INDOOR 12.5 120X240"/>
    <n v="48"/>
    <n v="48"/>
    <s v="UN"/>
    <d v="2025-05-20T00:00:00"/>
    <n v="5"/>
    <d v="2025-05-30T00:00:00"/>
    <d v="2025-05-29T00:00:00"/>
    <x v="4"/>
    <n v="2025"/>
    <n v="1415952"/>
    <n v="1415952"/>
  </r>
  <r>
    <s v="4000006878"/>
    <s v="76201342-8"/>
    <s v="KNAUF CHILE SPA"/>
    <s v="6508431474"/>
    <s v="ZPMC"/>
    <s v="10"/>
    <x v="1"/>
    <s v="101"/>
    <s v="C004"/>
    <s v="E521"/>
    <n v="1"/>
    <s v="Local"/>
    <x v="0"/>
    <s v="Construccion"/>
    <x v="0"/>
    <s v="430503006"/>
    <s v="1232378"/>
    <s v="PL YESO CARTON ST BR 10X1200X2400 MM KNA"/>
    <n v="4"/>
    <n v="4"/>
    <s v="PAL"/>
    <d v="2025-05-23T00:00:00"/>
    <n v="5"/>
    <d v="2025-06-04T00:00:00"/>
    <d v="2025-05-28T00:00:00"/>
    <x v="4"/>
    <n v="2025"/>
    <n v="1405320"/>
    <n v="1405320"/>
  </r>
  <r>
    <s v="4000006878"/>
    <s v="76201342-8"/>
    <s v="KNAUF CHILE SPA"/>
    <s v="6508431474"/>
    <s v="ZPMC"/>
    <s v="2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5-23T00:00:00"/>
    <n v="5"/>
    <d v="2025-06-04T00:00:00"/>
    <d v="2025-05-28T00:00:00"/>
    <x v="4"/>
    <n v="2025"/>
    <n v="703000"/>
    <n v="703000"/>
  </r>
  <r>
    <s v="4000006878"/>
    <s v="76201342-8"/>
    <s v="KNAUF CHILE SPA"/>
    <s v="6701203449"/>
    <s v="ZPCD"/>
    <s v="30"/>
    <x v="0"/>
    <s v="101"/>
    <s v="C004"/>
    <s v="E507"/>
    <n v="1"/>
    <s v="Local"/>
    <x v="0"/>
    <s v="Construccion"/>
    <x v="0"/>
    <s v="430507002"/>
    <s v="938731"/>
    <s v="SERVICIO FLETE"/>
    <n v="3"/>
    <n v="3"/>
    <s v="UN"/>
    <d v="2025-04-25T00:00:00"/>
    <n v="4"/>
    <d v="2025-04-25T00:00:00"/>
    <d v="2025-05-19T00:00:00"/>
    <x v="4"/>
    <n v="2025"/>
    <n v="225000"/>
    <n v="225000"/>
  </r>
  <r>
    <s v="4000006878"/>
    <s v="76201342-8"/>
    <s v="KNAUF CHILE SPA"/>
    <s v="6508403695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2"/>
    <s v="PAL"/>
    <d v="2025-05-02T00:00:00"/>
    <n v="5"/>
    <d v="2025-05-14T00:00:00"/>
    <d v="2025-05-14T00:00:00"/>
    <x v="4"/>
    <n v="2025"/>
    <n v="837440"/>
    <n v="837440"/>
  </r>
  <r>
    <s v="4000006878"/>
    <s v="76201342-8"/>
    <s v="KNAUF CHILE SPA"/>
    <s v="6508403695"/>
    <s v="ZPMC"/>
    <s v="20"/>
    <x v="1"/>
    <s v="101"/>
    <s v="C004"/>
    <s v="E521"/>
    <n v="1"/>
    <s v="Local"/>
    <x v="0"/>
    <s v="Construccion"/>
    <x v="0"/>
    <s v="430503006"/>
    <s v="1232378"/>
    <s v="PL YESO CARTON ST BR 10X1200X2400 MM KNA"/>
    <n v="10"/>
    <n v="10"/>
    <s v="PAL"/>
    <d v="2025-05-02T00:00:00"/>
    <n v="5"/>
    <d v="2025-05-14T00:00:00"/>
    <d v="2025-05-14T00:00:00"/>
    <x v="4"/>
    <n v="2025"/>
    <n v="3513300"/>
    <n v="3513300"/>
  </r>
  <r>
    <s v="4000006878"/>
    <s v="76201342-8"/>
    <s v="KNAUF CHILE SPA"/>
    <s v="6508403695"/>
    <s v="ZPMC"/>
    <s v="3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5-02T00:00:00"/>
    <n v="5"/>
    <d v="2025-05-14T00:00:00"/>
    <d v="2025-05-14T00:00:00"/>
    <x v="4"/>
    <n v="2025"/>
    <n v="703000"/>
    <n v="703000"/>
  </r>
  <r>
    <s v="4000006878"/>
    <s v="76201342-8"/>
    <s v="KNAUF CHILE SPA"/>
    <s v="6508403696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5-02T00:00:00"/>
    <n v="5"/>
    <d v="2025-05-14T00:00:00"/>
    <d v="2025-05-14T00:00:00"/>
    <x v="4"/>
    <n v="2025"/>
    <n v="1405320"/>
    <n v="1405320"/>
  </r>
  <r>
    <s v="4000006878"/>
    <s v="76201342-8"/>
    <s v="KNAUF CHILE SPA"/>
    <s v="6508413632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5-09T00:00:00"/>
    <n v="5"/>
    <d v="2025-05-22T00:00:00"/>
    <d v="2025-05-15T00:00:00"/>
    <x v="4"/>
    <n v="2025"/>
    <n v="1405320"/>
    <n v="1405320"/>
  </r>
  <r>
    <s v="4000006878"/>
    <s v="76201342-8"/>
    <s v="KNAUF CHILE SPA"/>
    <s v="6508413632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5-09T00:00:00"/>
    <n v="5"/>
    <d v="2025-05-22T00:00:00"/>
    <d v="2025-05-15T00:00:00"/>
    <x v="4"/>
    <n v="2025"/>
    <n v="1406000"/>
    <n v="1406000"/>
  </r>
  <r>
    <s v="4000006878"/>
    <s v="76201342-8"/>
    <s v="KNAUF CHILE SPA"/>
    <s v="6508413633"/>
    <s v="ZPMC"/>
    <s v="10"/>
    <x v="1"/>
    <s v="101"/>
    <s v="C004"/>
    <s v="E843"/>
    <n v="1"/>
    <s v="Local"/>
    <x v="0"/>
    <s v="Construccion"/>
    <x v="0"/>
    <s v="430503006"/>
    <s v="1232378"/>
    <s v="PL YESO CARTON ST BR 10X1200X2400 MM KNA"/>
    <n v="4"/>
    <n v="4"/>
    <s v="PAL"/>
    <d v="2025-05-09T00:00:00"/>
    <n v="5"/>
    <d v="2025-05-22T00:00:00"/>
    <d v="2025-05-15T00:00:00"/>
    <x v="4"/>
    <n v="2025"/>
    <n v="1405320"/>
    <n v="1405320"/>
  </r>
  <r>
    <s v="4000006878"/>
    <s v="76201342-8"/>
    <s v="KNAUF CHILE SPA"/>
    <s v="6508413633"/>
    <s v="ZPMC"/>
    <s v="20"/>
    <x v="1"/>
    <s v="101"/>
    <s v="C004"/>
    <s v="E843"/>
    <n v="1"/>
    <s v="Local"/>
    <x v="0"/>
    <s v="Construccion"/>
    <x v="0"/>
    <s v="430503006"/>
    <s v="1232379"/>
    <s v="PL YESO CARTON ST BR 15X1200X2400 MM KNA"/>
    <n v="2"/>
    <n v="2"/>
    <s v="PAL"/>
    <d v="2025-05-09T00:00:00"/>
    <n v="5"/>
    <d v="2025-05-22T00:00:00"/>
    <d v="2025-05-15T00:00:00"/>
    <x v="4"/>
    <n v="2025"/>
    <n v="703000"/>
    <n v="703000"/>
  </r>
  <r>
    <s v="4000006878"/>
    <s v="76201342-8"/>
    <s v="KNAUF CHILE SPA"/>
    <s v="6508413634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6"/>
    <n v="4"/>
    <s v="PAL"/>
    <d v="2025-05-09T00:00:00"/>
    <n v="5"/>
    <d v="2025-05-22T00:00:00"/>
    <d v="2025-05-22T00:00:00"/>
    <x v="4"/>
    <n v="2025"/>
    <n v="2107980"/>
    <n v="1405320"/>
  </r>
  <r>
    <s v="4000006878"/>
    <s v="76201342-8"/>
    <s v="KNAUF CHILE SPA"/>
    <s v="6508413634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5-09T00:00:00"/>
    <n v="5"/>
    <d v="2025-05-22T00:00:00"/>
    <d v="2025-05-22T00:00:00"/>
    <x v="4"/>
    <n v="2025"/>
    <n v="703000"/>
    <n v="703000"/>
  </r>
  <r>
    <s v="4000006878"/>
    <s v="76201342-8"/>
    <s v="KNAUF CHILE SPA"/>
    <s v="6508420282"/>
    <s v="ZDCZ"/>
    <s v="10"/>
    <x v="0"/>
    <s v="161"/>
    <s v="C004"/>
    <s v="E517"/>
    <n v="10"/>
    <s v="Local"/>
    <x v="0"/>
    <s v="Construccion"/>
    <x v="0"/>
    <s v="430201001"/>
    <s v="1246708"/>
    <s v="AQUAPANEL MALLA SUP. OUT /IND 1X50"/>
    <n v="10"/>
    <n v="10"/>
    <s v="UN"/>
    <d v="2025-05-14T00:00:00"/>
    <n v="5"/>
    <d v="2025-05-14T00:00:00"/>
    <d v="2025-05-15T00:00:00"/>
    <x v="4"/>
    <n v="2025"/>
    <n v="726320"/>
    <n v="-726320"/>
  </r>
  <r>
    <s v="4000006878"/>
    <s v="76201342-8"/>
    <s v="KNAUF CHILE SPA"/>
    <s v="670120875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5-06T00:00:00"/>
    <n v="5"/>
    <d v="2025-05-07T00:00:00"/>
    <m/>
    <x v="4"/>
    <n v="2025"/>
    <n v="10379136"/>
    <n v="0"/>
  </r>
  <r>
    <s v="4000006878"/>
    <s v="76201342-8"/>
    <s v="KNAUF CHILE SPA"/>
    <s v="6701208750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5-06T00:00:00"/>
    <n v="5"/>
    <d v="2025-05-07T00:00:00"/>
    <m/>
    <x v="4"/>
    <n v="2025"/>
    <n v="28800"/>
    <n v="0"/>
  </r>
  <r>
    <s v="4000006878"/>
    <s v="76201342-8"/>
    <s v="KNAUF CHILE SPA"/>
    <s v="6701171934"/>
    <s v="ZPCD"/>
    <s v="10"/>
    <x v="0"/>
    <s v=""/>
    <s v="C004"/>
    <s v="E652"/>
    <m/>
    <s v="Local"/>
    <x v="0"/>
    <s v="Construccion"/>
    <x v="0"/>
    <s v="430506002"/>
    <s v="1192671"/>
    <s v="YESO PROYECTADO 25KG"/>
    <n v="1500"/>
    <n v="0"/>
    <s v="UN"/>
    <d v="2025-02-27T00:00:00"/>
    <n v="2"/>
    <d v="2025-05-30T00:00:00"/>
    <m/>
    <x v="4"/>
    <n v="2025"/>
    <n v="8800500"/>
    <n v="0"/>
  </r>
  <r>
    <s v="4000006878"/>
    <s v="76201342-8"/>
    <s v="KNAUF CHILE SPA"/>
    <s v="6701172462"/>
    <s v="ZPCD"/>
    <s v="50"/>
    <x v="0"/>
    <s v="101"/>
    <s v="C004"/>
    <s v="E652"/>
    <m/>
    <s v="Local"/>
    <x v="0"/>
    <s v="Construccion"/>
    <x v="0"/>
    <s v="430503006"/>
    <s v="1296891"/>
    <s v="PLACA DIAMANT GKFI 12.5X1200X2400 BR"/>
    <n v="80"/>
    <n v="0"/>
    <s v="UN"/>
    <d v="2025-02-28T00:00:00"/>
    <n v="2"/>
    <d v="2025-05-30T00:00:00"/>
    <m/>
    <x v="4"/>
    <n v="2025"/>
    <n v="1055440"/>
    <n v="0"/>
  </r>
  <r>
    <s v="4000006878"/>
    <s v="76201342-8"/>
    <s v="KNAUF CHILE SPA"/>
    <s v="6701172462"/>
    <s v="ZPCD"/>
    <s v="60"/>
    <x v="0"/>
    <s v="101"/>
    <s v="C004"/>
    <s v="E652"/>
    <m/>
    <s v="Local"/>
    <x v="0"/>
    <s v="Construccion"/>
    <x v="0"/>
    <s v="430507002"/>
    <s v="938731"/>
    <s v="SERVICIO FLETE"/>
    <n v="80"/>
    <n v="0"/>
    <s v="UN"/>
    <d v="2025-02-28T00:00:00"/>
    <n v="2"/>
    <d v="2025-05-30T00:00:00"/>
    <m/>
    <x v="4"/>
    <n v="2025"/>
    <n v="20720"/>
    <n v="0"/>
  </r>
  <r>
    <s v="4000006878"/>
    <s v="76201342-8"/>
    <s v="KNAUF CHILE SPA"/>
    <s v="6701172462"/>
    <s v="ZPCD"/>
    <s v="70"/>
    <x v="0"/>
    <s v="101"/>
    <s v="C004"/>
    <s v="E652"/>
    <m/>
    <s v="Local"/>
    <x v="0"/>
    <s v="Construccion"/>
    <x v="0"/>
    <s v="430503006"/>
    <s v="671056"/>
    <s v="PL YESO CARTON RH 12.5 1200X3000"/>
    <n v="80"/>
    <n v="0"/>
    <s v="UN"/>
    <d v="2025-02-28T00:00:00"/>
    <n v="2"/>
    <d v="2025-05-30T00:00:00"/>
    <m/>
    <x v="4"/>
    <n v="2025"/>
    <n v="896800"/>
    <n v="0"/>
  </r>
  <r>
    <s v="4000006878"/>
    <s v="76201342-8"/>
    <s v="KNAUF CHILE SPA"/>
    <s v="6701172462"/>
    <s v="ZPCD"/>
    <s v="80"/>
    <x v="0"/>
    <s v="101"/>
    <s v="C004"/>
    <s v="E652"/>
    <m/>
    <s v="Local"/>
    <x v="0"/>
    <s v="Construccion"/>
    <x v="0"/>
    <s v="430507002"/>
    <s v="938731"/>
    <s v="SERVICIO FLETE"/>
    <n v="80"/>
    <n v="0"/>
    <s v="UN"/>
    <d v="2025-02-28T00:00:00"/>
    <n v="2"/>
    <d v="2025-05-30T00:00:00"/>
    <m/>
    <x v="4"/>
    <n v="2025"/>
    <n v="21440"/>
    <n v="0"/>
  </r>
  <r>
    <s v="4000006878"/>
    <s v="76201342-8"/>
    <s v="KNAUF CHILE SPA"/>
    <s v="6701171815"/>
    <s v="ZPCD"/>
    <s v="10"/>
    <x v="0"/>
    <s v=""/>
    <s v="C004"/>
    <s v="E652"/>
    <m/>
    <s v="Local"/>
    <x v="0"/>
    <s v="Construccion"/>
    <x v="0"/>
    <s v="430506002"/>
    <s v="1192671"/>
    <s v="YESO PROYECTADO 25KG"/>
    <n v="60"/>
    <n v="0"/>
    <s v="UN"/>
    <d v="2025-02-27T00:00:00"/>
    <n v="2"/>
    <d v="2025-05-02T00:00:00"/>
    <m/>
    <x v="4"/>
    <n v="2025"/>
    <n v="357360"/>
    <n v="0"/>
  </r>
  <r>
    <s v="4000006878"/>
    <s v="76201342-8"/>
    <s v="KNAUF CHILE SPA"/>
    <s v="6701192098"/>
    <s v="ZPCD"/>
    <s v="10"/>
    <x v="0"/>
    <s v="101"/>
    <s v="C004"/>
    <s v="E652"/>
    <n v="1"/>
    <s v="Local"/>
    <x v="0"/>
    <s v="Construccion"/>
    <x v="0"/>
    <s v="430503006"/>
    <s v="1460002"/>
    <s v="AQUAPANEL PLACA R. 8MM 1200X2400"/>
    <n v="72"/>
    <n v="72"/>
    <s v="UN"/>
    <d v="2025-04-02T00:00:00"/>
    <n v="4"/>
    <d v="2025-05-02T00:00:00"/>
    <d v="2025-05-14T00:00:00"/>
    <x v="4"/>
    <n v="2025"/>
    <n v="478080"/>
    <n v="478080"/>
  </r>
  <r>
    <s v="4000006878"/>
    <s v="76201342-8"/>
    <s v="KNAUF CHILE SPA"/>
    <s v="6701194207"/>
    <s v="ZPCD"/>
    <s v="10"/>
    <x v="0"/>
    <s v="101"/>
    <s v="C004"/>
    <s v="E512"/>
    <n v="1"/>
    <s v="Local"/>
    <x v="0"/>
    <s v="Construccion"/>
    <x v="0"/>
    <s v="430502003"/>
    <s v="1232499"/>
    <s v="PLACA CLEANEO PLUS 8/15/20 12.5MM 1200X2"/>
    <n v="4.8"/>
    <n v="4.8"/>
    <s v="M2"/>
    <d v="2025-04-04T00:00:00"/>
    <n v="4"/>
    <d v="2025-04-04T00:00:00"/>
    <d v="2025-05-15T00:00:00"/>
    <x v="4"/>
    <n v="2025"/>
    <n v="100930"/>
    <n v="100930"/>
  </r>
  <r>
    <s v="4000006878"/>
    <s v="76201342-8"/>
    <s v="KNAUF CHILE SPA"/>
    <s v="6701193792"/>
    <s v="ZPCD"/>
    <s v="40"/>
    <x v="0"/>
    <s v="101"/>
    <s v="C004"/>
    <s v="E652"/>
    <n v="1"/>
    <s v="Local"/>
    <x v="0"/>
    <s v="Construccion"/>
    <x v="0"/>
    <s v="430502002"/>
    <s v="1266135"/>
    <s v="TRAVESANO 15/16VT24 610 ML 50"/>
    <n v="1"/>
    <n v="1"/>
    <s v="UN"/>
    <d v="2025-04-04T00:00:00"/>
    <n v="4"/>
    <d v="2025-07-04T00:00:00"/>
    <d v="2025-05-22T00:00:00"/>
    <x v="4"/>
    <n v="2025"/>
    <n v="59546"/>
    <n v="59546"/>
  </r>
  <r>
    <s v="4000006878"/>
    <s v="76201342-8"/>
    <s v="KNAUF CHILE SPA"/>
    <s v="6701195986"/>
    <s v="ZPCD"/>
    <s v="30"/>
    <x v="0"/>
    <s v="101"/>
    <s v="C004"/>
    <s v="E652"/>
    <n v="1"/>
    <s v="Local"/>
    <x v="0"/>
    <s v="Construccion"/>
    <x v="0"/>
    <s v="430503006"/>
    <s v="1232377"/>
    <s v="PL YESO CARTON RH 12.5X1200X2400 MM KNAU"/>
    <n v="2081"/>
    <n v="2081"/>
    <s v="UN"/>
    <d v="2025-04-07T00:00:00"/>
    <n v="4"/>
    <d v="2025-05-02T00:00:00"/>
    <d v="2025-06-26T00:00:00"/>
    <x v="5"/>
    <n v="2025"/>
    <n v="17734282"/>
    <n v="17734282"/>
  </r>
  <r>
    <s v="4000006878"/>
    <s v="76201342-8"/>
    <s v="KNAUF CHILE SPA"/>
    <s v="6701172882"/>
    <s v="ZPCD"/>
    <s v="10"/>
    <x v="0"/>
    <s v=""/>
    <s v="C004"/>
    <s v="E652"/>
    <m/>
    <s v="Local"/>
    <x v="1"/>
    <s v="Ferreteria"/>
    <x v="0"/>
    <s v="430503006"/>
    <s v="1441557"/>
    <s v="PLACA AQUAPANEL RESIDENCIAL 8 1200X2400"/>
    <n v="156"/>
    <n v="0"/>
    <s v="UN"/>
    <d v="2025-03-03T00:00:00"/>
    <n v="3"/>
    <d v="2025-06-04T00:00:00"/>
    <m/>
    <x v="5"/>
    <n v="2025"/>
    <n v="3100968"/>
    <n v="0"/>
  </r>
  <r>
    <s v="4000006878"/>
    <s v="76201342-8"/>
    <s v="KNAUF CHILE SPA"/>
    <s v="6701172882"/>
    <s v="ZPCD"/>
    <s v="20"/>
    <x v="0"/>
    <s v=""/>
    <s v="C004"/>
    <s v="E652"/>
    <m/>
    <s v="Local"/>
    <x v="1"/>
    <s v="Ferreteria"/>
    <x v="0"/>
    <s v="130211005"/>
    <s v="1366504"/>
    <s v="AQUAPANEL TORNILLO MAXI TB 39MM"/>
    <n v="25"/>
    <n v="0"/>
    <s v="UN"/>
    <d v="2025-03-03T00:00:00"/>
    <n v="3"/>
    <d v="2025-06-04T00:00:00"/>
    <m/>
    <x v="5"/>
    <n v="2025"/>
    <n v="433675"/>
    <n v="0"/>
  </r>
  <r>
    <s v="4000006878"/>
    <s v="76201342-8"/>
    <s v="KNAUF CHILE SPA"/>
    <s v="6701172882"/>
    <s v="ZPCD"/>
    <s v="30"/>
    <x v="0"/>
    <s v=""/>
    <s v="C004"/>
    <s v="E652"/>
    <m/>
    <s v="Local"/>
    <x v="1"/>
    <s v="Ferreteria"/>
    <x v="0"/>
    <s v="130210003"/>
    <s v="1254402"/>
    <s v="AQUAPANEL TORNILLO MAXI SB 25 250 UN"/>
    <n v="25"/>
    <n v="0"/>
    <s v="UN"/>
    <d v="2025-03-03T00:00:00"/>
    <n v="3"/>
    <d v="2025-06-04T00:00:00"/>
    <m/>
    <x v="5"/>
    <n v="2025"/>
    <n v="281975"/>
    <n v="0"/>
  </r>
  <r>
    <s v="4000006878"/>
    <s v="76201342-8"/>
    <s v="KNAUF CHILE SPA"/>
    <s v="6701251046"/>
    <s v="ZPCD"/>
    <s v="10"/>
    <x v="0"/>
    <s v="101"/>
    <s v="C004"/>
    <s v="E655"/>
    <n v="1"/>
    <s v="Local"/>
    <x v="0"/>
    <s v="Construccion"/>
    <x v="0"/>
    <s v="430503006"/>
    <s v="1417085"/>
    <s v="PUERTA DE REGISTRO 40X40 P/CIELO"/>
    <n v="4"/>
    <n v="4"/>
    <s v="UN"/>
    <d v="2025-06-13T00:00:00"/>
    <n v="6"/>
    <d v="2025-06-13T00:00:00"/>
    <d v="2025-06-25T00:00:00"/>
    <x v="5"/>
    <n v="2025"/>
    <n v="94088"/>
    <n v="94088"/>
  </r>
  <r>
    <s v="4000006878"/>
    <s v="76201342-8"/>
    <s v="KNAUF CHILE SPA"/>
    <s v="6701251046"/>
    <s v="ZPCD"/>
    <s v="20"/>
    <x v="0"/>
    <s v="101"/>
    <s v="C004"/>
    <s v="E655"/>
    <n v="1"/>
    <s v="Local"/>
    <x v="0"/>
    <s v="Construccion"/>
    <x v="0"/>
    <s v="430503006"/>
    <s v="1299698"/>
    <s v="PUERTA DE REGISTRO 60X60."/>
    <n v="5"/>
    <n v="5"/>
    <s v="UN"/>
    <d v="2025-06-13T00:00:00"/>
    <n v="6"/>
    <d v="2025-06-13T00:00:00"/>
    <d v="2025-06-25T00:00:00"/>
    <x v="5"/>
    <n v="2025"/>
    <n v="167705"/>
    <n v="167705"/>
  </r>
  <r>
    <s v="4000006878"/>
    <s v="76201342-8"/>
    <s v="KNAUF CHILE SPA"/>
    <s v="6508423592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2"/>
    <n v="2"/>
    <s v="PAL"/>
    <d v="2025-05-16T00:00:00"/>
    <n v="5"/>
    <d v="2025-05-29T00:00:00"/>
    <d v="2025-06-02T00:00:00"/>
    <x v="5"/>
    <n v="2025"/>
    <n v="702660"/>
    <n v="702660"/>
  </r>
  <r>
    <s v="4000006878"/>
    <s v="76201342-8"/>
    <s v="KNAUF CHILE SPA"/>
    <s v="6508423592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5-16T00:00:00"/>
    <n v="5"/>
    <d v="2025-05-29T00:00:00"/>
    <d v="2025-06-02T00:00:00"/>
    <x v="5"/>
    <n v="2025"/>
    <n v="703000"/>
    <n v="703000"/>
  </r>
  <r>
    <s v="4000006878"/>
    <s v="76201342-8"/>
    <s v="KNAUF CHILE SPA"/>
    <s v="6508431473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5-23T00:00:00"/>
    <n v="5"/>
    <d v="2025-06-04T00:00:00"/>
    <d v="2025-06-02T00:00:00"/>
    <x v="5"/>
    <n v="2025"/>
    <n v="1405320"/>
    <n v="1405320"/>
  </r>
  <r>
    <s v="4000006878"/>
    <s v="76201342-8"/>
    <s v="KNAUF CHILE SPA"/>
    <s v="6508441231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5-30T00:00:00"/>
    <n v="5"/>
    <d v="2025-06-11T00:00:00"/>
    <d v="2025-06-11T00:00:00"/>
    <x v="5"/>
    <n v="2025"/>
    <n v="1405320"/>
    <n v="1405320"/>
  </r>
  <r>
    <s v="4000006878"/>
    <s v="76201342-8"/>
    <s v="KNAUF CHILE SPA"/>
    <s v="6508441231"/>
    <s v="ZPMC"/>
    <s v="20"/>
    <x v="1"/>
    <s v="101"/>
    <s v="C004"/>
    <s v="E512"/>
    <n v="1"/>
    <s v="Local"/>
    <x v="0"/>
    <s v="Construccion"/>
    <x v="0"/>
    <s v="430503006"/>
    <s v="1232379"/>
    <s v="PLANCA YESO CARTON ST BR 15X1200X2400MM"/>
    <n v="2"/>
    <n v="2"/>
    <s v="PAL"/>
    <d v="2025-05-30T00:00:00"/>
    <n v="5"/>
    <d v="2025-06-11T00:00:00"/>
    <d v="2025-06-11T00:00:00"/>
    <x v="5"/>
    <n v="2025"/>
    <n v="703000"/>
    <n v="703000"/>
  </r>
  <r>
    <s v="4000006878"/>
    <s v="76201342-8"/>
    <s v="KNAUF CHILE SPA"/>
    <s v="6508441232"/>
    <s v="ZPMC"/>
    <s v="10"/>
    <x v="1"/>
    <s v="101"/>
    <s v="C004"/>
    <s v="E521"/>
    <n v="1"/>
    <s v="Local"/>
    <x v="0"/>
    <s v="Construccion"/>
    <x v="0"/>
    <s v="430503006"/>
    <s v="1232377"/>
    <s v="PLANCA YESO CARTON RH 12.5X1200X2400MM"/>
    <n v="1"/>
    <n v="1"/>
    <s v="PAL"/>
    <d v="2025-05-30T00:00:00"/>
    <n v="5"/>
    <d v="2025-06-11T00:00:00"/>
    <d v="2025-06-12T00:00:00"/>
    <x v="5"/>
    <n v="2025"/>
    <n v="732480"/>
    <n v="732480"/>
  </r>
  <r>
    <s v="4000006878"/>
    <s v="76201342-8"/>
    <s v="KNAUF CHILE SPA"/>
    <s v="6508441232"/>
    <s v="ZPMC"/>
    <s v="20"/>
    <x v="1"/>
    <s v="101"/>
    <s v="C004"/>
    <s v="E521"/>
    <n v="1"/>
    <s v="Local"/>
    <x v="0"/>
    <s v="Construccion"/>
    <x v="0"/>
    <s v="430503006"/>
    <s v="1232379"/>
    <s v="PLANCA YESO CARTON ST BR 15X1200X2400MM"/>
    <n v="3"/>
    <n v="3"/>
    <s v="PAL"/>
    <d v="2025-05-30T00:00:00"/>
    <n v="5"/>
    <d v="2025-06-11T00:00:00"/>
    <d v="2025-06-12T00:00:00"/>
    <x v="5"/>
    <n v="2025"/>
    <n v="1054500"/>
    <n v="1054500"/>
  </r>
  <r>
    <s v="4000006878"/>
    <s v="76201342-8"/>
    <s v="KNAUF CHILE SPA"/>
    <s v="6508441233"/>
    <s v="ZPMC"/>
    <s v="10"/>
    <x v="1"/>
    <s v="101"/>
    <s v="C004"/>
    <s v="E843"/>
    <n v="1"/>
    <s v="Local"/>
    <x v="0"/>
    <s v="Construccion"/>
    <x v="0"/>
    <s v="430503006"/>
    <s v="1232378"/>
    <s v="PLANCA YESO CARTON ST BR 10X1200X2400MM"/>
    <n v="4"/>
    <n v="4"/>
    <s v="PAL"/>
    <d v="2025-05-30T00:00:00"/>
    <n v="5"/>
    <d v="2025-06-11T00:00:00"/>
    <d v="2025-06-04T00:00:00"/>
    <x v="5"/>
    <n v="2025"/>
    <n v="1405320"/>
    <n v="1405320"/>
  </r>
  <r>
    <s v="4000006878"/>
    <s v="76201342-8"/>
    <s v="KNAUF CHILE SPA"/>
    <s v="6701214542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90"/>
    <n v="390"/>
    <s v="UN"/>
    <d v="2025-05-19T00:00:00"/>
    <n v="5"/>
    <d v="2025-05-20T00:00:00"/>
    <d v="2025-06-24T00:00:00"/>
    <x v="5"/>
    <n v="2025"/>
    <n v="3500250"/>
    <n v="3500250"/>
  </r>
  <r>
    <s v="4000006878"/>
    <s v="76201342-8"/>
    <s v="KNAUF CHILE SPA"/>
    <s v="6701214542"/>
    <s v="ZPCD"/>
    <s v="20"/>
    <x v="0"/>
    <s v="101"/>
    <s v="C004"/>
    <s v="E874"/>
    <n v="1"/>
    <s v="Local"/>
    <x v="0"/>
    <s v="Construccion"/>
    <x v="0"/>
    <s v="430507002"/>
    <s v="938731"/>
    <s v="SERVICIO FLETE"/>
    <n v="390"/>
    <n v="390"/>
    <s v="UN"/>
    <d v="2025-05-19T00:00:00"/>
    <n v="5"/>
    <d v="2025-05-20T00:00:00"/>
    <d v="2025-06-24T00:00:00"/>
    <x v="5"/>
    <n v="2025"/>
    <n v="67470"/>
    <n v="67470"/>
  </r>
  <r>
    <s v="4000006878"/>
    <s v="76201342-8"/>
    <s v="KNAUF CHILE SPA"/>
    <s v="6701214592"/>
    <s v="ZPCD"/>
    <s v="10"/>
    <x v="0"/>
    <s v="101"/>
    <s v="C004"/>
    <s v="E652"/>
    <n v="1"/>
    <s v="Local"/>
    <x v="0"/>
    <s v="Construccion"/>
    <x v="0"/>
    <s v="430507002"/>
    <s v="938731"/>
    <s v="SERVICIO FLETE"/>
    <n v="191"/>
    <n v="191"/>
    <s v="UN"/>
    <d v="2025-05-20T00:00:00"/>
    <n v="5"/>
    <d v="2025-08-22T00:00:00"/>
    <d v="2025-06-04T00:00:00"/>
    <x v="5"/>
    <n v="2025"/>
    <n v="58064"/>
    <n v="58064"/>
  </r>
  <r>
    <s v="4000006878"/>
    <s v="76201342-8"/>
    <s v="KNAUF CHILE SPA"/>
    <s v="6701214592"/>
    <s v="ZPCD"/>
    <s v="20"/>
    <x v="0"/>
    <s v="101"/>
    <s v="C004"/>
    <s v="E652"/>
    <n v="1"/>
    <s v="Local"/>
    <x v="0"/>
    <s v="Construccion"/>
    <x v="0"/>
    <s v="430502003"/>
    <s v="1233875"/>
    <s v="PLACA THERMATEX MERCURE 610X610"/>
    <n v="191"/>
    <n v="191"/>
    <s v="UN"/>
    <d v="2025-05-20T00:00:00"/>
    <n v="5"/>
    <d v="2025-08-22T00:00:00"/>
    <d v="2025-06-04T00:00:00"/>
    <x v="5"/>
    <n v="2025"/>
    <n v="12852008"/>
    <n v="12852008"/>
  </r>
  <r>
    <s v="4000006878"/>
    <s v="76201342-8"/>
    <s v="KNAUF CHILE SPA"/>
    <s v="6701252696"/>
    <s v="ZPCD"/>
    <s v="10"/>
    <x v="0"/>
    <s v=""/>
    <s v="C004"/>
    <s v="E514"/>
    <n v="1"/>
    <s v="Local"/>
    <x v="0"/>
    <s v="Construccion"/>
    <x v="0"/>
    <s v="430502003"/>
    <s v="1239233"/>
    <s v="PLACA IMPACT 15MM 120X240"/>
    <n v="12"/>
    <n v="0"/>
    <s v="UN"/>
    <d v="2025-06-24T00:00:00"/>
    <n v="6"/>
    <d v="2025-06-25T00:00:00"/>
    <m/>
    <x v="5"/>
    <n v="2025"/>
    <n v="174636"/>
    <n v="0"/>
  </r>
  <r>
    <s v="4000006878"/>
    <s v="76201342-8"/>
    <s v="KNAUF CHILE SPA"/>
    <s v="6701252696"/>
    <s v="ZPCD"/>
    <s v="20"/>
    <x v="0"/>
    <s v=""/>
    <s v="C004"/>
    <s v="E514"/>
    <n v="1"/>
    <s v="Local"/>
    <x v="0"/>
    <s v="Construccion"/>
    <x v="0"/>
    <s v="430102005"/>
    <s v="1315155"/>
    <s v="CINTA MALLA 48 MM X 45 M"/>
    <n v="5"/>
    <n v="0"/>
    <s v="UN"/>
    <d v="2025-06-24T00:00:00"/>
    <n v="6"/>
    <d v="2025-06-25T00:00:00"/>
    <m/>
    <x v="5"/>
    <n v="2025"/>
    <n v="6370"/>
    <n v="0"/>
  </r>
  <r>
    <s v="4000006878"/>
    <s v="76201342-8"/>
    <s v="KNAUF CHILE SPA"/>
    <s v="6701252696"/>
    <s v="ZPCD"/>
    <s v="30"/>
    <x v="0"/>
    <s v=""/>
    <s v="C004"/>
    <s v="E514"/>
    <n v="1"/>
    <s v="Local"/>
    <x v="0"/>
    <s v="Construccion"/>
    <x v="0"/>
    <s v="430506002"/>
    <s v="1413158"/>
    <s v="MASILLA JOINTFILLER 20 KG"/>
    <n v="1"/>
    <n v="0"/>
    <s v="UN"/>
    <d v="2025-06-24T00:00:00"/>
    <n v="6"/>
    <d v="2025-06-25T00:00:00"/>
    <m/>
    <x v="5"/>
    <n v="2025"/>
    <n v="8594"/>
    <n v="0"/>
  </r>
  <r>
    <s v="4000006878"/>
    <s v="76201342-8"/>
    <s v="KNAUF CHILE SPA"/>
    <s v="6701252696"/>
    <s v="ZPCD"/>
    <s v="40"/>
    <x v="0"/>
    <s v=""/>
    <s v="C004"/>
    <s v="E514"/>
    <n v="1"/>
    <s v="Local"/>
    <x v="0"/>
    <s v="Construccion"/>
    <x v="0"/>
    <s v="430201001"/>
    <s v="896692"/>
    <s v="BANDA ACUSTICA 70MM ANCHO ROLLO X 30 M"/>
    <n v="3"/>
    <n v="0"/>
    <s v="ROM"/>
    <d v="2025-06-24T00:00:00"/>
    <n v="6"/>
    <d v="2025-06-25T00:00:00"/>
    <m/>
    <x v="5"/>
    <n v="2025"/>
    <n v="41772"/>
    <n v="0"/>
  </r>
  <r>
    <s v="4000006878"/>
    <s v="76201342-8"/>
    <s v="KNAUF CHILE SPA"/>
    <s v="6701252696"/>
    <s v="ZPCD"/>
    <s v="50"/>
    <x v="0"/>
    <s v=""/>
    <s v="C004"/>
    <s v="E514"/>
    <n v="1"/>
    <s v="Local"/>
    <x v="0"/>
    <s v="Construccion"/>
    <x v="0"/>
    <s v="430203001"/>
    <s v="1252501"/>
    <s v="ROLLO LIBRE HR 60MM 1200X12000MM KNAUF"/>
    <n v="2"/>
    <n v="0"/>
    <s v="UN"/>
    <d v="2025-06-24T00:00:00"/>
    <n v="6"/>
    <d v="2025-06-25T00:00:00"/>
    <m/>
    <x v="5"/>
    <n v="2025"/>
    <n v="79574"/>
    <n v="0"/>
  </r>
  <r>
    <s v="4000006878"/>
    <s v="76201342-8"/>
    <s v="KNAUF CHILE SPA"/>
    <s v="6701252696"/>
    <s v="ZPCD"/>
    <s v="60"/>
    <x v="0"/>
    <s v=""/>
    <s v="C004"/>
    <s v="E514"/>
    <n v="1"/>
    <s v="Local"/>
    <x v="0"/>
    <s v="Construccion"/>
    <x v="0"/>
    <s v="430503006"/>
    <s v="1246703"/>
    <s v="AQUAPANEL PL OUTDOOR 12.5MM 1.20X2.4"/>
    <n v="12"/>
    <n v="0"/>
    <s v="UN"/>
    <d v="2025-06-24T00:00:00"/>
    <n v="6"/>
    <d v="2025-06-25T00:00:00"/>
    <m/>
    <x v="5"/>
    <n v="2025"/>
    <n v="354000"/>
    <n v="0"/>
  </r>
  <r>
    <s v="4000006878"/>
    <s v="76201342-8"/>
    <s v="KNAUF CHILE SPA"/>
    <s v="6701252696"/>
    <s v="ZPCD"/>
    <s v="70"/>
    <x v="0"/>
    <s v=""/>
    <s v="C004"/>
    <s v="E514"/>
    <n v="1"/>
    <s v="Local"/>
    <x v="0"/>
    <s v="Construccion"/>
    <x v="0"/>
    <s v="430401007"/>
    <s v="1246707"/>
    <s v="AQUAPANEL MORTERO SUP. BLANCO 25KG"/>
    <n v="5"/>
    <n v="0"/>
    <s v="UN"/>
    <d v="2025-06-24T00:00:00"/>
    <n v="6"/>
    <d v="2025-06-25T00:00:00"/>
    <m/>
    <x v="5"/>
    <n v="2025"/>
    <n v="83275"/>
    <n v="0"/>
  </r>
  <r>
    <s v="4000006878"/>
    <s v="76201342-8"/>
    <s v="KNAUF CHILE SPA"/>
    <s v="6701252696"/>
    <s v="ZPCD"/>
    <s v="80"/>
    <x v="0"/>
    <s v=""/>
    <s v="C004"/>
    <s v="E514"/>
    <n v="1"/>
    <s v="Local"/>
    <x v="0"/>
    <s v="Construccion"/>
    <x v="0"/>
    <s v="430201001"/>
    <s v="1246708"/>
    <s v="AQUAPANEL MALLA SUP. OUT /IND 1X50"/>
    <n v="1"/>
    <n v="0"/>
    <s v="UN"/>
    <d v="2025-06-24T00:00:00"/>
    <n v="6"/>
    <d v="2025-06-25T00:00:00"/>
    <m/>
    <x v="5"/>
    <n v="2025"/>
    <n v="14369"/>
    <n v="0"/>
  </r>
  <r>
    <s v="4000006878"/>
    <s v="76201342-8"/>
    <s v="KNAUF CHILE SPA"/>
    <s v="6701252696"/>
    <s v="ZPCD"/>
    <s v="90"/>
    <x v="0"/>
    <s v=""/>
    <s v="C004"/>
    <s v="E514"/>
    <n v="1"/>
    <s v="Local"/>
    <x v="0"/>
    <s v="Construccion"/>
    <x v="0"/>
    <s v="430209001"/>
    <s v="1295160"/>
    <s v="ROLLO PAPEL 1C HR 50MM X 1.2 X 12 MT"/>
    <n v="1"/>
    <n v="0"/>
    <s v="UN"/>
    <d v="2025-06-24T00:00:00"/>
    <n v="6"/>
    <d v="2025-06-25T00:00:00"/>
    <m/>
    <x v="5"/>
    <n v="2025"/>
    <n v="76090"/>
    <n v="0"/>
  </r>
  <r>
    <s v="4000006878"/>
    <s v="76201342-8"/>
    <s v="KNAUF CHILE SPA"/>
    <s v="6701252696"/>
    <s v="ZPCD"/>
    <s v="100"/>
    <x v="0"/>
    <s v=""/>
    <s v="C004"/>
    <s v="E514"/>
    <n v="1"/>
    <s v="Local"/>
    <x v="0"/>
    <s v="Construccion"/>
    <x v="0"/>
    <s v="430507002"/>
    <s v="938731"/>
    <s v="SERVICIO FLETE"/>
    <n v="1"/>
    <n v="0"/>
    <s v="UN"/>
    <d v="2025-06-24T00:00:00"/>
    <n v="6"/>
    <d v="2025-06-25T00:00:00"/>
    <m/>
    <x v="5"/>
    <n v="2025"/>
    <n v="58000"/>
    <n v="0"/>
  </r>
  <r>
    <s v="4000006878"/>
    <s v="76201342-8"/>
    <s v="KNAUF CHILE SPA"/>
    <s v="6701216289"/>
    <s v="ZPCD"/>
    <s v="10"/>
    <x v="0"/>
    <s v="101"/>
    <s v="C004"/>
    <s v="E874"/>
    <n v="1"/>
    <s v="Local"/>
    <x v="0"/>
    <s v="Construccion"/>
    <x v="0"/>
    <s v="430503006"/>
    <s v="1246703"/>
    <s v="AQUAPANEL PL OUTDOOR 12.5MM 1.20X2.4"/>
    <n v="175"/>
    <n v="175"/>
    <s v="UN"/>
    <d v="2025-05-22T00:00:00"/>
    <n v="5"/>
    <d v="2025-05-22T00:00:00"/>
    <d v="2025-06-24T00:00:00"/>
    <x v="5"/>
    <n v="2025"/>
    <n v="5020400"/>
    <n v="5020400"/>
  </r>
  <r>
    <s v="4000006878"/>
    <s v="76201342-8"/>
    <s v="KNAUF CHILE SPA"/>
    <s v="6701216289"/>
    <s v="ZPCD"/>
    <s v="20"/>
    <x v="0"/>
    <s v="101"/>
    <s v="C004"/>
    <s v="E874"/>
    <n v="1"/>
    <s v="Local"/>
    <x v="0"/>
    <s v="Construccion"/>
    <x v="0"/>
    <s v="430507002"/>
    <s v="938731"/>
    <s v="SERVICIO FLETE"/>
    <n v="175"/>
    <n v="175"/>
    <s v="UN"/>
    <d v="2025-05-22T00:00:00"/>
    <n v="5"/>
    <d v="2025-05-22T00:00:00"/>
    <d v="2025-06-24T00:00:00"/>
    <x v="5"/>
    <n v="2025"/>
    <n v="32200"/>
    <n v="32200"/>
  </r>
  <r>
    <s v="4000006878"/>
    <s v="76201342-8"/>
    <s v="KNAUF CHILE SPA"/>
    <s v="6701216289"/>
    <s v="ZPCD"/>
    <s v="30"/>
    <x v="0"/>
    <s v="101"/>
    <s v="C004"/>
    <s v="E874"/>
    <n v="1"/>
    <s v="Local"/>
    <x v="0"/>
    <s v="Construccion"/>
    <x v="0"/>
    <s v="430503006"/>
    <s v="1370563"/>
    <s v="PLACA KNAUF IMPACT 12.5MM 1200X3000"/>
    <n v="195"/>
    <n v="195"/>
    <s v="UN"/>
    <d v="2025-05-22T00:00:00"/>
    <n v="5"/>
    <d v="2025-05-22T00:00:00"/>
    <d v="2025-06-24T00:00:00"/>
    <x v="5"/>
    <n v="2025"/>
    <n v="1750125"/>
    <n v="1750125"/>
  </r>
  <r>
    <s v="4000006878"/>
    <s v="76201342-8"/>
    <s v="KNAUF CHILE SPA"/>
    <s v="6701216289"/>
    <s v="ZPCD"/>
    <s v="40"/>
    <x v="0"/>
    <s v="101"/>
    <s v="C004"/>
    <s v="E874"/>
    <n v="1"/>
    <s v="Local"/>
    <x v="0"/>
    <s v="Construccion"/>
    <x v="0"/>
    <s v="430507002"/>
    <s v="938731"/>
    <s v="SERVICIO FLETE"/>
    <n v="195"/>
    <n v="195"/>
    <s v="UN"/>
    <d v="2025-05-22T00:00:00"/>
    <n v="5"/>
    <d v="2025-05-22T00:00:00"/>
    <d v="2025-06-24T00:00:00"/>
    <x v="5"/>
    <n v="2025"/>
    <n v="33735"/>
    <n v="33735"/>
  </r>
  <r>
    <s v="4000006878"/>
    <s v="76201342-8"/>
    <s v="KNAUF CHILE SPA"/>
    <s v="6701218157"/>
    <s v="ZPCD"/>
    <s v="10"/>
    <x v="0"/>
    <s v="101"/>
    <s v="C004"/>
    <s v="E512"/>
    <n v="1"/>
    <s v="Local"/>
    <x v="0"/>
    <s v="Construccion"/>
    <x v="0"/>
    <s v="430503006"/>
    <s v="1230792"/>
    <s v="PL YESO CARTON RH 12.5X1200X2400MM KNAUF"/>
    <n v="100"/>
    <n v="100"/>
    <s v="M2"/>
    <d v="2025-05-26T00:00:00"/>
    <n v="5"/>
    <d v="2025-05-26T00:00:00"/>
    <d v="2025-06-12T00:00:00"/>
    <x v="5"/>
    <n v="2025"/>
    <n v="926800"/>
    <n v="926800"/>
  </r>
  <r>
    <s v="4000006878"/>
    <s v="76201342-8"/>
    <s v="KNAUF CHILE SPA"/>
    <s v="6701218157"/>
    <s v="ZPCD"/>
    <s v="20"/>
    <x v="0"/>
    <s v="101"/>
    <s v="C004"/>
    <s v="E512"/>
    <n v="1"/>
    <s v="Local"/>
    <x v="0"/>
    <s v="Construccion"/>
    <x v="0"/>
    <s v="430503006"/>
    <s v="1230791"/>
    <s v="PL YESO CARTON RF 12.5X1200X2400MM KNAUF"/>
    <n v="30"/>
    <n v="30"/>
    <s v="M2"/>
    <d v="2025-05-26T00:00:00"/>
    <n v="5"/>
    <d v="2025-05-26T00:00:00"/>
    <d v="2025-06-12T00:00:00"/>
    <x v="5"/>
    <n v="2025"/>
    <n v="196590"/>
    <n v="196590"/>
  </r>
  <r>
    <s v="4000006878"/>
    <s v="76201342-8"/>
    <s v="KNAUF CHILE SPA"/>
    <s v="6701218157"/>
    <s v="ZPCD"/>
    <s v="30"/>
    <x v="0"/>
    <s v="101"/>
    <s v="C004"/>
    <s v="E512"/>
    <n v="1"/>
    <s v="Local"/>
    <x v="0"/>
    <s v="Construccion"/>
    <x v="0"/>
    <s v="430503006"/>
    <s v="1232496"/>
    <s v="PL YESO CARTON RH 15X1200X2400MM KNAUF"/>
    <n v="25"/>
    <n v="25"/>
    <s v="UN"/>
    <d v="2025-05-26T00:00:00"/>
    <n v="5"/>
    <d v="2025-05-26T00:00:00"/>
    <d v="2025-06-12T00:00:00"/>
    <x v="5"/>
    <n v="2025"/>
    <n v="251325"/>
    <n v="251325"/>
  </r>
  <r>
    <s v="4000006878"/>
    <s v="76201342-8"/>
    <s v="KNAUF CHILE SPA"/>
    <s v="6701218157"/>
    <s v="ZPCD"/>
    <s v="40"/>
    <x v="0"/>
    <s v="101"/>
    <s v="C004"/>
    <s v="E512"/>
    <n v="1"/>
    <s v="Local"/>
    <x v="0"/>
    <s v="Construccion"/>
    <x v="0"/>
    <s v="430503006"/>
    <s v="1232497"/>
    <s v="PL YESO CARTON RF 15X1200X2400MM KNAUF"/>
    <n v="25"/>
    <n v="25"/>
    <s v="UN"/>
    <d v="2025-05-26T00:00:00"/>
    <n v="5"/>
    <d v="2025-05-26T00:00:00"/>
    <d v="2025-06-12T00:00:00"/>
    <x v="5"/>
    <n v="2025"/>
    <n v="178250"/>
    <n v="178250"/>
  </r>
  <r>
    <s v="4000006878"/>
    <s v="76201342-8"/>
    <s v="KNAUF CHILE SPA"/>
    <s v="6701218157"/>
    <s v="ZPCD"/>
    <s v="50"/>
    <x v="0"/>
    <s v="101"/>
    <s v="C004"/>
    <s v="E512"/>
    <n v="1"/>
    <s v="Local"/>
    <x v="0"/>
    <s v="Construccion"/>
    <x v="0"/>
    <s v="430503006"/>
    <s v="1441557"/>
    <s v="PLACA AQUAPANEL RESIDENCIAL 8 1200X2400"/>
    <n v="8"/>
    <n v="8"/>
    <s v="UN"/>
    <d v="2025-05-26T00:00:00"/>
    <n v="5"/>
    <d v="2025-05-26T00:00:00"/>
    <d v="2025-06-12T00:00:00"/>
    <x v="5"/>
    <n v="2025"/>
    <n v="161304"/>
    <n v="161304"/>
  </r>
  <r>
    <s v="4000006878"/>
    <s v="76201342-8"/>
    <s v="KNAUF CHILE SPA"/>
    <s v="6701218157"/>
    <s v="ZPCD"/>
    <s v="60"/>
    <x v="0"/>
    <s v="101"/>
    <s v="C004"/>
    <s v="E512"/>
    <n v="1"/>
    <s v="Local"/>
    <x v="0"/>
    <s v="Construccion"/>
    <x v="0"/>
    <s v="430503006"/>
    <s v="1232378"/>
    <s v="PL YESO CARTON ST BR 10X1200X2400 MM KNA"/>
    <n v="10"/>
    <n v="10"/>
    <s v="UN"/>
    <d v="2025-05-26T00:00:00"/>
    <n v="5"/>
    <d v="2025-05-26T00:00:00"/>
    <d v="2025-06-12T00:00:00"/>
    <x v="5"/>
    <n v="2025"/>
    <n v="45650"/>
    <n v="45650"/>
  </r>
  <r>
    <s v="4000006878"/>
    <s v="76201342-8"/>
    <s v="KNAUF CHILE SPA"/>
    <s v="6508469638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2"/>
    <n v="2"/>
    <s v="PAL"/>
    <d v="2025-06-19T00:00:00"/>
    <n v="6"/>
    <d v="2025-07-02T00:00:00"/>
    <d v="2025-06-25T00:00:00"/>
    <x v="5"/>
    <n v="2025"/>
    <n v="702660"/>
    <n v="702660"/>
  </r>
  <r>
    <s v="4000006878"/>
    <s v="76201342-8"/>
    <s v="KNAUF CHILE SPA"/>
    <s v="650846963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6-19T00:00:00"/>
    <n v="6"/>
    <d v="2025-07-02T00:00:00"/>
    <d v="2025-06-25T00:00:00"/>
    <x v="5"/>
    <n v="2025"/>
    <n v="1406000"/>
    <n v="1406000"/>
  </r>
  <r>
    <s v="4000006878"/>
    <s v="76201342-8"/>
    <s v="KNAUF CHILE SPA"/>
    <s v="6701239367"/>
    <s v="ZPCD"/>
    <s v="10"/>
    <x v="0"/>
    <s v=""/>
    <s v="C004"/>
    <s v="E874"/>
    <n v="1"/>
    <s v="Local"/>
    <x v="0"/>
    <s v="Construccion"/>
    <x v="0"/>
    <s v="430201001"/>
    <s v="896692"/>
    <s v="BANDA ACUSTICA 70MM ANCHO ROLLO X 30 M"/>
    <n v="300"/>
    <n v="0"/>
    <s v="ROM"/>
    <d v="2025-06-04T00:00:00"/>
    <n v="6"/>
    <d v="2025-06-05T00:00:00"/>
    <m/>
    <x v="5"/>
    <n v="2025"/>
    <n v="3628800"/>
    <n v="0"/>
  </r>
  <r>
    <s v="4000006878"/>
    <s v="76201342-8"/>
    <s v="KNAUF CHILE SPA"/>
    <s v="6701239367"/>
    <s v="ZPCD"/>
    <s v="20"/>
    <x v="0"/>
    <s v=""/>
    <s v="C004"/>
    <s v="E874"/>
    <n v="1"/>
    <s v="Local"/>
    <x v="0"/>
    <s v="Construccion"/>
    <x v="0"/>
    <s v="430507002"/>
    <s v="938731"/>
    <s v="SERVICIO FLETE"/>
    <n v="300"/>
    <n v="0"/>
    <s v="UN"/>
    <d v="2025-06-04T00:00:00"/>
    <n v="6"/>
    <d v="2025-06-05T00:00:00"/>
    <m/>
    <x v="5"/>
    <n v="2025"/>
    <n v="1080000"/>
    <n v="0"/>
  </r>
  <r>
    <s v="4000006878"/>
    <s v="76201342-8"/>
    <s v="KNAUF CHILE SPA"/>
    <s v="6701246783"/>
    <s v="ZPCD"/>
    <s v="10"/>
    <x v="0"/>
    <s v="101"/>
    <s v="C004"/>
    <s v="E512"/>
    <n v="1"/>
    <s v="Local"/>
    <x v="0"/>
    <s v="Construccion"/>
    <x v="0"/>
    <s v="430503006"/>
    <s v="1441557"/>
    <s v="PLACA AQUAPANEL RESIDENCIAL 8 1200X2400"/>
    <n v="80"/>
    <n v="80"/>
    <s v="UN"/>
    <d v="2025-06-06T00:00:00"/>
    <n v="6"/>
    <d v="2025-06-10T00:00:00"/>
    <d v="2025-06-13T00:00:00"/>
    <x v="5"/>
    <n v="2025"/>
    <n v="1613040"/>
    <n v="1613040"/>
  </r>
  <r>
    <s v="4000006878"/>
    <s v="76201342-8"/>
    <s v="KNAUF CHILE SPA"/>
    <s v="6701246783"/>
    <s v="ZPCD"/>
    <s v="20"/>
    <x v="0"/>
    <s v="101"/>
    <s v="C004"/>
    <s v="E512"/>
    <n v="1"/>
    <s v="Local"/>
    <x v="0"/>
    <s v="Construccion"/>
    <x v="0"/>
    <s v="430503006"/>
    <s v="1230792"/>
    <s v="PL YESO CARTON RH 12.5X1200X2400MM KNAUF"/>
    <n v="150"/>
    <n v="150"/>
    <s v="M2"/>
    <d v="2025-06-06T00:00:00"/>
    <n v="6"/>
    <d v="2025-06-10T00:00:00"/>
    <d v="2025-06-13T00:00:00"/>
    <x v="5"/>
    <n v="2025"/>
    <n v="1390200"/>
    <n v="1390200"/>
  </r>
  <r>
    <s v="4000006878"/>
    <s v="76201342-8"/>
    <s v="KNAUF CHILE SPA"/>
    <s v="6701246783"/>
    <s v="ZPCD"/>
    <s v="30"/>
    <x v="0"/>
    <s v="101"/>
    <s v="C004"/>
    <s v="E512"/>
    <n v="1"/>
    <s v="Local"/>
    <x v="0"/>
    <s v="Construccion"/>
    <x v="0"/>
    <s v="430503006"/>
    <s v="1230791"/>
    <s v="PL YESO CARTON RF 12.5X1200X2400MM KNAUF"/>
    <n v="60"/>
    <n v="60"/>
    <s v="M2"/>
    <d v="2025-06-06T00:00:00"/>
    <n v="6"/>
    <d v="2025-06-10T00:00:00"/>
    <d v="2025-06-13T00:00:00"/>
    <x v="5"/>
    <n v="2025"/>
    <n v="393180"/>
    <n v="393180"/>
  </r>
  <r>
    <s v="4000006878"/>
    <s v="76201342-8"/>
    <s v="KNAUF CHILE SPA"/>
    <s v="6701247192"/>
    <s v="ZPCD"/>
    <s v="10"/>
    <x v="0"/>
    <s v=""/>
    <s v="C004"/>
    <s v="E874"/>
    <n v="1"/>
    <s v="Local"/>
    <x v="0"/>
    <s v="Construccion"/>
    <x v="0"/>
    <s v="430201001"/>
    <s v="896692"/>
    <s v="BANDA ACUSTICA 70MM ANCHO ROLLO X 30 M"/>
    <n v="300"/>
    <n v="0"/>
    <s v="ROM"/>
    <d v="2025-06-06T00:00:00"/>
    <n v="6"/>
    <d v="2025-06-06T00:00:00"/>
    <m/>
    <x v="5"/>
    <n v="2025"/>
    <n v="3628800"/>
    <n v="0"/>
  </r>
  <r>
    <s v="4000006878"/>
    <s v="76201342-8"/>
    <s v="KNAUF CHILE SPA"/>
    <s v="6701247192"/>
    <s v="ZPCD"/>
    <s v="20"/>
    <x v="0"/>
    <s v=""/>
    <s v="C004"/>
    <s v="E874"/>
    <n v="1"/>
    <s v="Local"/>
    <x v="0"/>
    <s v="Construccion"/>
    <x v="0"/>
    <s v="430507002"/>
    <s v="938731"/>
    <s v="SERVICIO FLETE"/>
    <n v="300"/>
    <n v="0"/>
    <s v="UN"/>
    <d v="2025-06-06T00:00:00"/>
    <n v="6"/>
    <d v="2025-06-06T00:00:00"/>
    <m/>
    <x v="5"/>
    <n v="2025"/>
    <n v="1080000"/>
    <n v="0"/>
  </r>
  <r>
    <s v="4000006878"/>
    <s v="76201342-8"/>
    <s v="KNAUF CHILE SPA"/>
    <s v="6701248979"/>
    <s v="ZPCD"/>
    <s v="10"/>
    <x v="0"/>
    <s v="101"/>
    <s v="C004"/>
    <s v="E508"/>
    <n v="1"/>
    <s v="Local"/>
    <x v="0"/>
    <s v="Construccion"/>
    <x v="0"/>
    <s v="430502003"/>
    <s v="1233875"/>
    <s v="PLACA THERMATEX MERCURE 610X610"/>
    <n v="41"/>
    <n v="41"/>
    <s v="UN"/>
    <d v="2025-06-09T00:00:00"/>
    <n v="6"/>
    <d v="2025-06-10T00:00:00"/>
    <d v="2025-06-19T00:00:00"/>
    <x v="5"/>
    <n v="2025"/>
    <n v="1886615"/>
    <n v="1886615"/>
  </r>
  <r>
    <s v="4000006878"/>
    <s v="76201342-8"/>
    <s v="KNAUF CHILE SPA"/>
    <s v="6701248979"/>
    <s v="ZPCD"/>
    <s v="20"/>
    <x v="0"/>
    <s v="101"/>
    <s v="C004"/>
    <s v="E508"/>
    <n v="1"/>
    <s v="Local"/>
    <x v="0"/>
    <s v="Construccion"/>
    <x v="0"/>
    <s v="430502002"/>
    <s v="1281906"/>
    <s v="PERFIL PRINCIPAL 15 16 VT243660ML25"/>
    <n v="2"/>
    <n v="2"/>
    <s v="UN"/>
    <d v="2025-06-09T00:00:00"/>
    <n v="6"/>
    <d v="2025-06-10T00:00:00"/>
    <d v="2025-06-19T00:00:00"/>
    <x v="5"/>
    <n v="2025"/>
    <n v="207098"/>
    <n v="207098"/>
  </r>
  <r>
    <s v="4000006878"/>
    <s v="76201342-8"/>
    <s v="KNAUF CHILE SPA"/>
    <s v="6701248979"/>
    <s v="ZPCD"/>
    <s v="30"/>
    <x v="0"/>
    <s v="101"/>
    <s v="C004"/>
    <s v="E508"/>
    <n v="1"/>
    <s v="Local"/>
    <x v="0"/>
    <s v="Construccion"/>
    <x v="0"/>
    <s v="430502002"/>
    <s v="1266134"/>
    <s v="SECUNDARIO 15/16 VT24 1220ML 50"/>
    <n v="5"/>
    <n v="5"/>
    <s v="UN"/>
    <d v="2025-06-09T00:00:00"/>
    <n v="6"/>
    <d v="2025-06-10T00:00:00"/>
    <d v="2025-06-19T00:00:00"/>
    <x v="5"/>
    <n v="2025"/>
    <n v="380015"/>
    <n v="380015"/>
  </r>
  <r>
    <s v="4000006878"/>
    <s v="76201342-8"/>
    <s v="KNAUF CHILE SPA"/>
    <s v="6701248979"/>
    <s v="ZPCD"/>
    <s v="40"/>
    <x v="0"/>
    <s v="101"/>
    <s v="C004"/>
    <s v="E508"/>
    <n v="1"/>
    <s v="Local"/>
    <x v="0"/>
    <s v="Construccion"/>
    <x v="0"/>
    <s v="430502002"/>
    <s v="1266135"/>
    <s v="TRAVESANO 15/16VT24 610 ML 50"/>
    <n v="4"/>
    <n v="4"/>
    <s v="UN"/>
    <d v="2025-06-09T00:00:00"/>
    <n v="6"/>
    <d v="2025-06-10T00:00:00"/>
    <d v="2025-06-19T00:00:00"/>
    <x v="5"/>
    <n v="2025"/>
    <n v="244140"/>
    <n v="244140"/>
  </r>
  <r>
    <s v="4000006878"/>
    <s v="76201342-8"/>
    <s v="KNAUF CHILE SPA"/>
    <s v="6701248979"/>
    <s v="ZPCD"/>
    <s v="50"/>
    <x v="0"/>
    <s v="101"/>
    <s v="C004"/>
    <s v="E508"/>
    <n v="1"/>
    <s v="Local"/>
    <x v="0"/>
    <s v="Construccion"/>
    <x v="0"/>
    <s v="430502002"/>
    <s v="1266136"/>
    <s v="PERIMETRAL 20/20 3000MM 50"/>
    <n v="1"/>
    <n v="1"/>
    <s v="UN"/>
    <d v="2025-06-09T00:00:00"/>
    <n v="6"/>
    <d v="2025-06-10T00:00:00"/>
    <d v="2025-06-19T00:00:00"/>
    <x v="5"/>
    <n v="2025"/>
    <n v="100026"/>
    <n v="100026"/>
  </r>
  <r>
    <s v="4000006878"/>
    <s v="76201342-8"/>
    <s v="KNAUF CHILE SPA"/>
    <s v="6701249468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6-10T00:00:00"/>
    <n v="6"/>
    <d v="2025-06-11T00:00:00"/>
    <d v="2025-06-24T00:00:00"/>
    <x v="5"/>
    <n v="2025"/>
    <n v="7257600"/>
    <n v="7257600"/>
  </r>
  <r>
    <s v="4000006878"/>
    <s v="76201342-8"/>
    <s v="KNAUF CHILE SPA"/>
    <s v="6701249468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6-10T00:00:00"/>
    <n v="6"/>
    <d v="2025-06-11T00:00:00"/>
    <d v="2025-06-24T00:00:00"/>
    <x v="5"/>
    <n v="2025"/>
    <n v="2400"/>
    <n v="2400"/>
  </r>
  <r>
    <s v="4000006878"/>
    <s v="76201342-8"/>
    <s v="KNAUF CHILE SPA"/>
    <s v="6701200316"/>
    <s v="ZPCD"/>
    <s v="10"/>
    <x v="0"/>
    <s v="101"/>
    <s v="C004"/>
    <s v="E652"/>
    <n v="1"/>
    <s v="Local"/>
    <x v="0"/>
    <s v="Construccion"/>
    <x v="0"/>
    <s v="430103001"/>
    <s v="1306621"/>
    <s v="YESO CARTON RH BR 12.5X1.2X2.4"/>
    <n v="1566"/>
    <n v="1566"/>
    <s v="UN"/>
    <d v="2025-04-16T00:00:00"/>
    <n v="4"/>
    <d v="2025-06-18T00:00:00"/>
    <d v="2025-06-26T00:00:00"/>
    <x v="5"/>
    <n v="2025"/>
    <n v="12642318"/>
    <n v="12642318"/>
  </r>
  <r>
    <s v="4000006878"/>
    <s v="76201342-8"/>
    <s v="KNAUF CHILE SPA"/>
    <s v="6701200316"/>
    <s v="ZPCD"/>
    <s v="20"/>
    <x v="0"/>
    <s v="101"/>
    <s v="C004"/>
    <s v="E652"/>
    <n v="1"/>
    <s v="Local"/>
    <x v="0"/>
    <s v="Construccion"/>
    <x v="0"/>
    <s v="430507002"/>
    <s v="938731"/>
    <s v="SERVICIO FLETE"/>
    <n v="1566"/>
    <n v="1566"/>
    <s v="UN"/>
    <d v="2025-04-16T00:00:00"/>
    <n v="4"/>
    <d v="2025-06-18T00:00:00"/>
    <d v="2025-06-26T00:00:00"/>
    <x v="5"/>
    <n v="2025"/>
    <n v="447876"/>
    <n v="447876"/>
  </r>
  <r>
    <s v="4000006878"/>
    <s v="76201342-8"/>
    <s v="KNAUF CHILE SPA"/>
    <s v="6701212910"/>
    <s v="ZPCD"/>
    <s v="50"/>
    <x v="0"/>
    <s v="101"/>
    <s v="C004"/>
    <s v="E652"/>
    <n v="1"/>
    <s v="Local"/>
    <x v="0"/>
    <s v="Construccion"/>
    <x v="0"/>
    <s v="430502003"/>
    <s v="1239022"/>
    <s v="PLACA CEMENTICA AQUAPANAL 8MM 120X240"/>
    <n v="301"/>
    <n v="237"/>
    <s v="UN"/>
    <d v="2025-05-14T00:00:00"/>
    <n v="5"/>
    <d v="2025-08-14T00:00:00"/>
    <d v="2025-06-04T00:00:00"/>
    <x v="5"/>
    <n v="2025"/>
    <n v="4581822"/>
    <n v="3607614"/>
  </r>
  <r>
    <s v="4000006878"/>
    <s v="76201342-8"/>
    <s v="KNAUF CHILE SPA"/>
    <s v="6701212910"/>
    <s v="ZPCD"/>
    <s v="70"/>
    <x v="0"/>
    <s v="101"/>
    <s v="C004"/>
    <s v="E652"/>
    <n v="1"/>
    <s v="Local"/>
    <x v="0"/>
    <s v="Construccion"/>
    <x v="0"/>
    <s v="430503006"/>
    <s v="118468"/>
    <s v="PLANCHA YESO CARTON ST BR 15X1200X2400MM"/>
    <n v="1003"/>
    <n v="870"/>
    <s v="UN"/>
    <d v="2025-05-14T00:00:00"/>
    <n v="5"/>
    <d v="2025-08-14T00:00:00"/>
    <d v="2025-06-04T00:00:00"/>
    <x v="5"/>
    <n v="2025"/>
    <n v="5610782"/>
    <n v="4866780"/>
  </r>
  <r>
    <s v="4000006878"/>
    <s v="76201342-8"/>
    <s v="KNAUF CHILE SPA"/>
    <s v="6508450760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6-09T00:00:00"/>
    <n v="6"/>
    <d v="2025-06-19T00:00:00"/>
    <d v="2025-06-18T00:00:00"/>
    <x v="5"/>
    <n v="2025"/>
    <n v="1405320"/>
    <n v="1405320"/>
  </r>
  <r>
    <s v="4000006878"/>
    <s v="76201342-8"/>
    <s v="KNAUF CHILE SPA"/>
    <s v="6508450760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6-09T00:00:00"/>
    <n v="6"/>
    <d v="2025-06-19T00:00:00"/>
    <d v="2025-06-18T00:00:00"/>
    <x v="5"/>
    <n v="2025"/>
    <n v="1406000"/>
    <n v="1406000"/>
  </r>
  <r>
    <s v="4000006878"/>
    <s v="76201342-8"/>
    <s v="KNAUF CHILE SPA"/>
    <s v="6508450761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6-09T00:00:00"/>
    <n v="6"/>
    <d v="2025-06-27T00:00:00"/>
    <d v="2025-06-25T00:00:00"/>
    <x v="5"/>
    <n v="2025"/>
    <n v="732480"/>
    <n v="732480"/>
  </r>
  <r>
    <s v="4000006878"/>
    <s v="76201342-8"/>
    <s v="KNAUF CHILE SPA"/>
    <s v="6508450761"/>
    <s v="ZPMC"/>
    <s v="20"/>
    <x v="1"/>
    <s v="101"/>
    <s v="C004"/>
    <s v="E521"/>
    <n v="1"/>
    <s v="Local"/>
    <x v="0"/>
    <s v="Construccion"/>
    <x v="0"/>
    <s v="430503006"/>
    <s v="1232378"/>
    <s v="PLANCA YESO CARTON ST BR 10X1200X2400MM"/>
    <n v="5"/>
    <n v="5"/>
    <s v="PAL"/>
    <d v="2025-06-09T00:00:00"/>
    <n v="6"/>
    <d v="2025-06-27T00:00:00"/>
    <d v="2025-06-25T00:00:00"/>
    <x v="5"/>
    <n v="2025"/>
    <n v="1756650"/>
    <n v="1756650"/>
  </r>
  <r>
    <s v="4000006878"/>
    <s v="76201342-8"/>
    <s v="KNAUF CHILE SPA"/>
    <s v="6508450761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2"/>
    <n v="2"/>
    <s v="PAL"/>
    <d v="2025-06-09T00:00:00"/>
    <n v="6"/>
    <d v="2025-06-27T00:00:00"/>
    <d v="2025-06-25T00:00:00"/>
    <x v="5"/>
    <n v="2025"/>
    <n v="703000"/>
    <n v="703000"/>
  </r>
  <r>
    <s v="4000006878"/>
    <s v="76201342-8"/>
    <s v="KNAUF CHILE SPA"/>
    <s v="6508450762"/>
    <s v="ZPMC"/>
    <s v="10"/>
    <x v="1"/>
    <s v="101"/>
    <s v="C004"/>
    <s v="E988"/>
    <n v="1"/>
    <s v="Local"/>
    <x v="0"/>
    <s v="Construccion"/>
    <x v="0"/>
    <s v="430503006"/>
    <s v="1232378"/>
    <s v="PLANCA YESO CARTON ST BR 10X1200X2400MM"/>
    <n v="4"/>
    <n v="4"/>
    <s v="PAL"/>
    <d v="2025-06-09T00:00:00"/>
    <n v="6"/>
    <d v="2025-06-19T00:00:00"/>
    <d v="2025-06-19T00:00:00"/>
    <x v="5"/>
    <n v="2025"/>
    <n v="1405320"/>
    <n v="1405320"/>
  </r>
  <r>
    <s v="4000006878"/>
    <s v="76201342-8"/>
    <s v="KNAUF CHILE SPA"/>
    <s v="6508450762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6-09T00:00:00"/>
    <n v="6"/>
    <d v="2025-06-19T00:00:00"/>
    <d v="2025-06-19T00:00:00"/>
    <x v="5"/>
    <n v="2025"/>
    <n v="703000"/>
    <n v="703000"/>
  </r>
  <r>
    <s v="4000006878"/>
    <s v="76201342-8"/>
    <s v="KNAUF CHILE SPA"/>
    <s v="6508458485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6-13T00:00:00"/>
    <n v="6"/>
    <d v="2025-06-25T00:00:00"/>
    <d v="2025-06-25T00:00:00"/>
    <x v="5"/>
    <n v="2025"/>
    <n v="1405320"/>
    <n v="1405320"/>
  </r>
  <r>
    <s v="4000006878"/>
    <s v="76201342-8"/>
    <s v="KNAUF CHILE SPA"/>
    <s v="6508458486"/>
    <s v="ZPMC"/>
    <s v="10"/>
    <x v="1"/>
    <s v="101"/>
    <s v="C004"/>
    <s v="E521"/>
    <n v="1"/>
    <s v="Local"/>
    <x v="0"/>
    <s v="Construccion"/>
    <x v="0"/>
    <s v="430503006"/>
    <s v="1232378"/>
    <s v="PLANCA YESO CARTON ST BR 10X1200X2400MM"/>
    <n v="14"/>
    <n v="14"/>
    <s v="PAL"/>
    <d v="2025-06-13T00:00:00"/>
    <n v="6"/>
    <d v="2025-06-27T00:00:00"/>
    <d v="2025-06-25T00:00:00"/>
    <x v="5"/>
    <n v="2025"/>
    <n v="4918620"/>
    <n v="4918620"/>
  </r>
  <r>
    <s v="4000006878"/>
    <s v="76201342-8"/>
    <s v="KNAUF CHILE SPA"/>
    <s v="6508458486"/>
    <s v="ZPMC"/>
    <s v="2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06-13T00:00:00"/>
    <n v="6"/>
    <d v="2025-06-27T00:00:00"/>
    <d v="2025-06-25T00:00:00"/>
    <x v="5"/>
    <n v="2025"/>
    <n v="1054500"/>
    <n v="1054500"/>
  </r>
  <r>
    <s v="4000006878"/>
    <s v="76201342-8"/>
    <s v="KNAUF CHILE SPA"/>
    <s v="6508458487"/>
    <s v="ZPMC"/>
    <s v="10"/>
    <x v="1"/>
    <s v="101"/>
    <s v="C004"/>
    <s v="E988"/>
    <n v="1"/>
    <s v="Local"/>
    <x v="0"/>
    <s v="Construccion"/>
    <x v="0"/>
    <s v="430503006"/>
    <s v="1232378"/>
    <s v="PLANCA YESO CARTON ST BR 10X1200X2400MM"/>
    <n v="4"/>
    <n v="4"/>
    <s v="PAL"/>
    <d v="2025-06-13T00:00:00"/>
    <n v="6"/>
    <d v="2025-06-25T00:00:00"/>
    <d v="2025-06-19T00:00:00"/>
    <x v="5"/>
    <n v="2025"/>
    <n v="1405320"/>
    <n v="1405320"/>
  </r>
  <r>
    <s v="4000006878"/>
    <s v="76201342-8"/>
    <s v="KNAUF CHILE SPA"/>
    <s v="650845848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6-13T00:00:00"/>
    <n v="6"/>
    <d v="2025-06-25T00:00:00"/>
    <d v="2025-06-19T00:00:00"/>
    <x v="5"/>
    <n v="2025"/>
    <n v="703000"/>
    <n v="703000"/>
  </r>
  <r>
    <s v="4000006878"/>
    <s v="76201342-8"/>
    <s v="KNAUF CHILE SPA"/>
    <s v="6701224004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84"/>
    <n v="84"/>
    <s v="ROM"/>
    <d v="2025-06-02T00:00:00"/>
    <n v="6"/>
    <d v="2025-10-03T00:00:00"/>
    <d v="2025-06-10T00:00:00"/>
    <x v="5"/>
    <n v="2025"/>
    <n v="809592"/>
    <n v="809592"/>
  </r>
  <r>
    <s v="4000006878"/>
    <s v="76201342-8"/>
    <s v="KNAUF CHILE SPA"/>
    <s v="6701203449"/>
    <s v="ZPCD"/>
    <s v="20"/>
    <x v="0"/>
    <s v="101"/>
    <s v="C004"/>
    <s v="E507"/>
    <n v="1"/>
    <s v="Local"/>
    <x v="0"/>
    <s v="Construccion"/>
    <x v="0"/>
    <s v="430406006"/>
    <s v="1249500"/>
    <s v="PUENTE ADHERENTE YESO BETOKONTAKT 20KG"/>
    <n v="69"/>
    <n v="45"/>
    <s v="UN"/>
    <d v="2025-04-25T00:00:00"/>
    <n v="4"/>
    <d v="2025-04-29T00:00:00"/>
    <d v="2025-06-24T00:00:00"/>
    <x v="5"/>
    <n v="2025"/>
    <n v="4369287"/>
    <n v="2849535"/>
  </r>
  <r>
    <s v="4000006878"/>
    <s v="76201342-8"/>
    <s v="KNAUF CHILE SPA"/>
    <s v="6701230108"/>
    <s v="ZPCD"/>
    <s v="10"/>
    <x v="0"/>
    <s v="101"/>
    <s v="C004"/>
    <s v="E592"/>
    <n v="1"/>
    <s v="Local"/>
    <x v="0"/>
    <s v="Construccion"/>
    <x v="0"/>
    <s v="430503006"/>
    <s v="118468"/>
    <s v="PLANCA YESO CARTON ST BR 15X1200X2400MM"/>
    <n v="780"/>
    <n v="700"/>
    <s v="UN"/>
    <d v="2025-06-03T00:00:00"/>
    <n v="6"/>
    <d v="2025-06-04T00:00:00"/>
    <d v="2025-07-31T00:00:00"/>
    <x v="6"/>
    <n v="2025"/>
    <n v="4418700"/>
    <n v="3965500"/>
  </r>
  <r>
    <s v="4000006878"/>
    <s v="76201342-8"/>
    <s v="KNAUF CHILE SPA"/>
    <s v="6701230108"/>
    <s v="ZPCD"/>
    <s v="20"/>
    <x v="0"/>
    <s v="101"/>
    <s v="C004"/>
    <s v="E592"/>
    <n v="1"/>
    <s v="Local"/>
    <x v="0"/>
    <s v="Construccion"/>
    <x v="0"/>
    <s v="430503006"/>
    <s v="118500"/>
    <s v="PLANCA YESO CARTON RH 15X1200X2400MM"/>
    <n v="294"/>
    <n v="294"/>
    <s v="UN"/>
    <d v="2025-06-03T00:00:00"/>
    <n v="6"/>
    <d v="2025-06-04T00:00:00"/>
    <d v="2025-07-04T00:00:00"/>
    <x v="6"/>
    <n v="2025"/>
    <n v="2783004"/>
    <n v="2783004"/>
  </r>
  <r>
    <s v="4000006878"/>
    <s v="76201342-8"/>
    <s v="KNAUF CHILE SPA"/>
    <s v="6701230108"/>
    <s v="ZPCD"/>
    <s v="30"/>
    <x v="0"/>
    <s v="101"/>
    <s v="C004"/>
    <s v="E592"/>
    <n v="1"/>
    <s v="Local"/>
    <x v="0"/>
    <s v="Construccion"/>
    <x v="0"/>
    <s v="430503006"/>
    <s v="1232497"/>
    <s v="PL YESO CARTON RF 15X1200X2400MM KNAUF"/>
    <n v="1373"/>
    <n v="400"/>
    <s v="UN"/>
    <d v="2025-06-03T00:00:00"/>
    <n v="6"/>
    <d v="2025-06-04T00:00:00"/>
    <d v="2025-07-04T00:00:00"/>
    <x v="6"/>
    <n v="2025"/>
    <n v="8747383"/>
    <n v="2548400"/>
  </r>
  <r>
    <s v="4000006878"/>
    <s v="76201342-8"/>
    <s v="KNAUF CHILE SPA"/>
    <s v="6701230108"/>
    <s v="ZPCD"/>
    <s v="40"/>
    <x v="0"/>
    <s v="101"/>
    <s v="C004"/>
    <s v="E592"/>
    <n v="1"/>
    <s v="Local"/>
    <x v="0"/>
    <s v="Construccion"/>
    <x v="0"/>
    <s v="430507002"/>
    <s v="938731"/>
    <s v="SERVICIO FLETE"/>
    <n v="3"/>
    <n v="2"/>
    <s v="UN"/>
    <d v="2025-06-03T00:00:00"/>
    <n v="6"/>
    <d v="2025-06-04T00:00:00"/>
    <d v="2025-07-04T00:00:00"/>
    <x v="6"/>
    <n v="2025"/>
    <n v="1500000"/>
    <n v="1000000"/>
  </r>
  <r>
    <s v="4000006878"/>
    <s v="76201342-8"/>
    <s v="KNAUF CHILE SPA"/>
    <s v="6508469639"/>
    <s v="ZPMC"/>
    <s v="10"/>
    <x v="1"/>
    <s v="101"/>
    <s v="C004"/>
    <s v="E843"/>
    <n v="1"/>
    <s v="Local"/>
    <x v="0"/>
    <s v="Construccion"/>
    <x v="0"/>
    <s v="430503006"/>
    <s v="1232378"/>
    <s v="PLANCA YESO CARTON ST BR 10X1200X2400MM"/>
    <n v="4"/>
    <n v="4"/>
    <s v="PAL"/>
    <d v="2025-06-19T00:00:00"/>
    <n v="6"/>
    <d v="2025-07-02T00:00:00"/>
    <d v="2025-07-01T00:00:00"/>
    <x v="6"/>
    <n v="2025"/>
    <n v="1405320"/>
    <n v="1405320"/>
  </r>
  <r>
    <s v="4000006878"/>
    <s v="76201342-8"/>
    <s v="KNAUF CHILE SPA"/>
    <s v="650847949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2"/>
    <n v="2"/>
    <s v="PAL"/>
    <d v="2025-06-27T00:00:00"/>
    <n v="6"/>
    <d v="2025-07-09T00:00:00"/>
    <d v="2025-07-09T00:00:00"/>
    <x v="6"/>
    <n v="2025"/>
    <n v="702660"/>
    <n v="702660"/>
  </r>
  <r>
    <s v="4000006878"/>
    <s v="76201342-8"/>
    <s v="KNAUF CHILE SPA"/>
    <s v="6508479492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6-27T00:00:00"/>
    <n v="6"/>
    <d v="2025-07-09T00:00:00"/>
    <d v="2025-07-09T00:00:00"/>
    <x v="6"/>
    <n v="2025"/>
    <n v="703000"/>
    <n v="703000"/>
  </r>
  <r>
    <s v="4000006878"/>
    <s v="76201342-8"/>
    <s v="KNAUF CHILE SPA"/>
    <s v="6508479493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6-27T00:00:00"/>
    <n v="6"/>
    <d v="2025-07-09T00:00:00"/>
    <d v="2025-07-09T00:00:00"/>
    <x v="6"/>
    <n v="2025"/>
    <n v="1405320"/>
    <n v="1405320"/>
  </r>
  <r>
    <s v="4000006878"/>
    <s v="76201342-8"/>
    <s v="KNAUF CHILE SPA"/>
    <s v="6701253701"/>
    <s v="ZPCD"/>
    <s v="10"/>
    <x v="0"/>
    <s v="101"/>
    <s v="C004"/>
    <s v="E592"/>
    <n v="1"/>
    <s v="Local"/>
    <x v="0"/>
    <s v="Construccion"/>
    <x v="0"/>
    <s v="430503006"/>
    <s v="1266350"/>
    <s v="YESO CARTON RH 15X1200X2400 MM"/>
    <n v="160"/>
    <n v="160"/>
    <s v="UN"/>
    <d v="2025-06-19T00:00:00"/>
    <n v="6"/>
    <d v="2025-06-20T00:00:00"/>
    <d v="2025-07-24T00:00:00"/>
    <x v="6"/>
    <n v="2025"/>
    <n v="1514560"/>
    <n v="1514560"/>
  </r>
  <r>
    <s v="4000006878"/>
    <s v="76201342-8"/>
    <s v="KNAUF CHILE SPA"/>
    <s v="6701253701"/>
    <s v="ZPCD"/>
    <s v="20"/>
    <x v="0"/>
    <s v="101"/>
    <s v="C004"/>
    <s v="E592"/>
    <n v="1"/>
    <s v="Local"/>
    <x v="0"/>
    <s v="Construccion"/>
    <x v="0"/>
    <s v="430503006"/>
    <s v="1153805"/>
    <s v="PLANCHA YESO CARTON ST 12.5X1200X2400MM"/>
    <n v="150"/>
    <n v="150"/>
    <s v="UN"/>
    <d v="2025-06-19T00:00:00"/>
    <n v="6"/>
    <d v="2025-06-20T00:00:00"/>
    <d v="2025-07-24T00:00:00"/>
    <x v="6"/>
    <n v="2025"/>
    <n v="794250"/>
    <n v="794250"/>
  </r>
  <r>
    <s v="4000006878"/>
    <s v="76201342-8"/>
    <s v="KNAUF CHILE SPA"/>
    <s v="6701253701"/>
    <s v="ZPCD"/>
    <s v="30"/>
    <x v="0"/>
    <s v="101"/>
    <s v="C004"/>
    <s v="E592"/>
    <n v="1"/>
    <s v="Local"/>
    <x v="0"/>
    <s v="Construccion"/>
    <x v="0"/>
    <s v="430507002"/>
    <s v="938731"/>
    <s v="SERVICIO FLETE"/>
    <n v="1"/>
    <n v="1"/>
    <s v="UN"/>
    <d v="2025-06-19T00:00:00"/>
    <n v="6"/>
    <d v="2025-06-20T00:00:00"/>
    <d v="2025-07-24T00:00:00"/>
    <x v="6"/>
    <n v="2025"/>
    <n v="500000"/>
    <n v="500000"/>
  </r>
  <r>
    <s v="4000006878"/>
    <s v="76201342-8"/>
    <s v="KNAUF CHILE SPA"/>
    <s v="6701254844"/>
    <s v="ZPCD"/>
    <s v="10"/>
    <x v="0"/>
    <s v="101"/>
    <s v="C004"/>
    <s v="E652"/>
    <n v="1"/>
    <s v="Local"/>
    <x v="0"/>
    <s v="Construccion"/>
    <x v="0"/>
    <s v="430503006"/>
    <s v="1232378"/>
    <s v="PLANCHA YESO CARTON ST BR 10MMX1.2X2.4M"/>
    <n v="73"/>
    <n v="73"/>
    <s v="UN"/>
    <d v="2025-06-23T00:00:00"/>
    <n v="6"/>
    <d v="2025-07-02T00:00:00"/>
    <d v="2025-07-07T00:00:00"/>
    <x v="6"/>
    <n v="2025"/>
    <n v="306308"/>
    <n v="306308"/>
  </r>
  <r>
    <s v="4000006878"/>
    <s v="76201342-8"/>
    <s v="KNAUF CHILE SPA"/>
    <s v="6701255440"/>
    <s v="ZPCD"/>
    <s v="10"/>
    <x v="0"/>
    <s v="101"/>
    <s v="C004"/>
    <s v="E652"/>
    <n v="1"/>
    <s v="Local"/>
    <x v="0"/>
    <s v="Construccion"/>
    <x v="0"/>
    <s v="430502003"/>
    <s v="1233875"/>
    <s v="PLACA THERMATEX MERCURE 610X610"/>
    <n v="90"/>
    <n v="90"/>
    <s v="UN"/>
    <d v="2025-06-24T00:00:00"/>
    <n v="6"/>
    <d v="2025-06-25T00:00:00"/>
    <d v="2025-07-09T00:00:00"/>
    <x v="6"/>
    <n v="2025"/>
    <n v="6055920"/>
    <n v="6055920"/>
  </r>
  <r>
    <s v="4000006878"/>
    <s v="76201342-8"/>
    <s v="KNAUF CHILE SPA"/>
    <s v="6701255440"/>
    <s v="ZPCD"/>
    <s v="20"/>
    <x v="0"/>
    <s v="101"/>
    <s v="C004"/>
    <s v="E652"/>
    <n v="1"/>
    <s v="Local"/>
    <x v="0"/>
    <s v="Construccion"/>
    <x v="0"/>
    <s v="430507002"/>
    <s v="938731"/>
    <s v="SERVICIO FLETE"/>
    <n v="90"/>
    <n v="90"/>
    <s v="UN"/>
    <d v="2025-06-24T00:00:00"/>
    <n v="6"/>
    <d v="2025-06-25T00:00:00"/>
    <d v="2025-07-09T00:00:00"/>
    <x v="6"/>
    <n v="2025"/>
    <n v="27360"/>
    <n v="27360"/>
  </r>
  <r>
    <s v="4000006878"/>
    <s v="76201342-8"/>
    <s v="KNAUF CHILE SPA"/>
    <s v="6701255536"/>
    <s v="ZPCD"/>
    <s v="10"/>
    <x v="0"/>
    <s v="101"/>
    <s v="C004"/>
    <s v="E510"/>
    <n v="1"/>
    <s v="Local"/>
    <x v="0"/>
    <s v="Construccion"/>
    <x v="0"/>
    <s v="430502003"/>
    <s v="1239233"/>
    <s v="PLACA IMPACT 15MM 120X240"/>
    <n v="12"/>
    <n v="12"/>
    <s v="UN"/>
    <d v="2025-06-26T00:00:00"/>
    <n v="6"/>
    <d v="2025-06-27T00:00:00"/>
    <d v="2025-07-07T00:00:00"/>
    <x v="6"/>
    <n v="2025"/>
    <n v="174636"/>
    <n v="174636"/>
  </r>
  <r>
    <s v="4000006878"/>
    <s v="76201342-8"/>
    <s v="KNAUF CHILE SPA"/>
    <s v="6701255536"/>
    <s v="ZPCD"/>
    <s v="20"/>
    <x v="0"/>
    <s v="101"/>
    <s v="C004"/>
    <s v="E510"/>
    <n v="1"/>
    <s v="Local"/>
    <x v="0"/>
    <s v="Construccion"/>
    <x v="0"/>
    <s v="430102005"/>
    <s v="1315155"/>
    <s v="CINTA MALLA 48 MM X 45 M"/>
    <n v="5"/>
    <n v="5"/>
    <s v="UN"/>
    <d v="2025-06-26T00:00:00"/>
    <n v="6"/>
    <d v="2025-06-27T00:00:00"/>
    <d v="2025-07-07T00:00:00"/>
    <x v="6"/>
    <n v="2025"/>
    <n v="6370"/>
    <n v="6370"/>
  </r>
  <r>
    <s v="4000006878"/>
    <s v="76201342-8"/>
    <s v="KNAUF CHILE SPA"/>
    <s v="6701255536"/>
    <s v="ZPCD"/>
    <s v="30"/>
    <x v="0"/>
    <s v="101"/>
    <s v="C004"/>
    <s v="E510"/>
    <n v="1"/>
    <s v="Local"/>
    <x v="0"/>
    <s v="Construccion"/>
    <x v="0"/>
    <s v="430506002"/>
    <s v="1413158"/>
    <s v="MASILLA JOINTFILLER 20 KG"/>
    <n v="1"/>
    <n v="1"/>
    <s v="UN"/>
    <d v="2025-06-26T00:00:00"/>
    <n v="6"/>
    <d v="2025-06-27T00:00:00"/>
    <d v="2025-07-07T00:00:00"/>
    <x v="6"/>
    <n v="2025"/>
    <n v="8594"/>
    <n v="8594"/>
  </r>
  <r>
    <s v="4000006878"/>
    <s v="76201342-8"/>
    <s v="KNAUF CHILE SPA"/>
    <s v="6701255536"/>
    <s v="ZPCD"/>
    <s v="40"/>
    <x v="0"/>
    <s v="101"/>
    <s v="C004"/>
    <s v="E510"/>
    <n v="1"/>
    <s v="Local"/>
    <x v="0"/>
    <s v="Construccion"/>
    <x v="0"/>
    <s v="430201001"/>
    <s v="896692"/>
    <s v="BANDA ACUSTICA 70MM ANCHO ROLLO X 30 M"/>
    <n v="3"/>
    <n v="3"/>
    <s v="ROM"/>
    <d v="2025-06-26T00:00:00"/>
    <n v="6"/>
    <d v="2025-06-27T00:00:00"/>
    <d v="2025-07-07T00:00:00"/>
    <x v="6"/>
    <n v="2025"/>
    <n v="41772"/>
    <n v="41772"/>
  </r>
  <r>
    <s v="4000006878"/>
    <s v="76201342-8"/>
    <s v="KNAUF CHILE SPA"/>
    <s v="6701255536"/>
    <s v="ZPCD"/>
    <s v="50"/>
    <x v="0"/>
    <s v="101"/>
    <s v="C004"/>
    <s v="E510"/>
    <n v="1"/>
    <s v="Local"/>
    <x v="0"/>
    <s v="Construccion"/>
    <x v="0"/>
    <s v="430203001"/>
    <s v="1252501"/>
    <s v="ROLLO LIBRE HR 60MM 1200X12000MM KNAUF"/>
    <n v="2"/>
    <n v="0"/>
    <s v="UN"/>
    <d v="2025-06-26T00:00:00"/>
    <n v="6"/>
    <d v="2025-07-31T00:00:00"/>
    <m/>
    <x v="6"/>
    <n v="2025"/>
    <n v="79574"/>
    <n v="0"/>
  </r>
  <r>
    <s v="4000006878"/>
    <s v="76201342-8"/>
    <s v="KNAUF CHILE SPA"/>
    <s v="6701255536"/>
    <s v="ZPCD"/>
    <s v="60"/>
    <x v="0"/>
    <s v="101"/>
    <s v="C004"/>
    <s v="E510"/>
    <n v="1"/>
    <s v="Local"/>
    <x v="0"/>
    <s v="Construccion"/>
    <x v="0"/>
    <s v="430503006"/>
    <s v="1246703"/>
    <s v="AQUAPANEL PL OUTDOOR 12.5MM 1.20X2.4"/>
    <n v="12"/>
    <n v="12"/>
    <s v="UN"/>
    <d v="2025-06-26T00:00:00"/>
    <n v="6"/>
    <d v="2025-06-27T00:00:00"/>
    <d v="2025-07-07T00:00:00"/>
    <x v="6"/>
    <n v="2025"/>
    <n v="354000"/>
    <n v="354000"/>
  </r>
  <r>
    <s v="4000006878"/>
    <s v="76201342-8"/>
    <s v="KNAUF CHILE SPA"/>
    <s v="6701255536"/>
    <s v="ZPCD"/>
    <s v="70"/>
    <x v="0"/>
    <s v="101"/>
    <s v="C004"/>
    <s v="E510"/>
    <n v="1"/>
    <s v="Local"/>
    <x v="0"/>
    <s v="Construccion"/>
    <x v="0"/>
    <s v="430401007"/>
    <s v="1246707"/>
    <s v="AQUAPANEL MORTERO SUP. BLANCO 25KG"/>
    <n v="5"/>
    <n v="5"/>
    <s v="UN"/>
    <d v="2025-06-26T00:00:00"/>
    <n v="6"/>
    <d v="2025-06-27T00:00:00"/>
    <d v="2025-07-07T00:00:00"/>
    <x v="6"/>
    <n v="2025"/>
    <n v="83275"/>
    <n v="83275"/>
  </r>
  <r>
    <s v="4000006878"/>
    <s v="76201342-8"/>
    <s v="KNAUF CHILE SPA"/>
    <s v="6701255536"/>
    <s v="ZPCD"/>
    <s v="80"/>
    <x v="0"/>
    <s v="101"/>
    <s v="C004"/>
    <s v="E510"/>
    <n v="1"/>
    <s v="Local"/>
    <x v="0"/>
    <s v="Construccion"/>
    <x v="0"/>
    <s v="430201001"/>
    <s v="1246708"/>
    <s v="AQUAPANEL MALLA SUP. OUT /IND 1X50"/>
    <n v="1"/>
    <n v="1"/>
    <s v="UN"/>
    <d v="2025-06-26T00:00:00"/>
    <n v="6"/>
    <d v="2025-06-27T00:00:00"/>
    <d v="2025-07-07T00:00:00"/>
    <x v="6"/>
    <n v="2025"/>
    <n v="76090"/>
    <n v="76090"/>
  </r>
  <r>
    <s v="4000006878"/>
    <s v="76201342-8"/>
    <s v="KNAUF CHILE SPA"/>
    <s v="6701255536"/>
    <s v="ZPCD"/>
    <s v="90"/>
    <x v="0"/>
    <s v="101"/>
    <s v="C004"/>
    <s v="E510"/>
    <n v="1"/>
    <s v="Local"/>
    <x v="0"/>
    <s v="Construccion"/>
    <x v="0"/>
    <s v="430503001"/>
    <s v="1246706"/>
    <s v="AQUAPANEL CINTA EXT. 0.10X50"/>
    <n v="1"/>
    <n v="1"/>
    <s v="UN"/>
    <d v="2025-06-26T00:00:00"/>
    <n v="6"/>
    <d v="2025-06-27T00:00:00"/>
    <d v="2025-07-07T00:00:00"/>
    <x v="6"/>
    <n v="2025"/>
    <n v="14369"/>
    <n v="14369"/>
  </r>
  <r>
    <s v="4000006878"/>
    <s v="76201342-8"/>
    <s v="KNAUF CHILE SPA"/>
    <s v="6701255536"/>
    <s v="ZPCD"/>
    <s v="100"/>
    <x v="0"/>
    <s v="101"/>
    <s v="C004"/>
    <s v="E510"/>
    <n v="1"/>
    <s v="Local"/>
    <x v="0"/>
    <s v="Construccion"/>
    <x v="0"/>
    <s v="430507002"/>
    <s v="938731"/>
    <s v="SERVICIO FLETE"/>
    <n v="1"/>
    <n v="1"/>
    <s v="UN"/>
    <d v="2025-06-26T00:00:00"/>
    <n v="6"/>
    <d v="2025-06-27T00:00:00"/>
    <d v="2025-07-07T00:00:00"/>
    <x v="6"/>
    <n v="2025"/>
    <n v="58000"/>
    <n v="58000"/>
  </r>
  <r>
    <s v="4000006878"/>
    <s v="76201342-8"/>
    <s v="KNAUF CHILE SPA"/>
    <s v="6701260378"/>
    <s v="ZPCD"/>
    <s v="70"/>
    <x v="0"/>
    <s v="101"/>
    <s v="C004"/>
    <s v="E652"/>
    <n v="1"/>
    <s v="Local"/>
    <x v="0"/>
    <s v="Construccion"/>
    <x v="0"/>
    <s v="430507002"/>
    <s v="938731"/>
    <s v="SERVICIO FLETE"/>
    <n v="350"/>
    <n v="350"/>
    <s v="UN"/>
    <d v="2025-07-04T00:00:00"/>
    <n v="7"/>
    <d v="2025-10-03T00:00:00"/>
    <d v="2025-07-29T00:00:00"/>
    <x v="6"/>
    <n v="2025"/>
    <n v="65800"/>
    <n v="65800"/>
  </r>
  <r>
    <s v="4000006878"/>
    <s v="76201342-8"/>
    <s v="KNAUF CHILE SPA"/>
    <s v="6701260378"/>
    <s v="ZPCD"/>
    <s v="80"/>
    <x v="0"/>
    <s v="101"/>
    <s v="C004"/>
    <s v="E652"/>
    <n v="1"/>
    <s v="Local"/>
    <x v="0"/>
    <s v="Construccion"/>
    <x v="0"/>
    <s v="430406005"/>
    <s v="1192673"/>
    <s v="PEGAMENTO POLIGYP 25KG"/>
    <n v="350"/>
    <n v="350"/>
    <s v="UN"/>
    <d v="2025-07-04T00:00:00"/>
    <n v="7"/>
    <d v="2025-10-03T00:00:00"/>
    <d v="2025-07-29T00:00:00"/>
    <x v="6"/>
    <n v="2025"/>
    <n v="3752350"/>
    <n v="3752350"/>
  </r>
  <r>
    <s v="4000006878"/>
    <s v="76201342-8"/>
    <s v="KNAUF CHILE SPA"/>
    <s v="6701260378"/>
    <s v="ZPCD"/>
    <s v="90"/>
    <x v="0"/>
    <s v="101"/>
    <s v="C004"/>
    <s v="E652"/>
    <n v="1"/>
    <s v="Local"/>
    <x v="0"/>
    <s v="Construccion"/>
    <x v="0"/>
    <s v="430507002"/>
    <s v="938731"/>
    <s v="SERVICIO FLETE"/>
    <n v="32"/>
    <n v="32"/>
    <s v="UN"/>
    <d v="2025-07-04T00:00:00"/>
    <n v="7"/>
    <d v="2025-10-03T00:00:00"/>
    <d v="2025-07-29T00:00:00"/>
    <x v="6"/>
    <n v="2025"/>
    <n v="6016"/>
    <n v="6016"/>
  </r>
  <r>
    <s v="4000006878"/>
    <s v="76201342-8"/>
    <s v="KNAUF CHILE SPA"/>
    <s v="6701260378"/>
    <s v="ZPCD"/>
    <s v="100"/>
    <x v="0"/>
    <s v="101"/>
    <s v="C004"/>
    <s v="E652"/>
    <n v="1"/>
    <s v="Local"/>
    <x v="0"/>
    <s v="Construccion"/>
    <x v="0"/>
    <s v="430401007"/>
    <s v="1246707"/>
    <s v="AQUAPANEL MORTERO SUP. BLANCO 25KG"/>
    <n v="32"/>
    <n v="32"/>
    <s v="UN"/>
    <d v="2025-07-04T00:00:00"/>
    <n v="7"/>
    <d v="2025-10-03T00:00:00"/>
    <d v="2025-07-29T00:00:00"/>
    <x v="6"/>
    <n v="2025"/>
    <n v="532960"/>
    <n v="532960"/>
  </r>
  <r>
    <s v="4000006878"/>
    <s v="76201342-8"/>
    <s v="KNAUF CHILE SPA"/>
    <s v="6701260378"/>
    <s v="ZPCD"/>
    <s v="110"/>
    <x v="0"/>
    <s v="101"/>
    <s v="C004"/>
    <s v="E652"/>
    <n v="1"/>
    <s v="Local"/>
    <x v="0"/>
    <s v="Construccion"/>
    <x v="0"/>
    <s v="430507002"/>
    <s v="938731"/>
    <s v="SERVICIO FLETE"/>
    <n v="69"/>
    <n v="69"/>
    <s v="UN"/>
    <d v="2025-07-04T00:00:00"/>
    <n v="7"/>
    <d v="2025-10-03T00:00:00"/>
    <d v="2025-07-29T00:00:00"/>
    <x v="6"/>
    <n v="2025"/>
    <n v="1035"/>
    <n v="1035"/>
  </r>
  <r>
    <s v="4000006878"/>
    <s v="76201342-8"/>
    <s v="KNAUF CHILE SPA"/>
    <s v="6701260378"/>
    <s v="ZPCD"/>
    <s v="120"/>
    <x v="0"/>
    <s v="101"/>
    <s v="C004"/>
    <s v="E652"/>
    <n v="1"/>
    <s v="Local"/>
    <x v="0"/>
    <s v="Construccion"/>
    <x v="0"/>
    <s v="130211005"/>
    <s v="1366503"/>
    <s v="AQUAPANEL TORNILLO MAXI TB 25MM"/>
    <n v="69"/>
    <n v="69"/>
    <s v="UN"/>
    <d v="2025-07-04T00:00:00"/>
    <n v="7"/>
    <d v="2025-10-03T00:00:00"/>
    <d v="2025-07-29T00:00:00"/>
    <x v="6"/>
    <n v="2025"/>
    <n v="778251"/>
    <n v="778251"/>
  </r>
  <r>
    <s v="4000006878"/>
    <s v="76201342-8"/>
    <s v="KNAUF CHILE SPA"/>
    <s v="6701257975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30"/>
    <n v="30"/>
    <s v="UN"/>
    <d v="2025-06-30T00:00:00"/>
    <n v="6"/>
    <d v="2025-07-01T00:00:00"/>
    <d v="2025-07-03T00:00:00"/>
    <x v="6"/>
    <n v="2025"/>
    <n v="922920"/>
    <n v="922920"/>
  </r>
  <r>
    <s v="4000006878"/>
    <s v="76201342-8"/>
    <s v="KNAUF CHILE SPA"/>
    <s v="6701257975"/>
    <s v="ZPCD"/>
    <s v="20"/>
    <x v="0"/>
    <s v="101"/>
    <s v="C004"/>
    <s v="E508"/>
    <n v="1"/>
    <s v="Local"/>
    <x v="0"/>
    <s v="Construccion"/>
    <x v="0"/>
    <s v="430503006"/>
    <s v="1232497"/>
    <s v="PL YESO CARTON RF 15X1200X2400MM KNAUF"/>
    <n v="22"/>
    <n v="22"/>
    <s v="UN"/>
    <d v="2025-06-30T00:00:00"/>
    <n v="6"/>
    <d v="2025-07-01T00:00:00"/>
    <d v="2025-07-03T00:00:00"/>
    <x v="6"/>
    <n v="2025"/>
    <n v="156860"/>
    <n v="156860"/>
  </r>
  <r>
    <s v="4000006878"/>
    <s v="76201342-8"/>
    <s v="KNAUF CHILE SPA"/>
    <s v="6701257975"/>
    <s v="ZPCD"/>
    <s v="30"/>
    <x v="0"/>
    <s v="101"/>
    <s v="C004"/>
    <s v="E508"/>
    <n v="1"/>
    <s v="Local"/>
    <x v="0"/>
    <s v="Construccion"/>
    <x v="0"/>
    <s v="430503006"/>
    <s v="1232496"/>
    <s v="PL YESO CARTON RH 15X1200X2400MM KNAUF"/>
    <n v="20"/>
    <n v="20"/>
    <s v="UN"/>
    <d v="2025-06-30T00:00:00"/>
    <n v="6"/>
    <d v="2025-07-01T00:00:00"/>
    <d v="2025-07-03T00:00:00"/>
    <x v="6"/>
    <n v="2025"/>
    <n v="201080"/>
    <n v="201080"/>
  </r>
  <r>
    <s v="4000006878"/>
    <s v="76201342-8"/>
    <s v="KNAUF CHILE SPA"/>
    <s v="650848944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09T00:00:00"/>
    <x v="6"/>
    <n v="2025"/>
    <n v="1405320"/>
    <n v="1405320"/>
  </r>
  <r>
    <s v="4000006878"/>
    <s v="76201342-8"/>
    <s v="KNAUF CHILE SPA"/>
    <s v="6508489442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04T00:00:00"/>
    <n v="7"/>
    <d v="2025-07-17T00:00:00"/>
    <d v="2025-07-09T00:00:00"/>
    <x v="6"/>
    <n v="2025"/>
    <n v="1406000"/>
    <n v="1406000"/>
  </r>
  <r>
    <s v="4000006878"/>
    <s v="76201342-8"/>
    <s v="KNAUF CHILE SPA"/>
    <s v="6508489443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1"/>
    <s v="PAL"/>
    <d v="2025-07-04T00:00:00"/>
    <n v="7"/>
    <d v="2025-07-17T00:00:00"/>
    <d v="2025-07-17T00:00:00"/>
    <x v="6"/>
    <n v="2025"/>
    <n v="837440"/>
    <n v="418720"/>
  </r>
  <r>
    <s v="4000006878"/>
    <s v="76201342-8"/>
    <s v="KNAUF CHILE SPA"/>
    <s v="6508489443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17T00:00:00"/>
    <x v="6"/>
    <n v="2025"/>
    <n v="1405320"/>
    <n v="1405320"/>
  </r>
  <r>
    <s v="4000006878"/>
    <s v="76201342-8"/>
    <s v="KNAUF CHILE SPA"/>
    <s v="6508489444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09T00:00:00"/>
    <x v="6"/>
    <n v="2025"/>
    <n v="1405320"/>
    <n v="1405320"/>
  </r>
  <r>
    <s v="4000006878"/>
    <s v="76201342-8"/>
    <s v="KNAUF CHILE SPA"/>
    <s v="6508489444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1"/>
    <n v="1"/>
    <s v="PAL"/>
    <d v="2025-07-04T00:00:00"/>
    <n v="7"/>
    <d v="2025-07-17T00:00:00"/>
    <d v="2025-07-09T00:00:00"/>
    <x v="6"/>
    <n v="2025"/>
    <n v="351500"/>
    <n v="351500"/>
  </r>
  <r>
    <s v="4000006878"/>
    <s v="76201342-8"/>
    <s v="KNAUF CHILE SPA"/>
    <s v="650849865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6"/>
    <n v="6"/>
    <s v="PAL"/>
    <d v="2025-07-11T00:00:00"/>
    <n v="7"/>
    <d v="2025-07-24T00:00:00"/>
    <d v="2025-07-18T00:00:00"/>
    <x v="6"/>
    <n v="2025"/>
    <n v="2107980"/>
    <n v="2107980"/>
  </r>
  <r>
    <s v="4000006878"/>
    <s v="76201342-8"/>
    <s v="KNAUF CHILE SPA"/>
    <s v="650849865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18T00:00:00"/>
    <x v="6"/>
    <n v="2025"/>
    <n v="1406000"/>
    <n v="1406000"/>
  </r>
  <r>
    <s v="4000006878"/>
    <s v="76201342-8"/>
    <s v="KNAUF CHILE SPA"/>
    <s v="650849866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07-11T00:00:00"/>
    <n v="7"/>
    <d v="2025-07-24T00:00:00"/>
    <d v="2025-07-17T00:00:00"/>
    <x v="6"/>
    <n v="2025"/>
    <n v="702660"/>
    <n v="702660"/>
  </r>
  <r>
    <s v="4000006878"/>
    <s v="76201342-8"/>
    <s v="KNAUF CHILE SPA"/>
    <s v="6508498660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17T00:00:00"/>
    <x v="6"/>
    <n v="2025"/>
    <n v="1406000"/>
    <n v="1406000"/>
  </r>
  <r>
    <s v="4000006878"/>
    <s v="76201342-8"/>
    <s v="KNAUF CHILE SPA"/>
    <s v="6508498660"/>
    <s v="ZPMC"/>
    <s v="30"/>
    <x v="1"/>
    <s v="101"/>
    <s v="C004"/>
    <s v="E843"/>
    <n v="1"/>
    <s v="Local"/>
    <x v="0"/>
    <s v="Construccion"/>
    <x v="0"/>
    <s v="430506002"/>
    <s v="1347336"/>
    <s v="VP MASILLA JOINTFILLER FIX &amp;FINISH 1.5KG"/>
    <n v="1"/>
    <n v="1"/>
    <s v="CS"/>
    <d v="2025-07-11T00:00:00"/>
    <n v="7"/>
    <d v="2025-07-24T00:00:00"/>
    <d v="2025-07-17T00:00:00"/>
    <x v="6"/>
    <n v="2025"/>
    <n v="18864"/>
    <n v="18864"/>
  </r>
  <r>
    <s v="4000006878"/>
    <s v="76201342-8"/>
    <s v="KNAUF CHILE SPA"/>
    <s v="650849866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07-11T00:00:00"/>
    <n v="7"/>
    <d v="2025-07-24T00:00:00"/>
    <d v="2025-07-21T00:00:00"/>
    <x v="6"/>
    <n v="2025"/>
    <n v="702660"/>
    <n v="702660"/>
  </r>
  <r>
    <s v="4000006878"/>
    <s v="76201342-8"/>
    <s v="KNAUF CHILE SPA"/>
    <s v="650849866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21T00:00:00"/>
    <x v="6"/>
    <n v="2025"/>
    <n v="1406000"/>
    <n v="1406000"/>
  </r>
  <r>
    <s v="4000006878"/>
    <s v="76201342-8"/>
    <s v="KNAUF CHILE SPA"/>
    <s v="6701258845"/>
    <s v="ZPCD"/>
    <s v="10"/>
    <x v="0"/>
    <s v="101"/>
    <s v="C004"/>
    <s v="E652"/>
    <n v="1"/>
    <s v="Local"/>
    <x v="0"/>
    <s v="Construccion"/>
    <x v="0"/>
    <s v="430503004"/>
    <s v="1230790"/>
    <s v="MASILLA BASE KNAUF 20KG"/>
    <n v="100"/>
    <n v="100"/>
    <s v="UN"/>
    <d v="2025-07-01T00:00:00"/>
    <n v="7"/>
    <d v="2025-10-02T00:00:00"/>
    <d v="2025-07-18T00:00:00"/>
    <x v="6"/>
    <n v="2025"/>
    <n v="774900"/>
    <n v="774900"/>
  </r>
  <r>
    <s v="4000006878"/>
    <s v="76201342-8"/>
    <s v="KNAUF CHILE SPA"/>
    <s v="6701258845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7-01T00:00:00"/>
    <n v="7"/>
    <d v="2025-10-02T00:00:00"/>
    <d v="2025-07-18T00:00:00"/>
    <x v="6"/>
    <n v="2025"/>
    <n v="145000"/>
    <n v="145000"/>
  </r>
  <r>
    <s v="4000006878"/>
    <s v="76201342-8"/>
    <s v="KNAUF CHILE SPA"/>
    <s v="6701264921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00"/>
    <n v="100"/>
    <s v="UN"/>
    <d v="2025-07-12T00:00:00"/>
    <n v="7"/>
    <d v="2025-07-15T00:00:00"/>
    <d v="2025-07-29T00:00:00"/>
    <x v="6"/>
    <n v="2025"/>
    <n v="1686300"/>
    <n v="1686300"/>
  </r>
  <r>
    <s v="4000006878"/>
    <s v="76201342-8"/>
    <s v="KNAUF CHILE SPA"/>
    <s v="6701264921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7-12T00:00:00"/>
    <n v="7"/>
    <d v="2025-07-15T00:00:00"/>
    <d v="2025-07-29T00:00:00"/>
    <x v="6"/>
    <n v="2025"/>
    <n v="58000"/>
    <n v="58000"/>
  </r>
  <r>
    <s v="4000006878"/>
    <s v="76201342-8"/>
    <s v="KNAUF CHILE SPA"/>
    <s v="6701266119"/>
    <s v="ZPCD"/>
    <s v="10"/>
    <x v="0"/>
    <s v="101"/>
    <s v="C004"/>
    <s v="E508"/>
    <n v="1"/>
    <s v="Local"/>
    <x v="0"/>
    <s v="Construccion"/>
    <x v="0"/>
    <s v="430503006"/>
    <s v="1246703"/>
    <s v="AQUAPANEL PL OUTDOOR 12.5MM 1.20X2.4"/>
    <n v="59"/>
    <n v="59"/>
    <s v="UN"/>
    <d v="2025-07-15T00:00:00"/>
    <n v="7"/>
    <d v="2025-07-25T00:00:00"/>
    <d v="2025-07-29T00:00:00"/>
    <x v="6"/>
    <n v="2025"/>
    <n v="1815076"/>
    <n v="1815076"/>
  </r>
  <r>
    <s v="4000006878"/>
    <s v="76201342-8"/>
    <s v="KNAUF CHILE SPA"/>
    <s v="6701266119"/>
    <s v="ZPCD"/>
    <s v="2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15T00:00:00"/>
    <n v="7"/>
    <d v="2025-07-25T00:00:00"/>
    <d v="2025-07-29T00:00:00"/>
    <x v="6"/>
    <n v="2025"/>
    <n v="58000"/>
    <n v="58000"/>
  </r>
  <r>
    <s v="4000006878"/>
    <s v="76201342-8"/>
    <s v="KNAUF CHILE SPA"/>
    <s v="6701260378"/>
    <s v="ZPCD"/>
    <s v="150"/>
    <x v="0"/>
    <s v="101"/>
    <s v="C004"/>
    <s v="E652"/>
    <n v="1"/>
    <s v="Local"/>
    <x v="0"/>
    <s v="Construccion"/>
    <x v="0"/>
    <s v="430507002"/>
    <s v="938731"/>
    <s v="SERVICIO FLETE"/>
    <n v="740"/>
    <n v="740"/>
    <s v="UN"/>
    <d v="2025-07-04T00:00:00"/>
    <n v="7"/>
    <d v="2025-10-03T00:00:00"/>
    <d v="2025-07-29T00:00:00"/>
    <x v="6"/>
    <n v="2025"/>
    <n v="223480"/>
    <n v="223480"/>
  </r>
  <r>
    <s v="4000006878"/>
    <s v="76201342-8"/>
    <s v="KNAUF CHILE SPA"/>
    <s v="6701260378"/>
    <s v="ZPCD"/>
    <s v="160"/>
    <x v="0"/>
    <s v="101"/>
    <s v="C004"/>
    <s v="E652"/>
    <n v="1"/>
    <s v="Local"/>
    <x v="0"/>
    <s v="Construccion"/>
    <x v="0"/>
    <s v="430503006"/>
    <s v="1377723"/>
    <s v="PY POLYPLAC 20MM 1.2X2.4 50"/>
    <n v="740"/>
    <n v="740"/>
    <s v="UN"/>
    <d v="2025-07-04T00:00:00"/>
    <n v="7"/>
    <d v="2025-10-03T00:00:00"/>
    <d v="2025-07-29T00:00:00"/>
    <x v="6"/>
    <n v="2025"/>
    <n v="8430820"/>
    <n v="8430820"/>
  </r>
  <r>
    <s v="4000006878"/>
    <s v="76201342-8"/>
    <s v="KNAUF CHILE SPA"/>
    <s v="6701260378"/>
    <s v="ZPCD"/>
    <s v="170"/>
    <x v="0"/>
    <s v="101"/>
    <s v="C004"/>
    <s v="E652"/>
    <n v="1"/>
    <s v="Local"/>
    <x v="0"/>
    <s v="Construccion"/>
    <x v="0"/>
    <s v="430507002"/>
    <s v="938731"/>
    <s v="SERVICIO FLETE"/>
    <n v="17"/>
    <n v="17"/>
    <s v="UN"/>
    <d v="2025-07-04T00:00:00"/>
    <n v="7"/>
    <d v="2025-10-03T00:00:00"/>
    <d v="2025-07-29T00:00:00"/>
    <x v="6"/>
    <n v="2025"/>
    <n v="1275"/>
    <n v="1275"/>
  </r>
  <r>
    <s v="4000006878"/>
    <s v="76201342-8"/>
    <s v="KNAUF CHILE SPA"/>
    <s v="6701260378"/>
    <s v="ZPCD"/>
    <s v="180"/>
    <x v="0"/>
    <s v="101"/>
    <s v="C004"/>
    <s v="E652"/>
    <n v="1"/>
    <s v="Local"/>
    <x v="0"/>
    <s v="Construccion"/>
    <x v="0"/>
    <s v="430507002"/>
    <s v="1465435"/>
    <s v="AQUAPANEL WAT BARRIER 1.5M X 50M 50"/>
    <n v="17"/>
    <n v="17"/>
    <s v="UN"/>
    <d v="2025-07-04T00:00:00"/>
    <n v="7"/>
    <d v="2025-10-03T00:00:00"/>
    <d v="2025-07-29T00:00:00"/>
    <x v="6"/>
    <n v="2025"/>
    <n v="2468009"/>
    <n v="2468009"/>
  </r>
  <r>
    <s v="4000006878"/>
    <s v="76201342-8"/>
    <s v="KNAUF CHILE SPA"/>
    <s v="6701260378"/>
    <s v="ZPCD"/>
    <s v="190"/>
    <x v="0"/>
    <s v="101"/>
    <s v="C004"/>
    <s v="E652"/>
    <n v="1"/>
    <s v="Local"/>
    <x v="0"/>
    <s v="Construccion"/>
    <x v="0"/>
    <s v="430507002"/>
    <s v="938731"/>
    <s v="SERVICIO FLETE"/>
    <n v="150"/>
    <n v="150"/>
    <s v="UN"/>
    <d v="2025-07-04T00:00:00"/>
    <n v="7"/>
    <d v="2025-10-03T00:00:00"/>
    <d v="2025-07-29T00:00:00"/>
    <x v="6"/>
    <n v="2025"/>
    <n v="51900"/>
    <n v="51900"/>
  </r>
  <r>
    <s v="4000006878"/>
    <s v="76201342-8"/>
    <s v="KNAUF CHILE SPA"/>
    <s v="6701260378"/>
    <s v="ZPCD"/>
    <s v="200"/>
    <x v="0"/>
    <s v="101"/>
    <s v="C004"/>
    <s v="E652"/>
    <n v="1"/>
    <s v="Local"/>
    <x v="0"/>
    <s v="Construccion"/>
    <x v="0"/>
    <s v="430203001"/>
    <s v="1252501"/>
    <s v="ROLLO LIBRE HR 60MM 1200X12000MM KNAUF"/>
    <n v="150"/>
    <n v="150"/>
    <s v="UN"/>
    <d v="2025-07-04T00:00:00"/>
    <n v="7"/>
    <d v="2025-10-03T00:00:00"/>
    <d v="2025-07-29T00:00:00"/>
    <x v="6"/>
    <n v="2025"/>
    <n v="4633200"/>
    <n v="4633200"/>
  </r>
  <r>
    <s v="4000006878"/>
    <s v="76201342-8"/>
    <s v="KNAUF CHILE SPA"/>
    <s v="6701260378"/>
    <s v="ZPCD"/>
    <s v="210"/>
    <x v="0"/>
    <s v="101"/>
    <s v="C004"/>
    <s v="E652"/>
    <n v="1"/>
    <s v="Local"/>
    <x v="0"/>
    <s v="Construccion"/>
    <x v="0"/>
    <s v="430507002"/>
    <s v="938731"/>
    <s v="SERVICIO FLETE"/>
    <n v="37"/>
    <n v="37"/>
    <s v="UN"/>
    <d v="2025-07-04T00:00:00"/>
    <n v="7"/>
    <d v="2025-10-03T00:00:00"/>
    <d v="2025-07-29T00:00:00"/>
    <x v="6"/>
    <n v="2025"/>
    <n v="555"/>
    <n v="555"/>
  </r>
  <r>
    <s v="4000006878"/>
    <s v="76201342-8"/>
    <s v="KNAUF CHILE SPA"/>
    <s v="6701260378"/>
    <s v="ZPCD"/>
    <s v="220"/>
    <x v="0"/>
    <s v="101"/>
    <s v="C004"/>
    <s v="E652"/>
    <n v="1"/>
    <s v="Local"/>
    <x v="0"/>
    <s v="Construccion"/>
    <x v="0"/>
    <s v="430503001"/>
    <s v="1309477"/>
    <s v="CINTA PARA JUNTAS AQUAPANEL 10CM  50M"/>
    <n v="37"/>
    <n v="37"/>
    <s v="UN"/>
    <d v="2025-07-04T00:00:00"/>
    <n v="7"/>
    <d v="2025-10-03T00:00:00"/>
    <d v="2025-07-29T00:00:00"/>
    <x v="6"/>
    <n v="2025"/>
    <n v="531653"/>
    <n v="531653"/>
  </r>
  <r>
    <s v="4000006878"/>
    <s v="76201342-8"/>
    <s v="KNAUF CHILE SPA"/>
    <s v="6701260378"/>
    <s v="ZPCD"/>
    <s v="230"/>
    <x v="0"/>
    <s v="101"/>
    <s v="C004"/>
    <s v="E652"/>
    <n v="1"/>
    <s v="Local"/>
    <x v="0"/>
    <s v="Construccion"/>
    <x v="0"/>
    <s v="430507002"/>
    <s v="938731"/>
    <s v="SERVICIO FLETE"/>
    <n v="400"/>
    <n v="400"/>
    <s v="UN"/>
    <d v="2025-07-04T00:00:00"/>
    <n v="7"/>
    <d v="2025-10-03T00:00:00"/>
    <d v="2025-07-29T00:00:00"/>
    <x v="6"/>
    <n v="2025"/>
    <n v="90800"/>
    <n v="90800"/>
  </r>
  <r>
    <s v="4000006878"/>
    <s v="76201342-8"/>
    <s v="KNAUF CHILE SPA"/>
    <s v="6701260378"/>
    <s v="ZPCD"/>
    <s v="240"/>
    <x v="0"/>
    <s v="101"/>
    <s v="C004"/>
    <s v="E652"/>
    <n v="1"/>
    <s v="Local"/>
    <x v="0"/>
    <s v="Construccion"/>
    <x v="0"/>
    <s v="430503006"/>
    <s v="1441557"/>
    <s v="PLACA AQUAPANEL RESIDENCIAL 8 1200X2400"/>
    <n v="400"/>
    <n v="400"/>
    <s v="UN"/>
    <d v="2025-07-04T00:00:00"/>
    <n v="7"/>
    <d v="2025-10-03T00:00:00"/>
    <d v="2025-07-29T00:00:00"/>
    <x v="6"/>
    <n v="2025"/>
    <n v="7950800"/>
    <n v="7950800"/>
  </r>
  <r>
    <s v="4000006878"/>
    <s v="76201342-8"/>
    <s v="KNAUF CHILE SPA"/>
    <s v="6701262166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7-07T00:00:00"/>
    <n v="7"/>
    <d v="2025-07-08T00:00:00"/>
    <d v="2025-07-24T00:00:00"/>
    <x v="6"/>
    <n v="2025"/>
    <n v="7257600"/>
    <n v="7257600"/>
  </r>
  <r>
    <s v="4000006878"/>
    <s v="76201342-8"/>
    <s v="KNAUF CHILE SPA"/>
    <s v="6701262166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7-07T00:00:00"/>
    <n v="7"/>
    <d v="2025-07-08T00:00:00"/>
    <d v="2025-07-24T00:00:00"/>
    <x v="6"/>
    <n v="2025"/>
    <n v="2400"/>
    <n v="2400"/>
  </r>
  <r>
    <s v="4000006878"/>
    <s v="76201342-8"/>
    <s v="KNAUF CHILE SPA"/>
    <s v="6701263779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30"/>
    <n v="30"/>
    <s v="UN"/>
    <d v="2025-07-15T00:00:00"/>
    <n v="7"/>
    <d v="2025-07-18T00:00:00"/>
    <d v="2025-07-30T00:00:00"/>
    <x v="6"/>
    <n v="2025"/>
    <n v="904470"/>
    <n v="904470"/>
  </r>
  <r>
    <s v="4000006878"/>
    <s v="76201342-8"/>
    <s v="KNAUF CHILE SPA"/>
    <s v="6701263779"/>
    <s v="ZPCD"/>
    <s v="20"/>
    <x v="0"/>
    <s v="101"/>
    <s v="C004"/>
    <s v="E508"/>
    <n v="1"/>
    <s v="Local"/>
    <x v="0"/>
    <s v="Construccion"/>
    <x v="0"/>
    <s v="430204003"/>
    <s v="1246704"/>
    <s v="AQUAPANEL WATER BARRIER 1.50X50"/>
    <n v="1"/>
    <n v="1"/>
    <s v="UN"/>
    <d v="2025-07-15T00:00:00"/>
    <n v="7"/>
    <d v="2025-07-18T00:00:00"/>
    <d v="2025-07-30T00:00:00"/>
    <x v="6"/>
    <n v="2025"/>
    <n v="145831"/>
    <n v="145831"/>
  </r>
  <r>
    <s v="4000006878"/>
    <s v="76201342-8"/>
    <s v="KNAUF CHILE SPA"/>
    <s v="6701263779"/>
    <s v="ZPCD"/>
    <s v="30"/>
    <x v="0"/>
    <s v="101"/>
    <s v="C004"/>
    <s v="E508"/>
    <n v="1"/>
    <s v="Local"/>
    <x v="0"/>
    <s v="Construccion"/>
    <x v="0"/>
    <s v="430401007"/>
    <s v="1246707"/>
    <s v="AQUAPANEL MORTERO SUP. BLANCO 25KG"/>
    <n v="23"/>
    <n v="23"/>
    <s v="UN"/>
    <d v="2025-07-15T00:00:00"/>
    <n v="7"/>
    <d v="2025-07-18T00:00:00"/>
    <d v="2025-07-30T00:00:00"/>
    <x v="6"/>
    <n v="2025"/>
    <n v="384790"/>
    <n v="384790"/>
  </r>
  <r>
    <s v="4000006878"/>
    <s v="76201342-8"/>
    <s v="KNAUF CHILE SPA"/>
    <s v="6701263779"/>
    <s v="ZPCD"/>
    <s v="40"/>
    <x v="0"/>
    <s v="101"/>
    <s v="C004"/>
    <s v="E508"/>
    <n v="1"/>
    <s v="Local"/>
    <x v="0"/>
    <s v="Construccion"/>
    <x v="0"/>
    <s v="430503001"/>
    <s v="1246706"/>
    <s v="AQUAPANEL CINTA EXT. 0.10X50"/>
    <n v="3"/>
    <n v="3"/>
    <s v="UN"/>
    <d v="2025-07-15T00:00:00"/>
    <n v="7"/>
    <d v="2025-07-18T00:00:00"/>
    <d v="2025-07-30T00:00:00"/>
    <x v="6"/>
    <n v="2025"/>
    <n v="43299"/>
    <n v="43299"/>
  </r>
  <r>
    <s v="4000006878"/>
    <s v="76201342-8"/>
    <s v="KNAUF CHILE SPA"/>
    <s v="6701263779"/>
    <s v="ZPCD"/>
    <s v="50"/>
    <x v="0"/>
    <s v="101"/>
    <s v="C004"/>
    <s v="E508"/>
    <n v="1"/>
    <s v="Local"/>
    <x v="0"/>
    <s v="Construccion"/>
    <x v="0"/>
    <s v="430201001"/>
    <s v="1246708"/>
    <s v="AQUAPANEL MALLA SUP. OUT /IND 1X50"/>
    <n v="2"/>
    <n v="2"/>
    <s v="UN"/>
    <d v="2025-07-15T00:00:00"/>
    <n v="7"/>
    <d v="2025-07-18T00:00:00"/>
    <d v="2025-07-30T00:00:00"/>
    <x v="6"/>
    <n v="2025"/>
    <n v="152864"/>
    <n v="152864"/>
  </r>
  <r>
    <s v="4000006878"/>
    <s v="76201342-8"/>
    <s v="KNAUF CHILE SPA"/>
    <s v="6701263779"/>
    <s v="ZPCD"/>
    <s v="60"/>
    <x v="0"/>
    <s v="101"/>
    <s v="C004"/>
    <s v="E508"/>
    <n v="1"/>
    <s v="Local"/>
    <x v="0"/>
    <s v="Construccion"/>
    <x v="0"/>
    <s v="130211005"/>
    <s v="1366503"/>
    <s v="AQUAPANEL TORNILLO MAXI TB 25MM"/>
    <n v="5"/>
    <n v="5"/>
    <s v="UN"/>
    <d v="2025-07-15T00:00:00"/>
    <n v="7"/>
    <d v="2025-07-18T00:00:00"/>
    <d v="2025-07-30T00:00:00"/>
    <x v="6"/>
    <n v="2025"/>
    <n v="56650"/>
    <n v="56650"/>
  </r>
  <r>
    <s v="4000006878"/>
    <s v="76201342-8"/>
    <s v="KNAUF CHILE SPA"/>
    <s v="6701263779"/>
    <s v="ZPCD"/>
    <s v="70"/>
    <x v="0"/>
    <s v="101"/>
    <s v="C004"/>
    <s v="E508"/>
    <n v="1"/>
    <s v="Local"/>
    <x v="0"/>
    <s v="Construccion"/>
    <x v="0"/>
    <s v="430503006"/>
    <s v="1266348"/>
    <s v="YESO CARTON ST BR 15X1200X2400 MM"/>
    <n v="56"/>
    <n v="56"/>
    <s v="UN"/>
    <d v="2025-07-15T00:00:00"/>
    <n v="7"/>
    <d v="2025-07-18T00:00:00"/>
    <d v="2025-07-30T00:00:00"/>
    <x v="6"/>
    <n v="2025"/>
    <n v="330680"/>
    <n v="330680"/>
  </r>
  <r>
    <s v="4000006878"/>
    <s v="76201342-8"/>
    <s v="KNAUF CHILE SPA"/>
    <s v="6701263779"/>
    <s v="ZPCD"/>
    <s v="8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15T00:00:00"/>
    <n v="7"/>
    <d v="2025-07-18T00:00:00"/>
    <d v="2025-07-30T00:00:00"/>
    <x v="6"/>
    <n v="2025"/>
    <n v="150000"/>
    <n v="150000"/>
  </r>
  <r>
    <s v="4000006878"/>
    <s v="76201342-8"/>
    <s v="KNAUF CHILE SPA"/>
    <s v="6701264010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90"/>
    <n v="390"/>
    <s v="UN"/>
    <d v="2025-07-10T00:00:00"/>
    <n v="7"/>
    <d v="2025-07-17T00:00:00"/>
    <d v="2025-07-24T00:00:00"/>
    <x v="6"/>
    <n v="2025"/>
    <n v="3500250"/>
    <n v="3500250"/>
  </r>
  <r>
    <s v="4000006878"/>
    <s v="76201342-8"/>
    <s v="KNAUF CHILE SPA"/>
    <s v="6701264010"/>
    <s v="ZPCD"/>
    <s v="20"/>
    <x v="0"/>
    <s v="101"/>
    <s v="C004"/>
    <s v="E874"/>
    <n v="1"/>
    <s v="Local"/>
    <x v="0"/>
    <s v="Construccion"/>
    <x v="0"/>
    <s v="430507002"/>
    <s v="938731"/>
    <s v="SERVICIO FLETE"/>
    <n v="390"/>
    <n v="390"/>
    <s v="UN"/>
    <d v="2025-07-10T00:00:00"/>
    <n v="7"/>
    <d v="2025-07-17T00:00:00"/>
    <d v="2025-07-24T00:00:00"/>
    <x v="6"/>
    <n v="2025"/>
    <n v="67470"/>
    <n v="67470"/>
  </r>
  <r>
    <s v="4000006878"/>
    <s v="76201342-8"/>
    <s v="KNAUF CHILE SPA"/>
    <s v="6701260378"/>
    <s v="ZPCD"/>
    <s v="30"/>
    <x v="0"/>
    <s v="101"/>
    <s v="C004"/>
    <s v="E652"/>
    <n v="1"/>
    <s v="Local"/>
    <x v="0"/>
    <s v="Construccion"/>
    <x v="0"/>
    <s v="430507002"/>
    <s v="938731"/>
    <s v="SERVICIO FLETE"/>
    <n v="120"/>
    <n v="120"/>
    <s v="UN"/>
    <d v="2025-07-04T00:00:00"/>
    <n v="7"/>
    <d v="2025-10-03T00:00:00"/>
    <d v="2025-07-29T00:00:00"/>
    <x v="6"/>
    <n v="2025"/>
    <n v="27720"/>
    <n v="27720"/>
  </r>
  <r>
    <s v="4000006878"/>
    <s v="76201342-8"/>
    <s v="KNAUF CHILE SPA"/>
    <s v="650850873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8"/>
    <n v="8"/>
    <s v="PAL"/>
    <d v="2025-07-18T00:00:00"/>
    <n v="7"/>
    <d v="2025-07-30T00:00:00"/>
    <d v="2025-07-23T00:00:00"/>
    <x v="6"/>
    <n v="2025"/>
    <n v="2810640"/>
    <n v="2810640"/>
  </r>
  <r>
    <s v="4000006878"/>
    <s v="76201342-8"/>
    <s v="KNAUF CHILE SPA"/>
    <s v="6508508735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18T00:00:00"/>
    <n v="7"/>
    <d v="2025-07-30T00:00:00"/>
    <d v="2025-07-23T00:00:00"/>
    <x v="6"/>
    <n v="2025"/>
    <n v="1406000"/>
    <n v="1406000"/>
  </r>
  <r>
    <s v="4000006878"/>
    <s v="76201342-8"/>
    <s v="KNAUF CHILE SPA"/>
    <s v="6508508736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7-18T00:00:00"/>
    <n v="7"/>
    <d v="2025-07-30T00:00:00"/>
    <d v="2025-07-23T00:00:00"/>
    <x v="6"/>
    <n v="2025"/>
    <n v="732480"/>
    <n v="732480"/>
  </r>
  <r>
    <s v="4000006878"/>
    <s v="76201342-8"/>
    <s v="KNAUF CHILE SPA"/>
    <s v="6508508736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7-18T00:00:00"/>
    <n v="7"/>
    <d v="2025-07-30T00:00:00"/>
    <d v="2025-07-23T00:00:00"/>
    <x v="6"/>
    <n v="2025"/>
    <n v="1405320"/>
    <n v="1405320"/>
  </r>
  <r>
    <s v="4000006878"/>
    <s v="76201342-8"/>
    <s v="KNAUF CHILE SPA"/>
    <s v="650851735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7-30T00:00:00"/>
    <x v="6"/>
    <n v="2025"/>
    <n v="1405320"/>
    <n v="1405320"/>
  </r>
  <r>
    <s v="4000006878"/>
    <s v="76201342-8"/>
    <s v="KNAUF CHILE SPA"/>
    <s v="650851735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7-25T00:00:00"/>
    <n v="7"/>
    <d v="2025-08-06T00:00:00"/>
    <d v="2025-07-30T00:00:00"/>
    <x v="6"/>
    <n v="2025"/>
    <n v="703000"/>
    <n v="703000"/>
  </r>
  <r>
    <s v="4000006878"/>
    <s v="76201342-8"/>
    <s v="KNAUF CHILE SPA"/>
    <s v="650851736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7-30T00:00:00"/>
    <x v="6"/>
    <n v="2025"/>
    <n v="1405320"/>
    <n v="1405320"/>
  </r>
  <r>
    <s v="4000006878"/>
    <s v="76201342-8"/>
    <s v="KNAUF CHILE SPA"/>
    <s v="6701267442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50"/>
    <n v="50"/>
    <s v="ROM"/>
    <d v="2025-07-17T00:00:00"/>
    <n v="7"/>
    <d v="2025-10-30T00:00:00"/>
    <d v="2025-07-29T00:00:00"/>
    <x v="6"/>
    <n v="2025"/>
    <n v="481900"/>
    <n v="481900"/>
  </r>
  <r>
    <s v="4000006878"/>
    <s v="76201342-8"/>
    <s v="KNAUF CHILE SPA"/>
    <s v="6701267935"/>
    <s v="ZPCD"/>
    <s v="10"/>
    <x v="0"/>
    <s v="101"/>
    <s v="C004"/>
    <s v="E512"/>
    <n v="1"/>
    <s v="Local"/>
    <x v="0"/>
    <s v="Construccion"/>
    <x v="0"/>
    <s v="430503006"/>
    <s v="1246703"/>
    <s v="AQUAPANEL PL OUTDOOR 12.5MM 1.20X2.4"/>
    <n v="50"/>
    <n v="50"/>
    <s v="UN"/>
    <d v="2025-07-21T00:00:00"/>
    <n v="7"/>
    <d v="2025-07-28T00:00:00"/>
    <d v="2025-07-29T00:00:00"/>
    <x v="6"/>
    <n v="2025"/>
    <n v="1474950"/>
    <n v="1474950"/>
  </r>
  <r>
    <s v="4000006878"/>
    <s v="76201342-8"/>
    <s v="KNAUF CHILE SPA"/>
    <s v="6701267935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7-21T00:00:00"/>
    <n v="7"/>
    <d v="2025-07-28T00:00:00"/>
    <d v="2025-07-29T00:00:00"/>
    <x v="6"/>
    <n v="2025"/>
    <n v="58000"/>
    <n v="58000"/>
  </r>
  <r>
    <s v="4000006878"/>
    <s v="76201342-8"/>
    <s v="KNAUF CHILE SPA"/>
    <s v="6701270245"/>
    <s v="ZPCD"/>
    <s v="10"/>
    <x v="0"/>
    <s v="101"/>
    <s v="C004"/>
    <s v="E508"/>
    <n v="1"/>
    <s v="Local"/>
    <x v="0"/>
    <s v="Construccion"/>
    <x v="0"/>
    <s v="430502003"/>
    <s v="1239233"/>
    <s v="PLACA IMPACT 15MM 120X240"/>
    <n v="16"/>
    <n v="16"/>
    <s v="UN"/>
    <d v="2025-07-21T00:00:00"/>
    <n v="7"/>
    <d v="2025-07-31T00:00:00"/>
    <d v="2025-07-29T00:00:00"/>
    <x v="6"/>
    <n v="2025"/>
    <n v="232848"/>
    <n v="232848"/>
  </r>
  <r>
    <s v="4000006878"/>
    <s v="76201342-8"/>
    <s v="KNAUF CHILE SPA"/>
    <s v="6701270245"/>
    <s v="ZPCD"/>
    <s v="20"/>
    <x v="0"/>
    <s v="101"/>
    <s v="C004"/>
    <s v="E508"/>
    <n v="1"/>
    <s v="Local"/>
    <x v="0"/>
    <s v="Construccion"/>
    <x v="0"/>
    <s v="430503006"/>
    <s v="1246703"/>
    <s v="AQUAPANEL PL OUTDOOR 12.5MM 1.20X2.4"/>
    <n v="38"/>
    <n v="38"/>
    <s v="UN"/>
    <d v="2025-07-21T00:00:00"/>
    <n v="7"/>
    <d v="2025-07-31T00:00:00"/>
    <d v="2025-07-29T00:00:00"/>
    <x v="6"/>
    <n v="2025"/>
    <n v="1136960"/>
    <n v="1136960"/>
  </r>
  <r>
    <s v="4000006878"/>
    <s v="76201342-8"/>
    <s v="KNAUF CHILE SPA"/>
    <s v="6701270247"/>
    <s v="ZPCD"/>
    <s v="10"/>
    <x v="0"/>
    <s v="101"/>
    <s v="C004"/>
    <s v="E508"/>
    <n v="1"/>
    <s v="Local"/>
    <x v="0"/>
    <s v="Construccion"/>
    <x v="0"/>
    <s v="430401006"/>
    <s v="1309478"/>
    <s v="MORTERO SUPERFICIE BLANCO AQUAPANEL 25KG"/>
    <n v="40"/>
    <n v="40"/>
    <s v="UN"/>
    <d v="2025-07-21T00:00:00"/>
    <n v="7"/>
    <d v="2025-07-31T00:00:00"/>
    <d v="2025-07-29T00:00:00"/>
    <x v="6"/>
    <n v="2025"/>
    <n v="674520"/>
    <n v="674520"/>
  </r>
  <r>
    <s v="4000006878"/>
    <s v="76201342-8"/>
    <s v="KNAUF CHILE SPA"/>
    <s v="6701270247"/>
    <s v="ZPCD"/>
    <s v="20"/>
    <x v="0"/>
    <s v="101"/>
    <s v="C004"/>
    <s v="E508"/>
    <n v="1"/>
    <s v="Local"/>
    <x v="0"/>
    <s v="Construccion"/>
    <x v="0"/>
    <s v="430503001"/>
    <s v="1309477"/>
    <s v="CINTA PARA JUNTAS AQUAPANEL 10CM  50M"/>
    <n v="5"/>
    <n v="5"/>
    <s v="UN"/>
    <d v="2025-07-21T00:00:00"/>
    <n v="7"/>
    <d v="2025-07-31T00:00:00"/>
    <d v="2025-07-29T00:00:00"/>
    <x v="6"/>
    <n v="2025"/>
    <n v="72745"/>
    <n v="72745"/>
  </r>
  <r>
    <s v="4000006878"/>
    <s v="76201342-8"/>
    <s v="KNAUF CHILE SPA"/>
    <s v="6701270247"/>
    <s v="ZPCD"/>
    <s v="30"/>
    <x v="0"/>
    <s v="101"/>
    <s v="C004"/>
    <s v="E508"/>
    <n v="1"/>
    <s v="Local"/>
    <x v="0"/>
    <s v="Construccion"/>
    <x v="0"/>
    <s v="430201001"/>
    <s v="1246708"/>
    <s v="AQUAPANEL MALLA SUP. OUT /IND 1X50"/>
    <n v="5"/>
    <n v="5"/>
    <s v="UN"/>
    <d v="2025-07-21T00:00:00"/>
    <n v="7"/>
    <d v="2025-07-31T00:00:00"/>
    <d v="2025-07-29T00:00:00"/>
    <x v="6"/>
    <n v="2025"/>
    <n v="385205"/>
    <n v="385205"/>
  </r>
  <r>
    <s v="4000006878"/>
    <s v="76201342-8"/>
    <s v="KNAUF CHILE SPA"/>
    <s v="6701270247"/>
    <s v="ZPCD"/>
    <s v="4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21T00:00:00"/>
    <n v="7"/>
    <d v="2025-07-31T00:00:00"/>
    <d v="2025-07-29T00:00:00"/>
    <x v="6"/>
    <n v="2025"/>
    <n v="150000"/>
    <n v="150000"/>
  </r>
  <r>
    <s v="4000006878"/>
    <s v="76201342-8"/>
    <s v="KNAUF CHILE SPA"/>
    <s v="6701271335"/>
    <s v="ZPCD"/>
    <s v="20"/>
    <x v="0"/>
    <s v="101"/>
    <s v="C004"/>
    <s v="E652"/>
    <n v="1"/>
    <s v="Local"/>
    <x v="0"/>
    <s v="Construccion"/>
    <x v="0"/>
    <s v="430507002"/>
    <s v="938731"/>
    <s v="SERVICIO FLETE"/>
    <n v="582"/>
    <n v="582"/>
    <s v="UN"/>
    <d v="2025-07-22T00:00:00"/>
    <n v="7"/>
    <d v="2025-07-23T00:00:00"/>
    <d v="2025-07-31T00:00:00"/>
    <x v="6"/>
    <n v="2025"/>
    <n v="150738"/>
    <n v="150738"/>
  </r>
  <r>
    <s v="4000006878"/>
    <s v="76201342-8"/>
    <s v="KNAUF CHILE SPA"/>
    <s v="6701271546"/>
    <s v="ZPCD"/>
    <s v="10"/>
    <x v="0"/>
    <s v="101"/>
    <s v="C004"/>
    <s v="E517"/>
    <n v="1"/>
    <s v="Local"/>
    <x v="0"/>
    <s v="Construccion"/>
    <x v="0"/>
    <s v="430502003"/>
    <s v="1239232"/>
    <s v="PLACA AQUAPANAL OUTDOOR 12.5 120X240"/>
    <n v="40"/>
    <n v="40"/>
    <s v="UN"/>
    <d v="2025-07-23T00:00:00"/>
    <n v="7"/>
    <d v="2025-07-23T00:00:00"/>
    <d v="2025-07-30T00:00:00"/>
    <x v="6"/>
    <n v="2025"/>
    <n v="1121000"/>
    <n v="1121000"/>
  </r>
  <r>
    <s v="4000006878"/>
    <s v="76201342-8"/>
    <s v="KNAUF CHILE SPA"/>
    <s v="6701271940"/>
    <s v="ZPCD"/>
    <s v="10"/>
    <x v="0"/>
    <s v=""/>
    <s v="C004"/>
    <s v="E592"/>
    <n v="1"/>
    <s v="Local"/>
    <x v="0"/>
    <s v="Construccion"/>
    <x v="0"/>
    <s v="430503006"/>
    <s v="1246703"/>
    <s v="AQUAPANEL PL OUTDOOR 12.5MM 1.20X2.4"/>
    <n v="240"/>
    <n v="0"/>
    <s v="UN"/>
    <d v="2025-07-23T00:00:00"/>
    <n v="7"/>
    <d v="2025-07-24T00:00:00"/>
    <m/>
    <x v="6"/>
    <n v="2025"/>
    <n v="2385120"/>
    <n v="0"/>
  </r>
  <r>
    <s v="4000006878"/>
    <s v="76201342-8"/>
    <s v="KNAUF CHILE SPA"/>
    <s v="6701271940"/>
    <s v="ZPCD"/>
    <s v="20"/>
    <x v="0"/>
    <s v=""/>
    <s v="C004"/>
    <s v="E592"/>
    <n v="1"/>
    <s v="Local"/>
    <x v="0"/>
    <s v="Construccion"/>
    <x v="0"/>
    <s v="430502003"/>
    <s v="1239233"/>
    <s v="PLACA IMPACT 15MM 120X240"/>
    <n v="2731"/>
    <n v="0"/>
    <s v="UN"/>
    <d v="2025-07-23T00:00:00"/>
    <n v="7"/>
    <d v="2025-07-24T00:00:00"/>
    <m/>
    <x v="6"/>
    <n v="2025"/>
    <n v="13390093"/>
    <n v="0"/>
  </r>
  <r>
    <s v="4000006878"/>
    <s v="76201342-8"/>
    <s v="KNAUF CHILE SPA"/>
    <s v="6701271940"/>
    <s v="ZPCD"/>
    <s v="30"/>
    <x v="0"/>
    <s v=""/>
    <s v="C004"/>
    <s v="E592"/>
    <n v="1"/>
    <s v="Local"/>
    <x v="0"/>
    <s v="Construccion"/>
    <x v="0"/>
    <s v="430502003"/>
    <s v="1427081"/>
    <s v="PLACA IMPACT RH 15 1200X2400"/>
    <n v="732"/>
    <n v="0"/>
    <s v="UN"/>
    <d v="2025-07-23T00:00:00"/>
    <n v="7"/>
    <d v="2025-07-24T00:00:00"/>
    <m/>
    <x v="6"/>
    <n v="2025"/>
    <n v="4143120"/>
    <n v="0"/>
  </r>
  <r>
    <s v="4000006878"/>
    <s v="76201342-8"/>
    <s v="KNAUF CHILE SPA"/>
    <s v="6701271940"/>
    <s v="ZPCD"/>
    <s v="40"/>
    <x v="0"/>
    <s v=""/>
    <s v="C004"/>
    <s v="E592"/>
    <n v="1"/>
    <s v="Local"/>
    <x v="0"/>
    <s v="Construccion"/>
    <x v="0"/>
    <s v="430507002"/>
    <s v="938731"/>
    <s v="SERVICIO FLETE"/>
    <n v="1"/>
    <n v="0"/>
    <s v="UN"/>
    <d v="2025-07-23T00:00:00"/>
    <n v="7"/>
    <d v="2025-07-24T00:00:00"/>
    <m/>
    <x v="6"/>
    <n v="2025"/>
    <n v="112500"/>
    <n v="0"/>
  </r>
  <r>
    <s v="4000006878"/>
    <s v="76201342-8"/>
    <s v="KNAUF CHILE SPA"/>
    <s v="6701170942"/>
    <s v="ZPCD"/>
    <s v="10"/>
    <x v="0"/>
    <s v=""/>
    <s v="C004"/>
    <s v="E652"/>
    <m/>
    <s v="Local"/>
    <x v="0"/>
    <s v="Construccion"/>
    <x v="0"/>
    <s v="430506002"/>
    <s v="1192671"/>
    <s v="YESO PROYECTADO 25KG"/>
    <n v="2373"/>
    <n v="0"/>
    <s v="UN"/>
    <d v="2025-02-26T00:00:00"/>
    <n v="2"/>
    <d v="2025-07-04T00:00:00"/>
    <m/>
    <x v="6"/>
    <n v="2025"/>
    <n v="14133588"/>
    <n v="0"/>
  </r>
  <r>
    <s v="4000006878"/>
    <s v="76201342-8"/>
    <s v="KNAUF CHILE SPA"/>
    <s v="6701195986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1041"/>
    <n v="1041"/>
    <s v="UN"/>
    <d v="2025-04-07T00:00:00"/>
    <n v="4"/>
    <d v="2025-05-02T00:00:00"/>
    <d v="2025-07-29T00:00:00"/>
    <x v="6"/>
    <n v="2025"/>
    <n v="4368036"/>
    <n v="4368036"/>
  </r>
  <r>
    <s v="4000006878"/>
    <s v="76201342-8"/>
    <s v="KNAUF CHILE SPA"/>
    <s v="6701209499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192"/>
    <n v="192"/>
    <s v="UN"/>
    <d v="2025-05-07T00:00:00"/>
    <n v="5"/>
    <d v="2025-05-08T00:00:00"/>
    <d v="2025-07-28T00:00:00"/>
    <x v="6"/>
    <n v="2025"/>
    <n v="11041536"/>
    <n v="11041536"/>
  </r>
  <r>
    <s v="4000006878"/>
    <s v="76201342-8"/>
    <s v="KNAUF CHILE SPA"/>
    <s v="6701209499"/>
    <s v="ZPCD"/>
    <s v="20"/>
    <x v="0"/>
    <s v="101"/>
    <s v="C004"/>
    <s v="E652"/>
    <n v="1"/>
    <s v="Local"/>
    <x v="0"/>
    <s v="Construccion"/>
    <x v="0"/>
    <s v="430507002"/>
    <s v="938731"/>
    <s v="SERVICIO FLETE"/>
    <n v="192"/>
    <n v="192"/>
    <s v="UN"/>
    <d v="2025-05-07T00:00:00"/>
    <n v="5"/>
    <d v="2025-05-08T00:00:00"/>
    <d v="2025-07-30T00:00:00"/>
    <x v="6"/>
    <n v="2025"/>
    <n v="28800"/>
    <n v="28800"/>
  </r>
  <r>
    <s v="4000006878"/>
    <s v="76201342-8"/>
    <s v="KNAUF CHILE SPA"/>
    <s v="6701260378"/>
    <s v="ZPCD"/>
    <s v="10"/>
    <x v="0"/>
    <s v="101"/>
    <s v="C004"/>
    <s v="E652"/>
    <n v="1"/>
    <s v="Local"/>
    <x v="0"/>
    <s v="Construccion"/>
    <x v="0"/>
    <s v="430507002"/>
    <s v="938731"/>
    <s v="SERVICIO FLETE"/>
    <n v="1200"/>
    <n v="1200"/>
    <s v="UN"/>
    <d v="2025-07-04T00:00:00"/>
    <n v="7"/>
    <d v="2025-10-03T00:00:00"/>
    <d v="2025-07-29T00:00:00"/>
    <x v="6"/>
    <n v="2025"/>
    <n v="277200"/>
    <n v="277200"/>
  </r>
  <r>
    <s v="4000006878"/>
    <s v="76201342-8"/>
    <s v="KNAUF CHILE SPA"/>
    <s v="6701276519"/>
    <s v="ZPCD"/>
    <s v="30"/>
    <x v="0"/>
    <s v="101"/>
    <s v="C004"/>
    <s v="E652"/>
    <n v="1"/>
    <s v="Local"/>
    <x v="0"/>
    <s v="Construccion"/>
    <x v="0"/>
    <s v="430507002"/>
    <s v="938731"/>
    <s v="SERVICIO FLETE"/>
    <n v="6777"/>
    <n v="5975"/>
    <s v="UN"/>
    <d v="2025-07-29T00:00:00"/>
    <n v="7"/>
    <d v="2025-10-30T00:00:00"/>
    <d v="2025-08-19T00:00:00"/>
    <x v="7"/>
    <n v="2025"/>
    <n v="1755243"/>
    <n v="1547525"/>
  </r>
  <r>
    <s v="4000006878"/>
    <s v="76201342-8"/>
    <s v="KNAUF CHILE SPA"/>
    <s v="6701276519"/>
    <s v="ZPCD"/>
    <s v="230"/>
    <x v="0"/>
    <s v="101"/>
    <s v="C004"/>
    <s v="E652"/>
    <n v="1"/>
    <s v="Local"/>
    <x v="0"/>
    <s v="Construccion"/>
    <x v="0"/>
    <s v="430507002"/>
    <s v="938731"/>
    <s v="SERVICIO FLETE"/>
    <n v="7"/>
    <n v="7"/>
    <s v="UN"/>
    <d v="2025-07-29T00:00:00"/>
    <n v="7"/>
    <d v="2025-10-30T00:00:00"/>
    <d v="2025-08-08T00:00:00"/>
    <x v="7"/>
    <n v="2025"/>
    <n v="2422"/>
    <n v="2422"/>
  </r>
  <r>
    <s v="4000006878"/>
    <s v="76201342-8"/>
    <s v="KNAUF CHILE SPA"/>
    <s v="6701276519"/>
    <s v="ZPCD"/>
    <s v="240"/>
    <x v="0"/>
    <s v="101"/>
    <s v="C004"/>
    <s v="E652"/>
    <n v="1"/>
    <s v="Local"/>
    <x v="0"/>
    <s v="Construccion"/>
    <x v="0"/>
    <s v="430203001"/>
    <s v="1252500"/>
    <s v="ROLLO LIBRE HR 40MM 1200X12000MM KNAUF"/>
    <n v="7"/>
    <n v="7"/>
    <s v="UN"/>
    <d v="2025-07-29T00:00:00"/>
    <n v="7"/>
    <d v="2025-10-30T00:00:00"/>
    <d v="2025-08-08T00:00:00"/>
    <x v="7"/>
    <n v="2025"/>
    <n v="165312"/>
    <n v="165312"/>
  </r>
  <r>
    <s v="4000006878"/>
    <s v="76201342-8"/>
    <s v="KNAUF CHILE SPA"/>
    <s v="6701276519"/>
    <s v="ZPCD"/>
    <s v="150"/>
    <x v="0"/>
    <s v="101"/>
    <s v="C004"/>
    <s v="E652"/>
    <n v="1"/>
    <s v="Local"/>
    <x v="0"/>
    <s v="Construccion"/>
    <x v="0"/>
    <s v="430507002"/>
    <s v="938731"/>
    <s v="SERVICIO FLETE"/>
    <n v="462"/>
    <n v="232"/>
    <s v="UN"/>
    <d v="2025-07-29T00:00:00"/>
    <n v="7"/>
    <d v="2025-10-30T00:00:00"/>
    <d v="2025-08-08T00:00:00"/>
    <x v="7"/>
    <n v="2025"/>
    <n v="86856"/>
    <n v="43616"/>
  </r>
  <r>
    <s v="4000006878"/>
    <s v="76201342-8"/>
    <s v="KNAUF CHILE SPA"/>
    <s v="6701276519"/>
    <s v="ZPCD"/>
    <s v="160"/>
    <x v="0"/>
    <s v="101"/>
    <s v="C004"/>
    <s v="E652"/>
    <n v="1"/>
    <s v="Local"/>
    <x v="0"/>
    <s v="Construccion"/>
    <x v="0"/>
    <s v="430401006"/>
    <s v="1309478"/>
    <s v="MORTERO SUPERFICIE BLANCO AQUAPANEL 25KG"/>
    <n v="462"/>
    <n v="232"/>
    <s v="UN"/>
    <d v="2025-07-29T00:00:00"/>
    <n v="7"/>
    <d v="2025-10-30T00:00:00"/>
    <d v="2025-08-08T00:00:00"/>
    <x v="7"/>
    <n v="2025"/>
    <n v="7694610"/>
    <n v="3863960"/>
  </r>
  <r>
    <s v="4000006878"/>
    <s v="76201342-8"/>
    <s v="KNAUF CHILE SPA"/>
    <s v="6701276519"/>
    <s v="ZPCD"/>
    <s v="290"/>
    <x v="0"/>
    <s v="101"/>
    <s v="C004"/>
    <s v="E652"/>
    <n v="1"/>
    <s v="Local"/>
    <x v="0"/>
    <s v="Construccion"/>
    <x v="0"/>
    <s v="430507002"/>
    <s v="938731"/>
    <s v="SERVICIO FLETE"/>
    <n v="1114"/>
    <n v="1025"/>
    <s v="UN"/>
    <d v="2025-07-29T00:00:00"/>
    <n v="7"/>
    <d v="2025-10-30T00:00:00"/>
    <d v="2025-08-08T00:00:00"/>
    <x v="7"/>
    <n v="2025"/>
    <n v="385444"/>
    <n v="354650"/>
  </r>
  <r>
    <s v="4000006878"/>
    <s v="76201342-8"/>
    <s v="KNAUF CHILE SPA"/>
    <s v="6701276519"/>
    <s v="ZPCD"/>
    <s v="300"/>
    <x v="0"/>
    <s v="101"/>
    <s v="C004"/>
    <s v="E652"/>
    <n v="1"/>
    <s v="Local"/>
    <x v="0"/>
    <s v="Construccion"/>
    <x v="0"/>
    <s v="430203001"/>
    <s v="1252502"/>
    <s v="ROLLO LIBRE HR 80MM 1200X12000MM KNAUF"/>
    <n v="1114"/>
    <n v="1025"/>
    <s v="UN"/>
    <d v="2025-07-29T00:00:00"/>
    <n v="7"/>
    <d v="2025-10-30T00:00:00"/>
    <d v="2025-08-08T00:00:00"/>
    <x v="7"/>
    <n v="2025"/>
    <n v="44948786"/>
    <n v="41357725"/>
  </r>
  <r>
    <s v="4000006878"/>
    <s v="76201342-8"/>
    <s v="KNAUF CHILE SPA"/>
    <s v="6701277033"/>
    <s v="ZPCD"/>
    <s v="10"/>
    <x v="0"/>
    <s v="101"/>
    <s v="C004"/>
    <s v="E512"/>
    <n v="1"/>
    <s v="Local"/>
    <x v="0"/>
    <s v="Construccion"/>
    <x v="0"/>
    <s v="430502003"/>
    <s v="1239233"/>
    <s v="PLACA IMPACT 15MM 120X240"/>
    <n v="92"/>
    <n v="92"/>
    <s v="UN"/>
    <d v="2025-07-30T00:00:00"/>
    <n v="7"/>
    <d v="2025-08-04T00:00:00"/>
    <d v="2025-08-07T00:00:00"/>
    <x v="7"/>
    <n v="2025"/>
    <n v="1338876"/>
    <n v="1338876"/>
  </r>
  <r>
    <s v="4000006878"/>
    <s v="76201342-8"/>
    <s v="KNAUF CHILE SPA"/>
    <s v="6701277033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7-30T00:00:00"/>
    <n v="7"/>
    <d v="2025-08-04T00:00:00"/>
    <d v="2025-08-07T00:00:00"/>
    <x v="7"/>
    <n v="2025"/>
    <n v="58000"/>
    <n v="58000"/>
  </r>
  <r>
    <s v="4000006878"/>
    <s v="76201342-8"/>
    <s v="KNAUF CHILE SPA"/>
    <s v="6701277033"/>
    <s v="ZPCD"/>
    <s v="30"/>
    <x v="0"/>
    <s v="101"/>
    <s v="C004"/>
    <s v="E512"/>
    <n v="1"/>
    <s v="Local"/>
    <x v="0"/>
    <s v="Construccion"/>
    <x v="0"/>
    <s v="430203001"/>
    <s v="1252502"/>
    <s v="ROLLO LIBRE HR 80MM 1200X12000MM KNAUF"/>
    <n v="9"/>
    <n v="9"/>
    <s v="UN"/>
    <d v="2025-07-30T00:00:00"/>
    <n v="7"/>
    <d v="2025-08-04T00:00:00"/>
    <d v="2025-08-07T00:00:00"/>
    <x v="7"/>
    <n v="2025"/>
    <n v="363141"/>
    <n v="363141"/>
  </r>
  <r>
    <s v="4000006878"/>
    <s v="76201342-8"/>
    <s v="KNAUF CHILE SPA"/>
    <s v="6701285631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6"/>
    <n v="6"/>
    <s v="UN"/>
    <d v="2025-08-11T00:00:00"/>
    <n v="8"/>
    <d v="2025-08-21T00:00:00"/>
    <d v="2025-08-18T00:00:00"/>
    <x v="7"/>
    <n v="2025"/>
    <n v="381774"/>
    <n v="381774"/>
  </r>
  <r>
    <s v="4000006878"/>
    <s v="76201342-8"/>
    <s v="KNAUF CHILE SPA"/>
    <s v="6701286186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5"/>
    <n v="5"/>
    <s v="UN"/>
    <d v="2025-08-12T00:00:00"/>
    <n v="8"/>
    <d v="2025-08-29T00:00:00"/>
    <d v="2025-08-18T00:00:00"/>
    <x v="7"/>
    <n v="2025"/>
    <n v="318145"/>
    <n v="318145"/>
  </r>
  <r>
    <s v="4000006878"/>
    <s v="76201342-8"/>
    <s v="KNAUF CHILE SPA"/>
    <s v="650852683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7T00:00:00"/>
    <x v="7"/>
    <n v="2025"/>
    <n v="1405320"/>
    <n v="1405320"/>
  </r>
  <r>
    <s v="4000006878"/>
    <s v="76201342-8"/>
    <s v="KNAUF CHILE SPA"/>
    <s v="6508526833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01T00:00:00"/>
    <n v="8"/>
    <d v="2025-08-13T00:00:00"/>
    <d v="2025-08-07T00:00:00"/>
    <x v="7"/>
    <n v="2025"/>
    <n v="418720"/>
    <n v="418720"/>
  </r>
  <r>
    <s v="4000006878"/>
    <s v="76201342-8"/>
    <s v="KNAUF CHILE SPA"/>
    <s v="6508526833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2"/>
    <n v="2"/>
    <s v="PAL"/>
    <d v="2025-08-01T00:00:00"/>
    <n v="8"/>
    <d v="2025-08-13T00:00:00"/>
    <d v="2025-08-07T00:00:00"/>
    <x v="7"/>
    <n v="2025"/>
    <n v="1464960"/>
    <n v="1464960"/>
  </r>
  <r>
    <s v="4000006878"/>
    <s v="76201342-8"/>
    <s v="KNAUF CHILE SPA"/>
    <s v="6508526833"/>
    <s v="ZPMC"/>
    <s v="3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7T00:00:00"/>
    <x v="7"/>
    <n v="2025"/>
    <n v="1405320"/>
    <n v="1405320"/>
  </r>
  <r>
    <s v="4000006878"/>
    <s v="76201342-8"/>
    <s v="KNAUF CHILE SPA"/>
    <s v="6508526834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6T00:00:00"/>
    <x v="7"/>
    <n v="2025"/>
    <n v="1405320"/>
    <n v="1405320"/>
  </r>
  <r>
    <s v="4000006878"/>
    <s v="76201342-8"/>
    <s v="KNAUF CHILE SPA"/>
    <s v="6508526834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8-01T00:00:00"/>
    <n v="8"/>
    <d v="2025-08-13T00:00:00"/>
    <d v="2025-08-06T00:00:00"/>
    <x v="7"/>
    <n v="2025"/>
    <n v="703000"/>
    <n v="703000"/>
  </r>
  <r>
    <s v="4000006878"/>
    <s v="76201342-8"/>
    <s v="KNAUF CHILE SPA"/>
    <s v="6508536707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08T00:00:00"/>
    <n v="8"/>
    <d v="2025-08-21T00:00:00"/>
    <d v="2025-08-13T00:00:00"/>
    <x v="7"/>
    <n v="2025"/>
    <n v="1405320"/>
    <n v="1405320"/>
  </r>
  <r>
    <s v="4000006878"/>
    <s v="76201342-8"/>
    <s v="KNAUF CHILE SPA"/>
    <s v="6508536707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8-08T00:00:00"/>
    <n v="8"/>
    <d v="2025-08-21T00:00:00"/>
    <d v="2025-08-13T00:00:00"/>
    <x v="7"/>
    <n v="2025"/>
    <n v="703000"/>
    <n v="703000"/>
  </r>
  <r>
    <s v="4000006878"/>
    <s v="76201342-8"/>
    <s v="KNAUF CHILE SPA"/>
    <s v="6508536708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08T00:00:00"/>
    <n v="8"/>
    <d v="2025-08-21T00:00:00"/>
    <d v="2025-08-13T00:00:00"/>
    <x v="7"/>
    <n v="2025"/>
    <n v="418720"/>
    <n v="418720"/>
  </r>
  <r>
    <s v="4000006878"/>
    <s v="76201342-8"/>
    <s v="KNAUF CHILE SPA"/>
    <s v="6508536708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8-08T00:00:00"/>
    <n v="8"/>
    <d v="2025-08-21T00:00:00"/>
    <d v="2025-08-13T00:00:00"/>
    <x v="7"/>
    <n v="2025"/>
    <n v="1405320"/>
    <n v="1405320"/>
  </r>
  <r>
    <s v="4000006878"/>
    <s v="76201342-8"/>
    <s v="KNAUF CHILE SPA"/>
    <s v="6508536708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1"/>
    <n v="1"/>
    <s v="PAL"/>
    <d v="2025-08-08T00:00:00"/>
    <n v="8"/>
    <d v="2025-08-21T00:00:00"/>
    <d v="2025-08-13T00:00:00"/>
    <x v="7"/>
    <n v="2025"/>
    <n v="351500"/>
    <n v="351500"/>
  </r>
  <r>
    <s v="4000006878"/>
    <s v="76201342-8"/>
    <s v="KNAUF CHILE SPA"/>
    <s v="6701278163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15"/>
    <n v="15"/>
    <s v="UN"/>
    <d v="2025-08-05T00:00:00"/>
    <n v="8"/>
    <d v="2025-08-05T00:00:00"/>
    <d v="2025-08-14T00:00:00"/>
    <x v="7"/>
    <n v="2025"/>
    <n v="452235"/>
    <n v="452235"/>
  </r>
  <r>
    <s v="4000006878"/>
    <s v="76201342-8"/>
    <s v="KNAUF CHILE SPA"/>
    <s v="650854810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18T00:00:00"/>
    <n v="8"/>
    <d v="2025-08-28T00:00:00"/>
    <d v="2025-08-25T00:00:00"/>
    <x v="7"/>
    <n v="2025"/>
    <n v="1405320"/>
    <n v="1405320"/>
  </r>
  <r>
    <s v="4000006878"/>
    <s v="76201342-8"/>
    <s v="KNAUF CHILE SPA"/>
    <s v="650854810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08-18T00:00:00"/>
    <n v="8"/>
    <d v="2025-08-28T00:00:00"/>
    <d v="2025-08-25T00:00:00"/>
    <x v="7"/>
    <n v="2025"/>
    <n v="2109000"/>
    <n v="2109000"/>
  </r>
  <r>
    <s v="4000006878"/>
    <s v="76201342-8"/>
    <s v="KNAUF CHILE SPA"/>
    <s v="6508548110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3"/>
    <n v="3"/>
    <s v="PAL"/>
    <d v="2025-08-18T00:00:00"/>
    <n v="8"/>
    <d v="2025-08-28T00:00:00"/>
    <d v="2025-08-21T00:00:00"/>
    <x v="7"/>
    <n v="2025"/>
    <n v="1256160"/>
    <n v="1256160"/>
  </r>
  <r>
    <s v="4000006878"/>
    <s v="76201342-8"/>
    <s v="KNAUF CHILE SPA"/>
    <s v="6508548110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8-18T00:00:00"/>
    <n v="8"/>
    <d v="2025-08-28T00:00:00"/>
    <d v="2025-08-21T00:00:00"/>
    <x v="7"/>
    <n v="2025"/>
    <n v="732480"/>
    <n v="732480"/>
  </r>
  <r>
    <s v="4000006878"/>
    <s v="76201342-8"/>
    <s v="KNAUF CHILE SPA"/>
    <s v="6508548110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1"/>
    <n v="1"/>
    <s v="PAL"/>
    <d v="2025-08-18T00:00:00"/>
    <n v="8"/>
    <d v="2025-08-28T00:00:00"/>
    <d v="2025-08-21T00:00:00"/>
    <x v="7"/>
    <n v="2025"/>
    <n v="351500"/>
    <n v="351500"/>
  </r>
  <r>
    <s v="4000006878"/>
    <s v="76201342-8"/>
    <s v="KNAUF CHILE SPA"/>
    <s v="650854811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08-18T00:00:00"/>
    <n v="8"/>
    <d v="2025-08-28T00:00:00"/>
    <d v="2025-08-21T00:00:00"/>
    <x v="7"/>
    <n v="2025"/>
    <n v="702660"/>
    <n v="702660"/>
  </r>
  <r>
    <s v="4000006878"/>
    <s v="76201342-8"/>
    <s v="KNAUF CHILE SPA"/>
    <s v="650854811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8-18T00:00:00"/>
    <n v="8"/>
    <d v="2025-08-28T00:00:00"/>
    <d v="2025-08-21T00:00:00"/>
    <x v="7"/>
    <n v="2025"/>
    <n v="703000"/>
    <n v="703000"/>
  </r>
  <r>
    <s v="4000006878"/>
    <s v="76201342-8"/>
    <s v="KNAUF CHILE SPA"/>
    <s v="6508556486"/>
    <s v="ZPMC"/>
    <s v="10"/>
    <x v="1"/>
    <s v="101"/>
    <s v="C004"/>
    <s v="E517"/>
    <n v="1"/>
    <s v="Local"/>
    <x v="0"/>
    <s v="Construccion"/>
    <x v="0"/>
    <s v="430503004"/>
    <s v="1230790"/>
    <s v="MASILLA BASE KNAUF 20KG"/>
    <n v="200"/>
    <n v="200"/>
    <s v="UN"/>
    <d v="2025-08-22T00:00:00"/>
    <n v="8"/>
    <d v="2025-09-03T00:00:00"/>
    <d v="2025-08-29T00:00:00"/>
    <x v="7"/>
    <n v="2025"/>
    <n v="1739200"/>
    <n v="1739200"/>
  </r>
  <r>
    <s v="4000006878"/>
    <s v="76201342-8"/>
    <s v="KNAUF CHILE SPA"/>
    <s v="6701290162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260"/>
    <n v="260"/>
    <s v="UN"/>
    <d v="2025-08-20T00:00:00"/>
    <n v="8"/>
    <d v="2025-08-29T00:00:00"/>
    <d v="2025-08-22T00:00:00"/>
    <x v="7"/>
    <n v="2025"/>
    <n v="7740460"/>
    <n v="7740460"/>
  </r>
  <r>
    <s v="4000006878"/>
    <s v="76201342-8"/>
    <s v="KNAUF CHILE SPA"/>
    <s v="6701290454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8-20T00:00:00"/>
    <n v="8"/>
    <d v="2025-08-25T00:00:00"/>
    <d v="2025-08-28T00:00:00"/>
    <x v="7"/>
    <n v="2025"/>
    <n v="7257600"/>
    <n v="7257600"/>
  </r>
  <r>
    <s v="4000006878"/>
    <s v="76201342-8"/>
    <s v="KNAUF CHILE SPA"/>
    <s v="6701290454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8-20T00:00:00"/>
    <n v="8"/>
    <d v="2025-08-25T00:00:00"/>
    <d v="2025-08-28T00:00:00"/>
    <x v="7"/>
    <n v="2025"/>
    <n v="2400"/>
    <n v="2400"/>
  </r>
  <r>
    <s v="4000006878"/>
    <s v="76201342-8"/>
    <s v="KNAUF CHILE SPA"/>
    <s v="6701290529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00"/>
    <n v="100"/>
    <s v="UN"/>
    <d v="2025-08-20T00:00:00"/>
    <n v="8"/>
    <d v="2025-08-25T00:00:00"/>
    <d v="2025-08-25T00:00:00"/>
    <x v="7"/>
    <n v="2025"/>
    <n v="1686300"/>
    <n v="1686300"/>
  </r>
  <r>
    <s v="4000006878"/>
    <s v="76201342-8"/>
    <s v="KNAUF CHILE SPA"/>
    <s v="6701290529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0"/>
    <s v="UN"/>
    <d v="2025-08-20T00:00:00"/>
    <n v="8"/>
    <d v="2025-08-25T00:00:00"/>
    <m/>
    <x v="7"/>
    <n v="2025"/>
    <n v="58000"/>
    <n v="0"/>
  </r>
  <r>
    <s v="4000006878"/>
    <s v="76201342-8"/>
    <s v="KNAUF CHILE SPA"/>
    <s v="6701290557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08-20T00:00:00"/>
    <n v="8"/>
    <d v="2025-08-21T00:00:00"/>
    <d v="2025-08-28T00:00:00"/>
    <x v="7"/>
    <n v="2025"/>
    <n v="2692500"/>
    <n v="2692500"/>
  </r>
  <r>
    <s v="4000006878"/>
    <s v="76201342-8"/>
    <s v="KNAUF CHILE SPA"/>
    <s v="6701290557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08-20T00:00:00"/>
    <n v="8"/>
    <d v="2025-08-21T00:00:00"/>
    <d v="2025-08-28T00:00:00"/>
    <x v="7"/>
    <n v="2025"/>
    <n v="51900"/>
    <n v="51900"/>
  </r>
  <r>
    <s v="4000006878"/>
    <s v="76201342-8"/>
    <s v="KNAUF CHILE SPA"/>
    <s v="6701294864"/>
    <s v="ZPCD"/>
    <s v="10"/>
    <x v="0"/>
    <s v=""/>
    <s v="C004"/>
    <s v="E652"/>
    <n v="1"/>
    <s v="Local"/>
    <x v="0"/>
    <s v="Construccion"/>
    <x v="0"/>
    <s v="430201001"/>
    <s v="896692"/>
    <s v="BANDA ACUSTICA 70MM ANCHO ROLLO X 30 M"/>
    <n v="20"/>
    <n v="0"/>
    <s v="ROM"/>
    <d v="2025-08-28T00:00:00"/>
    <n v="8"/>
    <d v="2025-08-29T00:00:00"/>
    <m/>
    <x v="7"/>
    <n v="2025"/>
    <n v="214180"/>
    <n v="0"/>
  </r>
  <r>
    <s v="4000006878"/>
    <s v="76201342-8"/>
    <s v="KNAUF CHILE SPA"/>
    <s v="6701294864"/>
    <s v="ZPCD"/>
    <s v="20"/>
    <x v="0"/>
    <s v=""/>
    <s v="C004"/>
    <s v="E652"/>
    <n v="1"/>
    <s v="Local"/>
    <x v="0"/>
    <s v="Construccion"/>
    <x v="0"/>
    <s v="430201001"/>
    <s v="904569"/>
    <s v="BANDA ACUSTICA 50MM ANCHO ROLLO X 30 M"/>
    <n v="2"/>
    <n v="0"/>
    <s v="ROM"/>
    <d v="2025-08-28T00:00:00"/>
    <n v="8"/>
    <d v="2025-08-29T00:00:00"/>
    <m/>
    <x v="7"/>
    <n v="2025"/>
    <n v="30942"/>
    <n v="0"/>
  </r>
  <r>
    <s v="4000006878"/>
    <s v="76201342-8"/>
    <s v="KNAUF CHILE SPA"/>
    <s v="6701294864"/>
    <s v="ZPCD"/>
    <s v="30"/>
    <x v="0"/>
    <s v=""/>
    <s v="C004"/>
    <s v="E652"/>
    <n v="1"/>
    <s v="Local"/>
    <x v="0"/>
    <s v="Construccion"/>
    <x v="0"/>
    <s v="430507002"/>
    <s v="938731"/>
    <s v="SERVICIO FLETE"/>
    <n v="22"/>
    <n v="0"/>
    <s v="UN"/>
    <d v="2025-08-28T00:00:00"/>
    <n v="8"/>
    <d v="2025-08-29T00:00:00"/>
    <m/>
    <x v="7"/>
    <n v="2025"/>
    <n v="57992"/>
    <n v="0"/>
  </r>
  <r>
    <s v="4000006878"/>
    <s v="76201342-8"/>
    <s v="KNAUF CHILE SPA"/>
    <s v="6701210366"/>
    <s v="ZPCD"/>
    <s v="10"/>
    <x v="0"/>
    <s v=""/>
    <s v="C004"/>
    <s v="E652"/>
    <n v="1"/>
    <s v="Local"/>
    <x v="0"/>
    <s v="Construccion"/>
    <x v="0"/>
    <s v="430503006"/>
    <s v="1232378"/>
    <s v="PL YESO CARTON ST BR 10X1200X2400 MM KNA"/>
    <n v="10185"/>
    <n v="0"/>
    <s v="UN"/>
    <d v="2025-05-09T00:00:00"/>
    <n v="5"/>
    <d v="2025-08-08T00:00:00"/>
    <m/>
    <x v="7"/>
    <n v="2025"/>
    <n v="37715055"/>
    <n v="0"/>
  </r>
  <r>
    <s v="4000006878"/>
    <s v="76201342-8"/>
    <s v="KNAUF CHILE SPA"/>
    <s v="6701210366"/>
    <s v="ZPCD"/>
    <s v="20"/>
    <x v="0"/>
    <s v=""/>
    <s v="C004"/>
    <s v="E652"/>
    <n v="1"/>
    <s v="Local"/>
    <x v="0"/>
    <s v="Construccion"/>
    <x v="0"/>
    <s v="430507002"/>
    <s v="938731"/>
    <s v="SERVICIO FLETE"/>
    <n v="10185"/>
    <n v="0"/>
    <s v="UN"/>
    <d v="2025-05-09T00:00:00"/>
    <n v="5"/>
    <d v="2025-08-08T00:00:00"/>
    <m/>
    <x v="7"/>
    <n v="2025"/>
    <n v="1517565"/>
    <n v="0"/>
  </r>
  <r>
    <s v="4000006878"/>
    <s v="76201342-8"/>
    <s v="KNAUF CHILE SPA"/>
    <s v="6701210366"/>
    <s v="ZPCD"/>
    <s v="30"/>
    <x v="0"/>
    <s v=""/>
    <s v="C004"/>
    <s v="E652"/>
    <n v="1"/>
    <s v="Local"/>
    <x v="0"/>
    <s v="Construccion"/>
    <x v="0"/>
    <s v="430503006"/>
    <s v="1232498"/>
    <s v="PL YESO CARTON ST 12.5X1200X2400MM KNAUF"/>
    <n v="486"/>
    <n v="0"/>
    <s v="UN"/>
    <d v="2025-05-09T00:00:00"/>
    <n v="5"/>
    <d v="2025-08-08T00:00:00"/>
    <m/>
    <x v="7"/>
    <n v="2025"/>
    <n v="2356614"/>
    <n v="0"/>
  </r>
  <r>
    <s v="4000006878"/>
    <s v="76201342-8"/>
    <s v="KNAUF CHILE SPA"/>
    <s v="6701210366"/>
    <s v="ZPCD"/>
    <s v="40"/>
    <x v="0"/>
    <s v=""/>
    <s v="C004"/>
    <s v="E652"/>
    <n v="1"/>
    <s v="Local"/>
    <x v="0"/>
    <s v="Construccion"/>
    <x v="0"/>
    <s v="430507002"/>
    <s v="938731"/>
    <s v="SERVICIO FLETE"/>
    <n v="486"/>
    <n v="0"/>
    <s v="UN"/>
    <d v="2025-05-09T00:00:00"/>
    <n v="5"/>
    <d v="2025-08-08T00:00:00"/>
    <m/>
    <x v="7"/>
    <n v="2025"/>
    <n v="99144"/>
    <n v="0"/>
  </r>
  <r>
    <s v="4000006878"/>
    <s v="76201342-8"/>
    <s v="KNAUF CHILE SPA"/>
    <s v="6701210366"/>
    <s v="ZPCD"/>
    <s v="50"/>
    <x v="0"/>
    <s v=""/>
    <s v="C004"/>
    <s v="E652"/>
    <n v="1"/>
    <s v="Local"/>
    <x v="0"/>
    <s v="Construccion"/>
    <x v="0"/>
    <s v="430503006"/>
    <s v="1232496"/>
    <s v="PL YESO CARTON RH 15X1200X2400MM KNAUF"/>
    <n v="2187"/>
    <n v="0"/>
    <s v="UN"/>
    <d v="2025-05-09T00:00:00"/>
    <n v="5"/>
    <d v="2025-08-08T00:00:00"/>
    <m/>
    <x v="7"/>
    <n v="2025"/>
    <n v="18956916"/>
    <n v="0"/>
  </r>
  <r>
    <s v="4000006878"/>
    <s v="76201342-8"/>
    <s v="KNAUF CHILE SPA"/>
    <s v="6701210366"/>
    <s v="ZPCD"/>
    <s v="60"/>
    <x v="0"/>
    <s v=""/>
    <s v="C004"/>
    <s v="E652"/>
    <n v="1"/>
    <s v="Local"/>
    <x v="0"/>
    <s v="Construccion"/>
    <x v="0"/>
    <s v="430507002"/>
    <s v="938731"/>
    <s v="SERVICIO FLETE"/>
    <n v="2187"/>
    <n v="0"/>
    <s v="UN"/>
    <d v="2025-05-09T00:00:00"/>
    <n v="5"/>
    <d v="2025-08-08T00:00:00"/>
    <m/>
    <x v="7"/>
    <n v="2025"/>
    <n v="566433"/>
    <n v="0"/>
  </r>
  <r>
    <s v="4000006878"/>
    <s v="76201342-8"/>
    <s v="KNAUF CHILE SPA"/>
    <s v="6701210366"/>
    <s v="ZPCD"/>
    <s v="70"/>
    <x v="0"/>
    <s v=""/>
    <s v="C004"/>
    <s v="E652"/>
    <n v="1"/>
    <s v="Local"/>
    <x v="0"/>
    <s v="Construccion"/>
    <x v="0"/>
    <s v="430503006"/>
    <s v="1232377"/>
    <s v="PL YESO CARTON RH 12.5X1200X2400 MM KNAU"/>
    <n v="717"/>
    <n v="0"/>
    <s v="UN"/>
    <d v="2025-05-09T00:00:00"/>
    <n v="5"/>
    <d v="2025-08-08T00:00:00"/>
    <m/>
    <x v="7"/>
    <n v="2025"/>
    <n v="5728830"/>
    <n v="0"/>
  </r>
  <r>
    <s v="4000006878"/>
    <s v="76201342-8"/>
    <s v="KNAUF CHILE SPA"/>
    <s v="6701210366"/>
    <s v="ZPCD"/>
    <s v="80"/>
    <x v="0"/>
    <s v=""/>
    <s v="C004"/>
    <s v="E652"/>
    <n v="1"/>
    <s v="Local"/>
    <x v="0"/>
    <s v="Construccion"/>
    <x v="0"/>
    <s v="430507002"/>
    <s v="938731"/>
    <s v="SERVICIO FLETE"/>
    <n v="717"/>
    <n v="0"/>
    <s v="UN"/>
    <d v="2025-05-09T00:00:00"/>
    <n v="5"/>
    <d v="2025-08-08T00:00:00"/>
    <m/>
    <x v="7"/>
    <n v="2025"/>
    <n v="172797"/>
    <n v="0"/>
  </r>
  <r>
    <s v="4000006878"/>
    <s v="76201342-8"/>
    <s v="KNAUF CHILE SPA"/>
    <s v="6701210366"/>
    <s v="ZPCD"/>
    <s v="90"/>
    <x v="0"/>
    <s v=""/>
    <s v="C004"/>
    <s v="E652"/>
    <n v="1"/>
    <s v="Local"/>
    <x v="0"/>
    <s v="Construccion"/>
    <x v="0"/>
    <s v="430502003"/>
    <s v="1239022"/>
    <s v="PLACA CEMENTICA AQUAPANAL 8MM 120X240"/>
    <n v="301"/>
    <n v="0"/>
    <s v="UN"/>
    <d v="2025-05-09T00:00:00"/>
    <n v="5"/>
    <d v="2025-08-08T00:00:00"/>
    <m/>
    <x v="7"/>
    <n v="2025"/>
    <n v="4512893"/>
    <n v="0"/>
  </r>
  <r>
    <s v="4000006878"/>
    <s v="76201342-8"/>
    <s v="KNAUF CHILE SPA"/>
    <s v="6701210366"/>
    <s v="ZPCD"/>
    <s v="100"/>
    <x v="0"/>
    <s v=""/>
    <s v="C004"/>
    <s v="E652"/>
    <n v="1"/>
    <s v="Local"/>
    <x v="0"/>
    <s v="Construccion"/>
    <x v="0"/>
    <s v="430507002"/>
    <s v="938731"/>
    <s v="SERVICIO FLETE"/>
    <n v="301"/>
    <n v="0"/>
    <s v="UN"/>
    <d v="2025-05-09T00:00:00"/>
    <n v="5"/>
    <d v="2025-08-08T00:00:00"/>
    <m/>
    <x v="7"/>
    <n v="2025"/>
    <n v="76454"/>
    <n v="0"/>
  </r>
  <r>
    <s v="4000006878"/>
    <s v="76201342-8"/>
    <s v="KNAUF CHILE SPA"/>
    <s v="6701210366"/>
    <s v="ZPCD"/>
    <s v="110"/>
    <x v="0"/>
    <s v=""/>
    <s v="C004"/>
    <s v="E652"/>
    <n v="1"/>
    <s v="Local"/>
    <x v="0"/>
    <s v="Construccion"/>
    <x v="0"/>
    <s v="430204003"/>
    <s v="1246704"/>
    <s v="AQUAPANEL WATER BARRIER 1.50X50"/>
    <n v="8"/>
    <n v="0"/>
    <s v="UN"/>
    <d v="2025-05-09T00:00:00"/>
    <n v="5"/>
    <d v="2025-08-08T00:00:00"/>
    <m/>
    <x v="7"/>
    <n v="2025"/>
    <n v="1125240"/>
    <n v="0"/>
  </r>
  <r>
    <s v="4000006878"/>
    <s v="76201342-8"/>
    <s v="KNAUF CHILE SPA"/>
    <s v="6701210366"/>
    <s v="ZPCD"/>
    <s v="120"/>
    <x v="0"/>
    <s v=""/>
    <s v="C004"/>
    <s v="E652"/>
    <n v="1"/>
    <s v="Local"/>
    <x v="0"/>
    <s v="Construccion"/>
    <x v="0"/>
    <s v="430507002"/>
    <s v="938731"/>
    <s v="SERVICIO FLETE"/>
    <n v="8"/>
    <n v="0"/>
    <s v="UN"/>
    <d v="2025-05-09T00:00:00"/>
    <n v="5"/>
    <d v="2025-08-08T00:00:00"/>
    <m/>
    <x v="7"/>
    <n v="2025"/>
    <n v="136832"/>
    <n v="0"/>
  </r>
  <r>
    <s v="4000006878"/>
    <s v="76201342-8"/>
    <s v="KNAUF CHILE SPA"/>
    <s v="6701210366"/>
    <s v="ZPCD"/>
    <s v="130"/>
    <x v="0"/>
    <s v=""/>
    <s v="C004"/>
    <s v="E652"/>
    <n v="1"/>
    <s v="Local"/>
    <x v="0"/>
    <s v="Construccion"/>
    <x v="0"/>
    <s v="430503006"/>
    <s v="118468"/>
    <s v="PLANCHA YESO CARTON ST BR 15X1200X2400MM"/>
    <n v="1003"/>
    <n v="0"/>
    <s v="UN"/>
    <d v="2025-05-09T00:00:00"/>
    <n v="5"/>
    <d v="2025-08-08T00:00:00"/>
    <m/>
    <x v="7"/>
    <n v="2025"/>
    <n v="5525527"/>
    <n v="0"/>
  </r>
  <r>
    <s v="4000006878"/>
    <s v="76201342-8"/>
    <s v="KNAUF CHILE SPA"/>
    <s v="6701210366"/>
    <s v="ZPCD"/>
    <s v="140"/>
    <x v="0"/>
    <s v=""/>
    <s v="C004"/>
    <s v="E652"/>
    <n v="1"/>
    <s v="Local"/>
    <x v="0"/>
    <s v="Construccion"/>
    <x v="0"/>
    <s v="430507002"/>
    <s v="938731"/>
    <s v="SERVICIO FLETE"/>
    <n v="1003"/>
    <n v="0"/>
    <s v="UN"/>
    <d v="2025-05-09T00:00:00"/>
    <n v="5"/>
    <d v="2025-08-08T00:00:00"/>
    <m/>
    <x v="7"/>
    <n v="2025"/>
    <n v="259777"/>
    <n v="0"/>
  </r>
  <r>
    <s v="4000006878"/>
    <s v="76201342-8"/>
    <s v="KNAUF CHILE SPA"/>
    <s v="6701210444"/>
    <s v="ZPCD"/>
    <s v="10"/>
    <x v="0"/>
    <s v=""/>
    <s v="C004"/>
    <s v="E652"/>
    <n v="1"/>
    <s v="Local"/>
    <x v="0"/>
    <s v="Construccion"/>
    <x v="0"/>
    <s v="430203001"/>
    <s v="854007"/>
    <s v="LANA VIDRIO LIBRE (SR )40MM/ 28.80M2"/>
    <n v="542"/>
    <n v="0"/>
    <s v="UN"/>
    <d v="2025-05-09T00:00:00"/>
    <n v="5"/>
    <d v="2025-08-08T00:00:00"/>
    <m/>
    <x v="7"/>
    <n v="2025"/>
    <n v="15909326"/>
    <n v="0"/>
  </r>
  <r>
    <s v="4000006878"/>
    <s v="76201342-8"/>
    <s v="KNAUF CHILE SPA"/>
    <s v="6701210444"/>
    <s v="ZPCD"/>
    <s v="20"/>
    <x v="0"/>
    <s v=""/>
    <s v="C004"/>
    <s v="E652"/>
    <n v="1"/>
    <s v="Local"/>
    <x v="0"/>
    <s v="Construccion"/>
    <x v="0"/>
    <s v="430507002"/>
    <s v="938731"/>
    <s v="SERVICIO FLETE"/>
    <n v="542"/>
    <n v="0"/>
    <s v="UN"/>
    <d v="2025-05-09T00:00:00"/>
    <n v="5"/>
    <d v="2025-08-08T00:00:00"/>
    <m/>
    <x v="7"/>
    <n v="2025"/>
    <n v="936576"/>
    <n v="0"/>
  </r>
  <r>
    <s v="4000006878"/>
    <s v="76201342-8"/>
    <s v="KNAUF CHILE SPA"/>
    <s v="6701212910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10185"/>
    <n v="9445"/>
    <s v="UN"/>
    <d v="2025-05-14T00:00:00"/>
    <n v="5"/>
    <d v="2025-08-14T00:00:00"/>
    <d v="2025-08-06T00:00:00"/>
    <x v="7"/>
    <n v="2025"/>
    <n v="38295600"/>
    <n v="35513200"/>
  </r>
  <r>
    <s v="4000006878"/>
    <s v="76201342-8"/>
    <s v="KNAUF CHILE SPA"/>
    <s v="6701195986"/>
    <s v="ZPCD"/>
    <s v="20"/>
    <x v="0"/>
    <s v="101"/>
    <s v="C004"/>
    <s v="E652"/>
    <n v="1"/>
    <s v="Local"/>
    <x v="0"/>
    <s v="Construccion"/>
    <x v="0"/>
    <s v="430507002"/>
    <s v="938731"/>
    <s v="SERVICIO FLETE"/>
    <n v="1041"/>
    <n v="1041"/>
    <s v="UN"/>
    <d v="2025-04-07T00:00:00"/>
    <n v="4"/>
    <d v="2025-05-02T00:00:00"/>
    <d v="2025-08-07T00:00:00"/>
    <x v="7"/>
    <n v="2025"/>
    <n v="173847"/>
    <n v="173847"/>
  </r>
  <r>
    <s v="4000006878"/>
    <s v="76201342-8"/>
    <s v="KNAUF CHILE SPA"/>
    <s v="6701195986"/>
    <s v="ZPCD"/>
    <s v="40"/>
    <x v="0"/>
    <s v="101"/>
    <s v="C004"/>
    <s v="E652"/>
    <n v="1"/>
    <s v="Local"/>
    <x v="0"/>
    <s v="Construccion"/>
    <x v="0"/>
    <s v="430507002"/>
    <s v="938731"/>
    <s v="SERVICIO FLETE"/>
    <n v="2081"/>
    <n v="2081"/>
    <s v="UN"/>
    <d v="2025-04-07T00:00:00"/>
    <n v="4"/>
    <d v="2025-05-02T00:00:00"/>
    <d v="2025-08-07T00:00:00"/>
    <x v="7"/>
    <n v="2025"/>
    <n v="586842"/>
    <n v="586842"/>
  </r>
  <r>
    <s v="4000006878"/>
    <s v="76201342-8"/>
    <s v="KNAUF CHILE SPA"/>
    <s v="6701194320"/>
    <s v="ZPCD"/>
    <s v="20"/>
    <x v="0"/>
    <s v="101"/>
    <s v="C004"/>
    <s v="E507"/>
    <n v="1"/>
    <s v="Local"/>
    <x v="0"/>
    <s v="Construccion"/>
    <x v="0"/>
    <s v="430401007"/>
    <s v="1246707"/>
    <s v="AQUAPANEL MORTERO SUP. BLANCO 25KG"/>
    <n v="52"/>
    <n v="40"/>
    <s v="UN"/>
    <d v="2025-04-04T00:00:00"/>
    <n v="4"/>
    <d v="2025-04-04T00:00:00"/>
    <d v="2025-08-06T00:00:00"/>
    <x v="7"/>
    <n v="2025"/>
    <n v="866060"/>
    <n v="666200"/>
  </r>
  <r>
    <s v="4000006878"/>
    <s v="76201342-8"/>
    <s v="KNAUF CHILE SPA"/>
    <s v="6701272865"/>
    <s v="ZPCD"/>
    <s v="10"/>
    <x v="0"/>
    <s v="101"/>
    <s v="C004"/>
    <s v="E652"/>
    <n v="1"/>
    <s v="Local"/>
    <x v="0"/>
    <s v="Construccion"/>
    <x v="0"/>
    <s v="430401006"/>
    <s v="1309478"/>
    <s v="MORTERO SUPERFICIE BLANCO AQUAPANEL 25KG"/>
    <n v="3"/>
    <n v="3"/>
    <s v="UN"/>
    <d v="2025-07-24T00:00:00"/>
    <n v="7"/>
    <d v="2025-10-24T00:00:00"/>
    <d v="2025-08-04T00:00:00"/>
    <x v="7"/>
    <n v="2025"/>
    <n v="49965"/>
    <n v="49965"/>
  </r>
  <r>
    <s v="4000006878"/>
    <s v="76201342-8"/>
    <s v="KNAUF CHILE SPA"/>
    <s v="6701272865"/>
    <s v="ZPCD"/>
    <s v="20"/>
    <x v="0"/>
    <s v="101"/>
    <s v="C004"/>
    <s v="E652"/>
    <n v="1"/>
    <s v="Local"/>
    <x v="0"/>
    <s v="Construccion"/>
    <x v="0"/>
    <s v="430503001"/>
    <s v="1309477"/>
    <s v="CINTA PARA JUNTAS AQUAPANEL 10CM  50M"/>
    <n v="1"/>
    <n v="1"/>
    <s v="UN"/>
    <d v="2025-07-24T00:00:00"/>
    <n v="7"/>
    <d v="2025-10-24T00:00:00"/>
    <d v="2025-08-04T00:00:00"/>
    <x v="7"/>
    <n v="2025"/>
    <n v="14369"/>
    <n v="14369"/>
  </r>
  <r>
    <s v="4000006878"/>
    <s v="76201342-8"/>
    <s v="KNAUF CHILE SPA"/>
    <s v="6701273099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26"/>
    <n v="126"/>
    <s v="UN"/>
    <d v="2025-07-25T00:00:00"/>
    <n v="7"/>
    <d v="2025-09-30T00:00:00"/>
    <d v="2025-08-06T00:00:00"/>
    <x v="7"/>
    <n v="2025"/>
    <n v="2098530"/>
    <n v="2098530"/>
  </r>
  <r>
    <s v="4000006878"/>
    <s v="76201342-8"/>
    <s v="KNAUF CHILE SPA"/>
    <s v="6701273099"/>
    <s v="ZPCD"/>
    <s v="20"/>
    <x v="0"/>
    <s v="101"/>
    <s v="C004"/>
    <s v="E652"/>
    <n v="1"/>
    <s v="Local"/>
    <x v="0"/>
    <s v="Construccion"/>
    <x v="0"/>
    <s v="430503001"/>
    <s v="1309477"/>
    <s v="CINTA PARA JUNTAS AQUAPANEL 10CM  50M"/>
    <n v="24"/>
    <n v="24"/>
    <s v="UN"/>
    <d v="2025-07-25T00:00:00"/>
    <n v="7"/>
    <d v="2025-09-30T00:00:00"/>
    <d v="2025-08-06T00:00:00"/>
    <x v="7"/>
    <n v="2025"/>
    <n v="344856"/>
    <n v="344856"/>
  </r>
  <r>
    <s v="4000006878"/>
    <s v="76201342-8"/>
    <s v="KNAUF CHILE SPA"/>
    <s v="6701275085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83"/>
    <n v="83"/>
    <s v="UN"/>
    <d v="2025-07-28T00:00:00"/>
    <n v="7"/>
    <d v="2025-07-29T00:00:00"/>
    <d v="2025-08-06T00:00:00"/>
    <x v="7"/>
    <n v="2025"/>
    <n v="2375626"/>
    <n v="2375626"/>
  </r>
  <r>
    <s v="4000006878"/>
    <s v="76201342-8"/>
    <s v="KNAUF CHILE SPA"/>
    <s v="6701275085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948"/>
    <n v="948"/>
    <s v="UN"/>
    <d v="2025-07-28T00:00:00"/>
    <n v="7"/>
    <d v="2025-07-29T00:00:00"/>
    <d v="2025-08-06T00:00:00"/>
    <x v="7"/>
    <n v="2025"/>
    <n v="13384812"/>
    <n v="13384812"/>
  </r>
  <r>
    <s v="4000006878"/>
    <s v="76201342-8"/>
    <s v="KNAUF CHILE SPA"/>
    <s v="6701275085"/>
    <s v="ZPCD"/>
    <s v="30"/>
    <x v="0"/>
    <s v="101"/>
    <s v="C004"/>
    <s v="E592"/>
    <n v="1"/>
    <s v="Local"/>
    <x v="0"/>
    <s v="Construccion"/>
    <x v="0"/>
    <s v="430502003"/>
    <s v="1427081"/>
    <s v="PLACA IMPACT RH 15 1200X2400"/>
    <n v="254"/>
    <n v="254"/>
    <s v="UN"/>
    <d v="2025-07-28T00:00:00"/>
    <n v="7"/>
    <d v="2025-07-29T00:00:00"/>
    <d v="2025-08-06T00:00:00"/>
    <x v="7"/>
    <n v="2025"/>
    <n v="4140708"/>
    <n v="4140708"/>
  </r>
  <r>
    <s v="4000006878"/>
    <s v="76201342-8"/>
    <s v="KNAUF CHILE SPA"/>
    <s v="6701275085"/>
    <s v="ZPCD"/>
    <s v="40"/>
    <x v="0"/>
    <s v="101"/>
    <s v="C004"/>
    <s v="E592"/>
    <n v="1"/>
    <s v="Local"/>
    <x v="0"/>
    <s v="Construccion"/>
    <x v="0"/>
    <s v="430507002"/>
    <s v="938731"/>
    <s v="SERVICIO FLETE"/>
    <n v="1285"/>
    <n v="1285"/>
    <s v="UN"/>
    <d v="2025-07-28T00:00:00"/>
    <n v="7"/>
    <d v="2025-07-29T00:00:00"/>
    <d v="2025-08-06T00:00:00"/>
    <x v="7"/>
    <n v="2025"/>
    <n v="113080"/>
    <n v="113080"/>
  </r>
  <r>
    <s v="4000006878"/>
    <s v="76201342-8"/>
    <s v="KNAUF CHILE SPA"/>
    <s v="6701275832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50"/>
    <n v="50"/>
    <s v="ROM"/>
    <d v="2025-07-28T00:00:00"/>
    <n v="7"/>
    <d v="2025-10-30T00:00:00"/>
    <d v="2025-08-08T00:00:00"/>
    <x v="7"/>
    <n v="2025"/>
    <n v="481900"/>
    <n v="481900"/>
  </r>
  <r>
    <s v="4000006878"/>
    <s v="76201342-8"/>
    <s v="KNAUF CHILE SPA"/>
    <s v="6701270937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95"/>
    <n v="195"/>
    <s v="UN"/>
    <d v="2025-07-22T00:00:00"/>
    <n v="7"/>
    <d v="2025-07-28T00:00:00"/>
    <d v="2025-08-12T00:00:00"/>
    <x v="7"/>
    <n v="2025"/>
    <n v="5805345"/>
    <n v="5805345"/>
  </r>
  <r>
    <s v="4000006878"/>
    <s v="76201342-8"/>
    <s v="KNAUF CHILE SPA"/>
    <s v="6701271148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10"/>
    <n v="110"/>
    <s v="UN"/>
    <d v="2025-07-22T00:00:00"/>
    <n v="7"/>
    <d v="2025-07-28T00:00:00"/>
    <d v="2025-08-12T00:00:00"/>
    <x v="7"/>
    <n v="2025"/>
    <n v="3274810"/>
    <n v="3274810"/>
  </r>
  <r>
    <s v="4000006878"/>
    <s v="76201342-8"/>
    <s v="KNAUF CHILE SPA"/>
    <s v="650851736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8-06T00:00:00"/>
    <x v="7"/>
    <n v="2025"/>
    <n v="1405320"/>
    <n v="1405320"/>
  </r>
  <r>
    <s v="4000006878"/>
    <s v="76201342-8"/>
    <s v="KNAUF CHILE SPA"/>
    <s v="6701260378"/>
    <s v="ZPCD"/>
    <s v="40"/>
    <x v="0"/>
    <s v="101"/>
    <s v="C004"/>
    <s v="E652"/>
    <n v="1"/>
    <s v="Local"/>
    <x v="0"/>
    <s v="Construccion"/>
    <x v="0"/>
    <s v="430503006"/>
    <s v="1232496"/>
    <s v="PL YESO CARTON RH 15X1200X2400MM KNAUF"/>
    <n v="120"/>
    <n v="120"/>
    <s v="UN"/>
    <d v="2025-07-04T00:00:00"/>
    <n v="7"/>
    <d v="2025-10-03T00:00:00"/>
    <d v="2025-08-08T00:00:00"/>
    <x v="7"/>
    <n v="2025"/>
    <n v="1109040"/>
    <n v="1109040"/>
  </r>
  <r>
    <s v="4000006878"/>
    <s v="76201342-8"/>
    <s v="KNAUF CHILE SPA"/>
    <s v="6701260378"/>
    <s v="ZPCD"/>
    <s v="50"/>
    <x v="0"/>
    <s v="101"/>
    <s v="C004"/>
    <s v="E652"/>
    <n v="1"/>
    <s v="Local"/>
    <x v="0"/>
    <s v="Construccion"/>
    <x v="0"/>
    <s v="430507002"/>
    <s v="938731"/>
    <s v="SERVICIO FLETE"/>
    <n v="156"/>
    <n v="156"/>
    <s v="UN"/>
    <d v="2025-07-04T00:00:00"/>
    <n v="7"/>
    <d v="2025-10-03T00:00:00"/>
    <d v="2025-08-08T00:00:00"/>
    <x v="7"/>
    <n v="2025"/>
    <n v="780"/>
    <n v="780"/>
  </r>
  <r>
    <s v="4000006878"/>
    <s v="76201342-8"/>
    <s v="KNAUF CHILE SPA"/>
    <s v="6701260378"/>
    <s v="ZPCD"/>
    <s v="60"/>
    <x v="0"/>
    <s v="101"/>
    <s v="C004"/>
    <s v="E652"/>
    <n v="1"/>
    <s v="Local"/>
    <x v="0"/>
    <s v="Construccion"/>
    <x v="0"/>
    <s v="430102005"/>
    <s v="1315155"/>
    <s v="CINTA MALLA 48 MM X 45 M"/>
    <n v="156"/>
    <n v="156"/>
    <s v="UN"/>
    <d v="2025-07-04T00:00:00"/>
    <n v="7"/>
    <d v="2025-10-03T00:00:00"/>
    <d v="2025-08-08T00:00:00"/>
    <x v="7"/>
    <n v="2025"/>
    <n v="248508"/>
    <n v="248508"/>
  </r>
  <r>
    <s v="4000006878"/>
    <s v="76201342-8"/>
    <s v="KNAUF CHILE SPA"/>
    <s v="6701260378"/>
    <s v="ZPCD"/>
    <s v="130"/>
    <x v="0"/>
    <s v="101"/>
    <s v="C004"/>
    <s v="E652"/>
    <n v="1"/>
    <s v="Local"/>
    <x v="0"/>
    <s v="Construccion"/>
    <x v="0"/>
    <s v="430507002"/>
    <s v="938731"/>
    <s v="SERVICIO FLETE"/>
    <n v="110"/>
    <n v="110"/>
    <s v="UN"/>
    <d v="2025-07-04T00:00:00"/>
    <n v="7"/>
    <d v="2025-10-03T00:00:00"/>
    <d v="2025-08-08T00:00:00"/>
    <x v="7"/>
    <n v="2025"/>
    <n v="16500"/>
    <n v="16500"/>
  </r>
  <r>
    <s v="4000006878"/>
    <s v="76201342-8"/>
    <s v="KNAUF CHILE SPA"/>
    <s v="6701260378"/>
    <s v="ZPCD"/>
    <s v="140"/>
    <x v="0"/>
    <s v="101"/>
    <s v="C004"/>
    <s v="E652"/>
    <n v="1"/>
    <s v="Local"/>
    <x v="0"/>
    <s v="Construccion"/>
    <x v="0"/>
    <s v="430503004"/>
    <s v="1192669"/>
    <s v="MASILLA BASE 25KG"/>
    <n v="110"/>
    <n v="110"/>
    <s v="UN"/>
    <d v="2025-07-04T00:00:00"/>
    <n v="7"/>
    <d v="2025-10-03T00:00:00"/>
    <d v="2025-08-08T00:00:00"/>
    <x v="7"/>
    <n v="2025"/>
    <n v="886270"/>
    <n v="886270"/>
  </r>
  <r>
    <s v="4000006878"/>
    <s v="76201342-8"/>
    <s v="KNAUF CHILE SPA"/>
    <s v="6701205933"/>
    <s v="ZPCD"/>
    <s v="70"/>
    <x v="0"/>
    <s v="101"/>
    <s v="C004"/>
    <s v="E652"/>
    <n v="1"/>
    <s v="Local"/>
    <x v="0"/>
    <s v="Construccion"/>
    <x v="0"/>
    <s v="430503006"/>
    <s v="118468"/>
    <s v="PLANCHA YESO CARTON ST BR 15X1200X2400MM"/>
    <n v="949"/>
    <n v="367"/>
    <s v="UN"/>
    <d v="2025-04-29T00:00:00"/>
    <n v="4"/>
    <d v="2025-07-30T00:00:00"/>
    <d v="2025-08-27T00:00:00"/>
    <x v="7"/>
    <n v="2025"/>
    <n v="5228990"/>
    <n v="2022170"/>
  </r>
  <r>
    <s v="4000006878"/>
    <s v="76201342-8"/>
    <s v="KNAUF CHILE SPA"/>
    <s v="6701225032"/>
    <s v="ZPCD"/>
    <s v="10"/>
    <x v="0"/>
    <s v="101"/>
    <s v="C004"/>
    <s v="E507"/>
    <n v="1"/>
    <s v="Local"/>
    <x v="0"/>
    <s v="Construccion"/>
    <x v="0"/>
    <s v="430503006"/>
    <s v="1460191"/>
    <s v="CENEFA MULTIFORM ESTÁNDAR 12.5"/>
    <n v="1926"/>
    <n v="1926"/>
    <s v="UN"/>
    <d v="2025-06-02T00:00:00"/>
    <n v="6"/>
    <d v="2025-06-02T00:00:00"/>
    <d v="2025-08-14T00:00:00"/>
    <x v="7"/>
    <n v="2025"/>
    <n v="47866878"/>
    <n v="47866878"/>
  </r>
  <r>
    <s v="4000006878"/>
    <s v="76201342-8"/>
    <s v="KNAUF CHILE SPA"/>
    <s v="6701205933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5082"/>
    <n v="3614"/>
    <s v="UN"/>
    <d v="2025-04-29T00:00:00"/>
    <n v="4"/>
    <d v="2025-07-30T00:00:00"/>
    <d v="2025-09-22T00:00:00"/>
    <x v="8"/>
    <n v="2025"/>
    <n v="18818646"/>
    <n v="13382642"/>
  </r>
  <r>
    <s v="4000006878"/>
    <s v="76201342-8"/>
    <s v="KNAUF CHILE SPA"/>
    <s v="6701205933"/>
    <s v="ZPCD"/>
    <s v="20"/>
    <x v="0"/>
    <s v="101"/>
    <s v="C004"/>
    <s v="E652"/>
    <n v="1"/>
    <s v="Local"/>
    <x v="0"/>
    <s v="Construccion"/>
    <x v="0"/>
    <s v="430507002"/>
    <s v="938731"/>
    <s v="SERVICIO FLETE"/>
    <n v="5082"/>
    <n v="3614"/>
    <s v="UN"/>
    <d v="2025-04-29T00:00:00"/>
    <n v="4"/>
    <d v="2025-07-30T00:00:00"/>
    <d v="2025-09-22T00:00:00"/>
    <x v="8"/>
    <n v="2025"/>
    <n v="675906"/>
    <n v="480662"/>
  </r>
  <r>
    <s v="4000006878"/>
    <s v="76201342-8"/>
    <s v="KNAUF CHILE SPA"/>
    <s v="6701255879"/>
    <s v="ZPCD"/>
    <s v="10"/>
    <x v="0"/>
    <s v=""/>
    <s v="C004"/>
    <s v="E652"/>
    <n v="1"/>
    <s v="Local"/>
    <x v="0"/>
    <s v="Construccion"/>
    <x v="0"/>
    <s v="430502003"/>
    <s v="1232499"/>
    <s v="PLACA CLEANEO PLUS 8/15/20 12.5MM 1200X2"/>
    <n v="537"/>
    <n v="0"/>
    <s v="M2"/>
    <d v="2025-06-26T00:00:00"/>
    <n v="6"/>
    <d v="2025-09-26T00:00:00"/>
    <m/>
    <x v="8"/>
    <n v="2025"/>
    <n v="26346831"/>
    <n v="0"/>
  </r>
  <r>
    <s v="4000006878"/>
    <s v="76201342-8"/>
    <s v="KNAUF CHILE SPA"/>
    <s v="6701255879"/>
    <s v="ZPCD"/>
    <s v="20"/>
    <x v="0"/>
    <s v=""/>
    <s v="C004"/>
    <s v="E652"/>
    <n v="1"/>
    <s v="Local"/>
    <x v="0"/>
    <s v="Construccion"/>
    <x v="0"/>
    <s v="430507002"/>
    <s v="938731"/>
    <s v="SERVICIO FLETE"/>
    <n v="537"/>
    <n v="0"/>
    <s v="UN"/>
    <d v="2025-06-26T00:00:00"/>
    <n v="6"/>
    <d v="2025-09-26T00:00:00"/>
    <m/>
    <x v="8"/>
    <n v="2025"/>
    <n v="92901"/>
    <n v="0"/>
  </r>
  <r>
    <s v="4000006878"/>
    <s v="76201342-8"/>
    <s v="KNAUF CHILE SPA"/>
    <s v="6701255381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4880"/>
    <n v="4600"/>
    <s v="UN"/>
    <d v="2025-06-25T00:00:00"/>
    <n v="6"/>
    <d v="2025-10-30T00:00:00"/>
    <d v="2025-09-22T00:00:00"/>
    <x v="8"/>
    <n v="2025"/>
    <n v="29036000"/>
    <n v="27370000"/>
  </r>
  <r>
    <s v="4000006878"/>
    <s v="76201342-8"/>
    <s v="KNAUF CHILE SPA"/>
    <s v="6701250417"/>
    <s v="ZPCD"/>
    <s v="10"/>
    <x v="0"/>
    <s v=""/>
    <s v="C004"/>
    <s v="E874"/>
    <n v="1"/>
    <s v="Local"/>
    <x v="0"/>
    <s v="Construccion"/>
    <x v="0"/>
    <s v="430405003"/>
    <s v="1482346"/>
    <s v="TAPA INSPECCIÓN KNAUF 40X40 SNAP LOCK"/>
    <n v="46"/>
    <n v="0"/>
    <s v="UN"/>
    <d v="2025-06-12T00:00:00"/>
    <n v="6"/>
    <d v="2025-09-12T00:00:00"/>
    <m/>
    <x v="8"/>
    <n v="2025"/>
    <n v="1021936"/>
    <n v="0"/>
  </r>
  <r>
    <s v="4000006878"/>
    <s v="76201342-8"/>
    <s v="KNAUF CHILE SPA"/>
    <s v="6701250417"/>
    <s v="ZPCD"/>
    <s v="20"/>
    <x v="0"/>
    <s v=""/>
    <s v="C004"/>
    <s v="E874"/>
    <n v="1"/>
    <s v="Local"/>
    <x v="0"/>
    <s v="Construccion"/>
    <x v="0"/>
    <s v="430507002"/>
    <s v="938731"/>
    <s v="SERVICIO FLETE"/>
    <n v="46"/>
    <n v="0"/>
    <s v="UN"/>
    <d v="2025-06-12T00:00:00"/>
    <n v="6"/>
    <d v="2025-09-12T00:00:00"/>
    <m/>
    <x v="8"/>
    <n v="2025"/>
    <n v="4508"/>
    <n v="0"/>
  </r>
  <r>
    <s v="4000006878"/>
    <s v="76201342-8"/>
    <s v="KNAUF CHILE SPA"/>
    <s v="6701250417"/>
    <s v="ZPCD"/>
    <s v="30"/>
    <x v="0"/>
    <s v=""/>
    <s v="C004"/>
    <s v="E874"/>
    <n v="1"/>
    <s v="Local"/>
    <x v="0"/>
    <s v="Construccion"/>
    <x v="0"/>
    <s v="430405003"/>
    <s v="1482347"/>
    <s v="TAPA INSPECCIÓN KNAUF 60X60 SNAP LOCK"/>
    <n v="723"/>
    <n v="0"/>
    <s v="UN"/>
    <d v="2025-06-12T00:00:00"/>
    <n v="6"/>
    <d v="2025-09-12T00:00:00"/>
    <m/>
    <x v="8"/>
    <n v="2025"/>
    <n v="22903194"/>
    <n v="0"/>
  </r>
  <r>
    <s v="4000006878"/>
    <s v="76201342-8"/>
    <s v="KNAUF CHILE SPA"/>
    <s v="6701250417"/>
    <s v="ZPCD"/>
    <s v="40"/>
    <x v="0"/>
    <s v=""/>
    <s v="C004"/>
    <s v="E874"/>
    <n v="1"/>
    <s v="Local"/>
    <x v="0"/>
    <s v="Construccion"/>
    <x v="0"/>
    <s v="430507002"/>
    <s v="938731"/>
    <s v="SERVICIO FLETE"/>
    <n v="723"/>
    <n v="0"/>
    <s v="UN"/>
    <d v="2025-06-12T00:00:00"/>
    <n v="6"/>
    <d v="2025-09-12T00:00:00"/>
    <m/>
    <x v="8"/>
    <n v="2025"/>
    <n v="70854"/>
    <n v="0"/>
  </r>
  <r>
    <s v="4000006878"/>
    <s v="76201342-8"/>
    <s v="KNAUF CHILE SPA"/>
    <s v="6508574171"/>
    <s v="ZPMC"/>
    <s v="10"/>
    <x v="1"/>
    <s v="101"/>
    <s v="C004"/>
    <s v="E988"/>
    <n v="1"/>
    <s v="Local"/>
    <x v="0"/>
    <s v="Construccion"/>
    <x v="0"/>
    <s v="430503006"/>
    <s v="1232379"/>
    <s v="PLANCHA YESO CARTON ST BR 15X1200X2400MM"/>
    <n v="4"/>
    <n v="4"/>
    <s v="PAL"/>
    <d v="2025-09-04T00:00:00"/>
    <n v="9"/>
    <d v="2025-09-16T00:00:00"/>
    <d v="2025-09-09T00:00:00"/>
    <x v="8"/>
    <n v="2025"/>
    <n v="1406000"/>
    <n v="1406000"/>
  </r>
  <r>
    <s v="4000006878"/>
    <s v="76201342-8"/>
    <s v="KNAUF CHILE SPA"/>
    <s v="6508576590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8"/>
    <n v="8"/>
    <s v="PAL"/>
    <d v="2025-09-05T00:00:00"/>
    <n v="9"/>
    <d v="2025-09-17T00:00:00"/>
    <d v="2025-09-11T00:00:00"/>
    <x v="8"/>
    <n v="2025"/>
    <n v="2810640"/>
    <n v="2810640"/>
  </r>
  <r>
    <s v="4000006878"/>
    <s v="76201342-8"/>
    <s v="KNAUF CHILE SPA"/>
    <s v="6508576590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10"/>
    <n v="10"/>
    <s v="PAL"/>
    <d v="2025-09-05T00:00:00"/>
    <n v="9"/>
    <d v="2025-09-17T00:00:00"/>
    <d v="2025-09-11T00:00:00"/>
    <x v="8"/>
    <n v="2025"/>
    <n v="3515000"/>
    <n v="3515000"/>
  </r>
  <r>
    <s v="4000006878"/>
    <s v="76201342-8"/>
    <s v="KNAUF CHILE SPA"/>
    <s v="6508576591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9-05T00:00:00"/>
    <n v="9"/>
    <d v="2025-09-17T00:00:00"/>
    <d v="2025-09-15T00:00:00"/>
    <x v="8"/>
    <n v="2025"/>
    <n v="1405320"/>
    <n v="1405320"/>
  </r>
  <r>
    <s v="4000006878"/>
    <s v="76201342-8"/>
    <s v="KNAUF CHILE SPA"/>
    <s v="6508576592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05T00:00:00"/>
    <n v="9"/>
    <d v="2025-09-17T00:00:00"/>
    <d v="2025-09-15T00:00:00"/>
    <x v="8"/>
    <n v="2025"/>
    <n v="1405320"/>
    <n v="1405320"/>
  </r>
  <r>
    <s v="4000006878"/>
    <s v="76201342-8"/>
    <s v="KNAUF CHILE SPA"/>
    <s v="6508587827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9-12T00:00:00"/>
    <n v="9"/>
    <d v="2025-09-26T00:00:00"/>
    <d v="2025-09-17T00:00:00"/>
    <x v="8"/>
    <n v="2025"/>
    <n v="732480"/>
    <n v="732480"/>
  </r>
  <r>
    <s v="4000006878"/>
    <s v="76201342-8"/>
    <s v="KNAUF CHILE SPA"/>
    <s v="6508587827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10"/>
    <n v="10"/>
    <s v="PAL"/>
    <d v="2025-09-12T00:00:00"/>
    <n v="9"/>
    <d v="2025-09-26T00:00:00"/>
    <d v="2025-09-17T00:00:00"/>
    <x v="8"/>
    <n v="2025"/>
    <n v="3513300"/>
    <n v="3513300"/>
  </r>
  <r>
    <s v="4000006878"/>
    <s v="76201342-8"/>
    <s v="KNAUF CHILE SPA"/>
    <s v="6508587827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4"/>
    <n v="4"/>
    <s v="PAL"/>
    <d v="2025-09-12T00:00:00"/>
    <n v="9"/>
    <d v="2025-09-26T00:00:00"/>
    <d v="2025-09-17T00:00:00"/>
    <x v="8"/>
    <n v="2025"/>
    <n v="1406000"/>
    <n v="1406000"/>
  </r>
  <r>
    <s v="4000006878"/>
    <s v="76201342-8"/>
    <s v="KNAUF CHILE SPA"/>
    <s v="6508587828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12T00:00:00"/>
    <n v="9"/>
    <d v="2025-09-26T00:00:00"/>
    <d v="2025-09-24T00:00:00"/>
    <x v="8"/>
    <n v="2025"/>
    <n v="1405320"/>
    <n v="1405320"/>
  </r>
  <r>
    <s v="4000006878"/>
    <s v="76201342-8"/>
    <s v="KNAUF CHILE SPA"/>
    <s v="6701297686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10"/>
    <n v="10"/>
    <s v="UN"/>
    <d v="2025-09-02T00:00:00"/>
    <n v="9"/>
    <d v="2025-09-02T00:00:00"/>
    <d v="2025-09-23T00:00:00"/>
    <x v="8"/>
    <n v="2025"/>
    <n v="286210"/>
    <n v="286210"/>
  </r>
  <r>
    <s v="4000006878"/>
    <s v="76201342-8"/>
    <s v="KNAUF CHILE SPA"/>
    <s v="6701297686"/>
    <s v="ZPCD"/>
    <s v="20"/>
    <x v="0"/>
    <s v="101"/>
    <s v="C004"/>
    <s v="E592"/>
    <n v="1"/>
    <s v="Local"/>
    <x v="0"/>
    <s v="Construccion"/>
    <x v="0"/>
    <s v="430503006"/>
    <s v="1296892"/>
    <s v="PLACA IMPACT 12.5X1200X2400 BR FR"/>
    <n v="144"/>
    <n v="144"/>
    <s v="UN"/>
    <d v="2025-09-02T00:00:00"/>
    <n v="9"/>
    <d v="2025-09-02T00:00:00"/>
    <d v="2025-09-23T00:00:00"/>
    <x v="8"/>
    <n v="2025"/>
    <n v="1732608"/>
    <n v="1732608"/>
  </r>
  <r>
    <s v="4000006878"/>
    <s v="76201342-8"/>
    <s v="KNAUF CHILE SPA"/>
    <s v="6701297686"/>
    <s v="ZPCD"/>
    <s v="30"/>
    <x v="0"/>
    <s v="101"/>
    <s v="C004"/>
    <s v="E592"/>
    <n v="1"/>
    <s v="Local"/>
    <x v="0"/>
    <s v="Construccion"/>
    <x v="0"/>
    <s v="430507002"/>
    <s v="938731"/>
    <s v="SERVICIO FLETE"/>
    <n v="154"/>
    <n v="154"/>
    <s v="UN"/>
    <d v="2025-09-02T00:00:00"/>
    <n v="9"/>
    <d v="2025-09-02T00:00:00"/>
    <d v="2025-09-23T00:00:00"/>
    <x v="8"/>
    <n v="2025"/>
    <n v="112574"/>
    <n v="112574"/>
  </r>
  <r>
    <s v="4000006878"/>
    <s v="76201342-8"/>
    <s v="KNAUF CHILE SPA"/>
    <s v="6701297712"/>
    <s v="ZPCD"/>
    <s v="10"/>
    <x v="0"/>
    <s v="101"/>
    <s v="C004"/>
    <s v="E508"/>
    <n v="1"/>
    <s v="Local"/>
    <x v="0"/>
    <s v="Construccion"/>
    <x v="0"/>
    <s v="430503006"/>
    <s v="1246703"/>
    <s v="AQUAPANEL PL OUTDOOR 12.5MM 1.20X2.4"/>
    <n v="5"/>
    <n v="5"/>
    <s v="UN"/>
    <d v="2025-09-01T00:00:00"/>
    <n v="9"/>
    <d v="2025-09-01T00:00:00"/>
    <d v="2025-09-11T00:00:00"/>
    <x v="8"/>
    <n v="2025"/>
    <n v="153820"/>
    <n v="153820"/>
  </r>
  <r>
    <s v="4000006878"/>
    <s v="76201342-8"/>
    <s v="KNAUF CHILE SPA"/>
    <s v="6701297712"/>
    <s v="ZPCD"/>
    <s v="2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9-01T00:00:00"/>
    <n v="9"/>
    <d v="2025-09-01T00:00:00"/>
    <d v="2025-09-11T00:00:00"/>
    <x v="8"/>
    <n v="2025"/>
    <n v="58000"/>
    <n v="58000"/>
  </r>
  <r>
    <s v="4000006878"/>
    <s v="76201342-8"/>
    <s v="KNAUF CHILE SPA"/>
    <s v="6701298491"/>
    <s v="ZPCD"/>
    <s v="10"/>
    <x v="0"/>
    <s v="101"/>
    <s v="C004"/>
    <s v="E507"/>
    <n v="1"/>
    <s v="Local"/>
    <x v="0"/>
    <s v="Construccion"/>
    <x v="0"/>
    <s v="430503002"/>
    <s v="1167918"/>
    <s v="PLACA  DUROCK 5/8&quot; 1.20 X 2.30"/>
    <n v="182"/>
    <n v="182"/>
    <s v="UN"/>
    <d v="2025-09-03T00:00:00"/>
    <n v="9"/>
    <d v="2025-09-03T00:00:00"/>
    <d v="2025-09-11T00:00:00"/>
    <x v="8"/>
    <n v="2025"/>
    <n v="5154240"/>
    <n v="5154240"/>
  </r>
  <r>
    <s v="4000006878"/>
    <s v="76201342-8"/>
    <s v="KNAUF CHILE SPA"/>
    <s v="6701298553"/>
    <s v="ZPCD"/>
    <s v="10"/>
    <x v="0"/>
    <s v="101"/>
    <s v="C004"/>
    <s v="E652"/>
    <n v="1"/>
    <s v="Local"/>
    <x v="0"/>
    <s v="Construccion"/>
    <x v="0"/>
    <s v="430503006"/>
    <s v="1232378"/>
    <s v="PLANCHA YESO CARTON ST BR 10MMX1.2X2.4M"/>
    <n v="220"/>
    <n v="220"/>
    <s v="UN"/>
    <d v="2025-09-03T00:00:00"/>
    <n v="9"/>
    <d v="2025-09-04T00:00:00"/>
    <d v="2025-09-11T00:00:00"/>
    <x v="8"/>
    <n v="2025"/>
    <n v="827200"/>
    <n v="827200"/>
  </r>
  <r>
    <s v="4000006878"/>
    <s v="76201342-8"/>
    <s v="KNAUF CHILE SPA"/>
    <s v="6701298894"/>
    <s v="ZPCD"/>
    <s v="10"/>
    <x v="0"/>
    <s v="101"/>
    <s v="C004"/>
    <s v="E507"/>
    <n v="1"/>
    <s v="Local"/>
    <x v="0"/>
    <s v="Construccion"/>
    <x v="0"/>
    <s v="430201001"/>
    <s v="904569"/>
    <s v="BANDA ACUSTICA 50MM ANCHO ROLLO X 30 M"/>
    <n v="72"/>
    <n v="72"/>
    <s v="ROM"/>
    <d v="2025-09-03T00:00:00"/>
    <n v="9"/>
    <d v="2025-09-03T00:00:00"/>
    <d v="2025-09-25T00:00:00"/>
    <x v="8"/>
    <n v="2025"/>
    <n v="586008"/>
    <n v="586008"/>
  </r>
  <r>
    <s v="4000006878"/>
    <s v="76201342-8"/>
    <s v="KNAUF CHILE SPA"/>
    <s v="6701299004"/>
    <s v="ZPCD"/>
    <s v="10"/>
    <x v="0"/>
    <s v=""/>
    <s v="C004"/>
    <s v="E510"/>
    <n v="1"/>
    <s v="Local"/>
    <x v="1"/>
    <s v="Ferreteria"/>
    <x v="0"/>
    <s v="130211005"/>
    <s v="1366503"/>
    <s v="AQUAPANEL TORNILLO MAXI TB 25MM"/>
    <n v="50"/>
    <n v="0"/>
    <s v="UN"/>
    <d v="2025-09-03T00:00:00"/>
    <n v="9"/>
    <d v="2025-09-03T00:00:00"/>
    <m/>
    <x v="8"/>
    <n v="2025"/>
    <n v="563950"/>
    <n v="0"/>
  </r>
  <r>
    <s v="4000006878"/>
    <s v="76201342-8"/>
    <s v="KNAUF CHILE SPA"/>
    <s v="6701299004"/>
    <s v="ZPCD"/>
    <s v="20"/>
    <x v="0"/>
    <s v=""/>
    <s v="C004"/>
    <s v="E510"/>
    <n v="1"/>
    <s v="Local"/>
    <x v="1"/>
    <s v="Ferreteria"/>
    <x v="0"/>
    <s v="130211005"/>
    <s v="1366504"/>
    <s v="AQUAPANEL TORNILLO MAXI TB 39MM"/>
    <n v="50"/>
    <n v="0"/>
    <s v="UN"/>
    <d v="2025-09-03T00:00:00"/>
    <n v="9"/>
    <d v="2025-09-03T00:00:00"/>
    <m/>
    <x v="8"/>
    <n v="2025"/>
    <n v="867350"/>
    <n v="0"/>
  </r>
  <r>
    <s v="4000006878"/>
    <s v="76201342-8"/>
    <s v="KNAUF CHILE SPA"/>
    <s v="6701299009"/>
    <s v="ZPCD"/>
    <s v="10"/>
    <x v="0"/>
    <s v="101"/>
    <s v="C004"/>
    <s v="E652"/>
    <n v="1"/>
    <s v="Local"/>
    <x v="0"/>
    <s v="Construccion"/>
    <x v="0"/>
    <s v="430502003"/>
    <s v="1233875"/>
    <s v="PLACA THERMATEX MERCURE 610X610"/>
    <n v="90"/>
    <n v="90"/>
    <s v="UN"/>
    <d v="2025-09-03T00:00:00"/>
    <n v="9"/>
    <d v="2025-09-04T00:00:00"/>
    <d v="2025-09-04T00:00:00"/>
    <x v="8"/>
    <n v="2025"/>
    <n v="6055920"/>
    <n v="6055920"/>
  </r>
  <r>
    <s v="4000006878"/>
    <s v="76201342-8"/>
    <s v="KNAUF CHILE SPA"/>
    <s v="6701299009"/>
    <s v="ZPCD"/>
    <s v="20"/>
    <x v="0"/>
    <s v="101"/>
    <s v="C004"/>
    <s v="E652"/>
    <n v="1"/>
    <s v="Local"/>
    <x v="0"/>
    <s v="Construccion"/>
    <x v="0"/>
    <s v="430507002"/>
    <s v="938731"/>
    <s v="SERVICIO FLETE"/>
    <n v="90"/>
    <n v="90"/>
    <s v="UN"/>
    <d v="2025-09-03T00:00:00"/>
    <n v="9"/>
    <d v="2025-09-04T00:00:00"/>
    <d v="2025-09-04T00:00:00"/>
    <x v="8"/>
    <n v="2025"/>
    <n v="27360"/>
    <n v="27360"/>
  </r>
  <r>
    <s v="4000006878"/>
    <s v="76201342-8"/>
    <s v="KNAUF CHILE SPA"/>
    <s v="6701299289"/>
    <s v="ZPCD"/>
    <s v="10"/>
    <x v="0"/>
    <s v="101"/>
    <s v="C004"/>
    <s v="E510"/>
    <n v="1"/>
    <s v="Local"/>
    <x v="1"/>
    <s v="Ferreteria"/>
    <x v="0"/>
    <s v="130211005"/>
    <s v="1366503"/>
    <s v="AQUAPANEL TORNILLO MAXI TB 25MM"/>
    <n v="50"/>
    <n v="50"/>
    <s v="UN"/>
    <d v="2025-09-04T00:00:00"/>
    <n v="9"/>
    <d v="2025-09-05T00:00:00"/>
    <d v="2025-09-11T00:00:00"/>
    <x v="8"/>
    <n v="2025"/>
    <n v="563950"/>
    <n v="563950"/>
  </r>
  <r>
    <s v="4000006878"/>
    <s v="76201342-8"/>
    <s v="KNAUF CHILE SPA"/>
    <s v="6701299289"/>
    <s v="ZPCD"/>
    <s v="20"/>
    <x v="0"/>
    <s v="101"/>
    <s v="C004"/>
    <s v="E510"/>
    <n v="1"/>
    <s v="Local"/>
    <x v="1"/>
    <s v="Ferreteria"/>
    <x v="0"/>
    <s v="130211005"/>
    <s v="1366504"/>
    <s v="AQUAPANEL TORNILLO MAXI TB 39MM"/>
    <n v="50"/>
    <n v="50"/>
    <s v="UN"/>
    <d v="2025-09-04T00:00:00"/>
    <n v="9"/>
    <d v="2025-09-05T00:00:00"/>
    <d v="2025-09-11T00:00:00"/>
    <x v="8"/>
    <n v="2025"/>
    <n v="867350"/>
    <n v="867350"/>
  </r>
  <r>
    <s v="4000006878"/>
    <s v="76201342-8"/>
    <s v="KNAUF CHILE SPA"/>
    <s v="6701299593"/>
    <s v="ZPCD"/>
    <s v="10"/>
    <x v="0"/>
    <s v=""/>
    <s v="C004"/>
    <s v="E652"/>
    <n v="1"/>
    <s v="Local"/>
    <x v="0"/>
    <s v="Construccion"/>
    <x v="0"/>
    <s v="430502003"/>
    <s v="1233875"/>
    <s v="PLACA THERMATEX MERCURE 610X610"/>
    <n v="101"/>
    <n v="0"/>
    <s v="UN"/>
    <d v="2025-09-05T00:00:00"/>
    <n v="9"/>
    <d v="2025-09-05T00:00:00"/>
    <m/>
    <x v="8"/>
    <n v="2025"/>
    <n v="6796088"/>
    <n v="0"/>
  </r>
  <r>
    <s v="4000006878"/>
    <s v="76201342-8"/>
    <s v="KNAUF CHILE SPA"/>
    <s v="6701299593"/>
    <s v="ZPCD"/>
    <s v="20"/>
    <x v="0"/>
    <s v=""/>
    <s v="C004"/>
    <s v="E652"/>
    <n v="1"/>
    <s v="Local"/>
    <x v="0"/>
    <s v="Construccion"/>
    <x v="0"/>
    <s v="430507002"/>
    <s v="938731"/>
    <s v="SERVICIO FLETE"/>
    <n v="101"/>
    <n v="0"/>
    <s v="UN"/>
    <d v="2025-09-05T00:00:00"/>
    <n v="9"/>
    <d v="2025-09-05T00:00:00"/>
    <m/>
    <x v="8"/>
    <n v="2025"/>
    <n v="30704"/>
    <n v="0"/>
  </r>
  <r>
    <s v="4000006878"/>
    <s v="76201342-8"/>
    <s v="KNAUF CHILE SPA"/>
    <s v="6701299800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09-04T00:00:00"/>
    <n v="9"/>
    <d v="2025-09-05T00:00:00"/>
    <d v="2025-09-12T00:00:00"/>
    <x v="8"/>
    <n v="2025"/>
    <n v="2692500"/>
    <n v="2692500"/>
  </r>
  <r>
    <s v="4000006878"/>
    <s v="76201342-8"/>
    <s v="KNAUF CHILE SPA"/>
    <s v="6701299800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09-04T00:00:00"/>
    <n v="9"/>
    <d v="2025-09-05T00:00:00"/>
    <d v="2025-09-12T00:00:00"/>
    <x v="8"/>
    <n v="2025"/>
    <n v="51900"/>
    <n v="51900"/>
  </r>
  <r>
    <s v="4000006878"/>
    <s v="76201342-8"/>
    <s v="KNAUF CHILE SPA"/>
    <s v="6701301883"/>
    <s v="ZPCD"/>
    <s v="10"/>
    <x v="0"/>
    <s v="101"/>
    <s v="C004"/>
    <s v="E652"/>
    <n v="1"/>
    <s v="Local"/>
    <x v="0"/>
    <s v="Construccion"/>
    <x v="0"/>
    <s v="430405003"/>
    <s v="1482347"/>
    <s v="TAPA INSPECCIÓN KNAUF 60X60 SNAP LOCK"/>
    <n v="13"/>
    <n v="13"/>
    <s v="UN"/>
    <d v="2025-09-08T00:00:00"/>
    <n v="9"/>
    <d v="2025-09-12T00:00:00"/>
    <d v="2025-09-26T00:00:00"/>
    <x v="8"/>
    <n v="2025"/>
    <n v="414232"/>
    <n v="414232"/>
  </r>
  <r>
    <s v="4000006878"/>
    <s v="76201342-8"/>
    <s v="KNAUF CHILE SPA"/>
    <s v="6701301958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9"/>
    <n v="9"/>
    <s v="UN"/>
    <d v="2025-09-09T00:00:00"/>
    <n v="9"/>
    <d v="2025-09-10T00:00:00"/>
    <d v="2025-09-17T00:00:00"/>
    <x v="8"/>
    <n v="2025"/>
    <n v="423081"/>
    <n v="423081"/>
  </r>
  <r>
    <s v="4000006878"/>
    <s v="76201342-8"/>
    <s v="KNAUF CHILE SPA"/>
    <s v="6701301966"/>
    <s v="ZPCD"/>
    <s v="10"/>
    <x v="0"/>
    <s v="101"/>
    <s v="C004"/>
    <s v="E591"/>
    <n v="1"/>
    <s v="Local"/>
    <x v="0"/>
    <s v="Construccion"/>
    <x v="0"/>
    <s v="430503002"/>
    <s v="940908"/>
    <s v="VE PL SAFEBOARD 12.5MM GFK 0625X2500MM"/>
    <n v="100"/>
    <n v="100"/>
    <s v="UN"/>
    <d v="2025-09-09T00:00:00"/>
    <n v="9"/>
    <d v="2025-09-09T00:00:00"/>
    <d v="2025-09-17T00:00:00"/>
    <x v="8"/>
    <n v="2025"/>
    <n v="6202400"/>
    <n v="6202400"/>
  </r>
  <r>
    <s v="4000006878"/>
    <s v="76201342-8"/>
    <s v="KNAUF CHILE SPA"/>
    <s v="6701301966"/>
    <s v="ZPCD"/>
    <s v="20"/>
    <x v="0"/>
    <s v="101"/>
    <s v="C004"/>
    <s v="E591"/>
    <n v="1"/>
    <s v="Local"/>
    <x v="0"/>
    <s v="Construccion"/>
    <x v="0"/>
    <s v="430506002"/>
    <s v="1495303"/>
    <s v="PASTA SAFEBOARD 5 KG KNAUF"/>
    <n v="14"/>
    <n v="14"/>
    <s v="UN"/>
    <d v="2025-09-09T00:00:00"/>
    <n v="9"/>
    <d v="2025-09-09T00:00:00"/>
    <d v="2025-09-17T00:00:00"/>
    <x v="8"/>
    <n v="2025"/>
    <n v="389816"/>
    <n v="389816"/>
  </r>
  <r>
    <s v="4000006878"/>
    <s v="76201342-8"/>
    <s v="KNAUF CHILE SPA"/>
    <s v="6701301966"/>
    <s v="ZPCD"/>
    <s v="30"/>
    <x v="0"/>
    <s v="101"/>
    <s v="C004"/>
    <s v="E591"/>
    <n v="1"/>
    <s v="Local"/>
    <x v="0"/>
    <s v="Construccion"/>
    <x v="0"/>
    <s v="430102005"/>
    <s v="1315155"/>
    <s v="CINTA MALLA 48 MM X 45 M"/>
    <n v="18"/>
    <n v="18"/>
    <s v="UN"/>
    <d v="2025-09-09T00:00:00"/>
    <n v="9"/>
    <d v="2025-09-09T00:00:00"/>
    <d v="2025-09-17T00:00:00"/>
    <x v="8"/>
    <n v="2025"/>
    <n v="23400"/>
    <n v="23400"/>
  </r>
  <r>
    <s v="4000006878"/>
    <s v="76201342-8"/>
    <s v="KNAUF CHILE SPA"/>
    <s v="6701302073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9"/>
    <n v="9"/>
    <s v="UN"/>
    <d v="2025-09-09T00:00:00"/>
    <n v="9"/>
    <d v="2025-09-10T00:00:00"/>
    <d v="2025-09-17T00:00:00"/>
    <x v="8"/>
    <n v="2025"/>
    <n v="423081"/>
    <n v="423081"/>
  </r>
  <r>
    <s v="4000006878"/>
    <s v="76201342-8"/>
    <s v="KNAUF CHILE SPA"/>
    <s v="6701303493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09-11T00:00:00"/>
    <n v="9"/>
    <d v="2025-09-11T00:00:00"/>
    <d v="2025-09-17T00:00:00"/>
    <x v="8"/>
    <n v="2025"/>
    <n v="423081"/>
    <n v="423081"/>
  </r>
  <r>
    <s v="4000006878"/>
    <s v="76201342-8"/>
    <s v="KNAUF CHILE SPA"/>
    <s v="670130390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09-11T00:00:00"/>
    <n v="9"/>
    <d v="2025-09-11T00:00:00"/>
    <d v="2025-09-17T00:00:00"/>
    <x v="8"/>
    <n v="2025"/>
    <n v="423081"/>
    <n v="423081"/>
  </r>
  <r>
    <s v="4000006878"/>
    <s v="76201342-8"/>
    <s v="KNAUF CHILE SPA"/>
    <s v="6701264255"/>
    <s v="ZPCD"/>
    <s v="10"/>
    <x v="0"/>
    <s v="101"/>
    <s v="C004"/>
    <s v="E652"/>
    <n v="1"/>
    <s v="Local"/>
    <x v="0"/>
    <s v="Construccion"/>
    <x v="0"/>
    <s v="430503006"/>
    <s v="1232376"/>
    <s v="PLANCHA YESO CARTON RF 12.5X1200X2400MM"/>
    <n v="96"/>
    <n v="50"/>
    <s v="UN"/>
    <d v="2025-07-11T00:00:00"/>
    <n v="7"/>
    <d v="2025-10-10T00:00:00"/>
    <d v="2025-09-26T00:00:00"/>
    <x v="8"/>
    <n v="2025"/>
    <n v="587328"/>
    <n v="305900"/>
  </r>
  <r>
    <s v="4000006878"/>
    <s v="76201342-8"/>
    <s v="KNAUF CHILE SPA"/>
    <s v="6701264255"/>
    <s v="ZPCD"/>
    <s v="20"/>
    <x v="0"/>
    <s v="101"/>
    <s v="C004"/>
    <s v="E652"/>
    <n v="1"/>
    <s v="Local"/>
    <x v="0"/>
    <s v="Construccion"/>
    <x v="0"/>
    <s v="430507002"/>
    <s v="938731"/>
    <s v="SERVICIO FLETE"/>
    <n v="96"/>
    <n v="50"/>
    <s v="UN"/>
    <d v="2025-07-11T00:00:00"/>
    <n v="7"/>
    <d v="2025-10-10T00:00:00"/>
    <d v="2025-09-26T00:00:00"/>
    <x v="8"/>
    <n v="2025"/>
    <n v="20832"/>
    <n v="10850"/>
  </r>
  <r>
    <s v="4000006878"/>
    <s v="76201342-8"/>
    <s v="KNAUF CHILE SPA"/>
    <s v="6701276519"/>
    <s v="ZPCD"/>
    <s v="10"/>
    <x v="0"/>
    <s v="101"/>
    <s v="C004"/>
    <s v="E652"/>
    <n v="1"/>
    <s v="Local"/>
    <x v="0"/>
    <s v="Construccion"/>
    <x v="0"/>
    <s v="430507002"/>
    <s v="938731"/>
    <s v="SERVICIO FLETE"/>
    <n v="30"/>
    <n v="30"/>
    <s v="UN"/>
    <d v="2025-07-29T00:00:00"/>
    <n v="7"/>
    <d v="2025-10-30T00:00:00"/>
    <d v="2025-09-04T00:00:00"/>
    <x v="8"/>
    <n v="2025"/>
    <n v="2250"/>
    <n v="2250"/>
  </r>
  <r>
    <s v="4000006878"/>
    <s v="76201342-8"/>
    <s v="KNAUF CHILE SPA"/>
    <s v="6701276519"/>
    <s v="ZPCD"/>
    <s v="20"/>
    <x v="0"/>
    <s v="101"/>
    <s v="C004"/>
    <s v="E652"/>
    <n v="1"/>
    <s v="Local"/>
    <x v="0"/>
    <s v="Construccion"/>
    <x v="0"/>
    <s v="430201001"/>
    <s v="1246708"/>
    <s v="AQUAPANEL MALLA SUP. OUT /IND 1X50"/>
    <n v="30"/>
    <n v="30"/>
    <s v="UN"/>
    <d v="2025-07-29T00:00:00"/>
    <n v="7"/>
    <d v="2025-10-30T00:00:00"/>
    <d v="2025-09-04T00:00:00"/>
    <x v="8"/>
    <n v="2025"/>
    <n v="2282700"/>
    <n v="2282700"/>
  </r>
  <r>
    <s v="4000006878"/>
    <s v="76201342-8"/>
    <s v="KNAUF CHILE SPA"/>
    <s v="6701294029"/>
    <s v="ZPCD"/>
    <s v="10"/>
    <x v="0"/>
    <s v="101"/>
    <s v="C004"/>
    <s v="E652"/>
    <n v="1"/>
    <s v="Local"/>
    <x v="0"/>
    <s v="Construccion"/>
    <x v="0"/>
    <s v="430502003"/>
    <s v="1239232"/>
    <s v="PLACA AQUAPANAL OUTDOOR 12.5 120X240"/>
    <n v="45"/>
    <n v="45"/>
    <s v="UN"/>
    <d v="2025-08-27T00:00:00"/>
    <n v="8"/>
    <d v="2025-09-03T00:00:00"/>
    <d v="2025-09-23T00:00:00"/>
    <x v="8"/>
    <n v="2025"/>
    <n v="1365345"/>
    <n v="1365345"/>
  </r>
  <r>
    <s v="4000006878"/>
    <s v="76201342-8"/>
    <s v="KNAUF CHILE SPA"/>
    <s v="6701294029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8-27T00:00:00"/>
    <n v="8"/>
    <d v="2025-09-03T00:00:00"/>
    <d v="2025-09-23T00:00:00"/>
    <x v="8"/>
    <n v="2025"/>
    <n v="58000"/>
    <n v="58000"/>
  </r>
  <r>
    <s v="4000006878"/>
    <s v="76201342-8"/>
    <s v="KNAUF CHILE SPA"/>
    <s v="6701294683"/>
    <s v="ZPCD"/>
    <s v="10"/>
    <x v="0"/>
    <s v="101"/>
    <s v="C004"/>
    <s v="E652"/>
    <n v="1"/>
    <s v="Local"/>
    <x v="0"/>
    <s v="Construccion"/>
    <x v="0"/>
    <s v="430201001"/>
    <s v="896692"/>
    <s v="BANDA ACUSTICA 70MM ANCHO ROLLO X 30 M"/>
    <n v="2"/>
    <n v="1"/>
    <s v="ROM"/>
    <d v="2025-08-28T00:00:00"/>
    <n v="8"/>
    <d v="2025-08-29T00:00:00"/>
    <d v="2025-09-05T00:00:00"/>
    <x v="8"/>
    <n v="2025"/>
    <n v="30942"/>
    <n v="15471"/>
  </r>
  <r>
    <s v="4000006878"/>
    <s v="76201342-8"/>
    <s v="KNAUF CHILE SPA"/>
    <s v="6701294683"/>
    <s v="ZPCD"/>
    <s v="20"/>
    <x v="0"/>
    <s v="101"/>
    <s v="C004"/>
    <s v="E652"/>
    <n v="1"/>
    <s v="Local"/>
    <x v="0"/>
    <s v="Construccion"/>
    <x v="0"/>
    <s v="430201001"/>
    <s v="904569"/>
    <s v="BANDA ACUSTICA 50MM ANCHO ROLLO X 30 M"/>
    <n v="20"/>
    <n v="13"/>
    <s v="ROM"/>
    <d v="2025-08-28T00:00:00"/>
    <n v="8"/>
    <d v="2025-08-29T00:00:00"/>
    <d v="2025-09-05T00:00:00"/>
    <x v="8"/>
    <n v="2025"/>
    <n v="214180"/>
    <n v="139217"/>
  </r>
  <r>
    <s v="4000006878"/>
    <s v="76201342-8"/>
    <s v="KNAUF CHILE SPA"/>
    <s v="6701294683"/>
    <s v="ZPCD"/>
    <s v="30"/>
    <x v="0"/>
    <s v="101"/>
    <s v="C004"/>
    <s v="E652"/>
    <n v="1"/>
    <s v="Local"/>
    <x v="0"/>
    <s v="Construccion"/>
    <x v="0"/>
    <s v="430507002"/>
    <s v="938731"/>
    <s v="SERVICIO FLETE"/>
    <n v="22"/>
    <n v="14"/>
    <s v="UN"/>
    <d v="2025-08-28T00:00:00"/>
    <n v="8"/>
    <d v="2025-08-29T00:00:00"/>
    <d v="2025-09-05T00:00:00"/>
    <x v="8"/>
    <n v="2025"/>
    <n v="57992"/>
    <n v="36904"/>
  </r>
  <r>
    <s v="4000006878"/>
    <s v="76201342-8"/>
    <s v="KNAUF CHILE SPA"/>
    <s v="6701291574"/>
    <s v="ZPCD"/>
    <s v="10"/>
    <x v="0"/>
    <s v="101"/>
    <s v="C004"/>
    <s v="E592"/>
    <n v="1"/>
    <s v="Local"/>
    <x v="0"/>
    <s v="Construccion"/>
    <x v="0"/>
    <s v="430503001"/>
    <s v="1246706"/>
    <s v="AQUAPANEL CINTA EXT. 0.10X50"/>
    <n v="30"/>
    <n v="30"/>
    <s v="UN"/>
    <d v="2025-08-22T00:00:00"/>
    <n v="8"/>
    <d v="2025-08-22T00:00:00"/>
    <d v="2025-09-02T00:00:00"/>
    <x v="8"/>
    <n v="2025"/>
    <n v="422250"/>
    <n v="422250"/>
  </r>
  <r>
    <s v="4000006878"/>
    <s v="76201342-8"/>
    <s v="KNAUF CHILE SPA"/>
    <s v="6701291574"/>
    <s v="ZPCD"/>
    <s v="20"/>
    <x v="0"/>
    <s v="101"/>
    <s v="C004"/>
    <s v="E592"/>
    <n v="1"/>
    <s v="Local"/>
    <x v="0"/>
    <s v="Construccion"/>
    <x v="0"/>
    <s v="430401007"/>
    <s v="1246707"/>
    <s v="AQUAPANEL MORTERO SUP. BLANCO 25KG"/>
    <n v="25"/>
    <n v="25"/>
    <s v="UN"/>
    <d v="2025-08-22T00:00:00"/>
    <n v="8"/>
    <d v="2025-08-22T00:00:00"/>
    <d v="2025-09-02T00:00:00"/>
    <x v="8"/>
    <n v="2025"/>
    <n v="407875"/>
    <n v="407875"/>
  </r>
  <r>
    <s v="4000006878"/>
    <s v="76201342-8"/>
    <s v="KNAUF CHILE SPA"/>
    <s v="6701293316"/>
    <s v="ZPCD"/>
    <s v="10"/>
    <x v="0"/>
    <s v="101"/>
    <s v="C004"/>
    <s v="E508"/>
    <n v="1"/>
    <s v="Local"/>
    <x v="0"/>
    <s v="Construccion"/>
    <x v="0"/>
    <s v="430401007"/>
    <s v="1441554"/>
    <s v="MORTERO AQUAPANEL 25 KG"/>
    <n v="111"/>
    <n v="111"/>
    <s v="UN"/>
    <d v="2025-08-25T00:00:00"/>
    <n v="8"/>
    <d v="2025-08-25T00:00:00"/>
    <d v="2025-09-11T00:00:00"/>
    <x v="8"/>
    <n v="2025"/>
    <n v="1894881"/>
    <n v="1894881"/>
  </r>
  <r>
    <s v="4000006878"/>
    <s v="76201342-8"/>
    <s v="KNAUF CHILE SPA"/>
    <s v="6701293316"/>
    <s v="ZPCD"/>
    <s v="20"/>
    <x v="0"/>
    <s v="101"/>
    <s v="C004"/>
    <s v="E508"/>
    <n v="1"/>
    <s v="Local"/>
    <x v="0"/>
    <s v="Construccion"/>
    <x v="0"/>
    <s v="430503001"/>
    <s v="1441555"/>
    <s v="CINTA DE JUNTAS AQUAPANEL"/>
    <n v="106"/>
    <n v="106"/>
    <s v="UN"/>
    <d v="2025-08-25T00:00:00"/>
    <n v="8"/>
    <d v="2025-08-25T00:00:00"/>
    <d v="2025-09-11T00:00:00"/>
    <x v="8"/>
    <n v="2025"/>
    <n v="1561168"/>
    <n v="1561168"/>
  </r>
  <r>
    <s v="4000006878"/>
    <s v="76201342-8"/>
    <s v="KNAUF CHILE SPA"/>
    <s v="6701293316"/>
    <s v="ZPCD"/>
    <s v="30"/>
    <x v="0"/>
    <s v="101"/>
    <s v="C004"/>
    <s v="E508"/>
    <n v="1"/>
    <s v="Local"/>
    <x v="0"/>
    <s v="Construccion"/>
    <x v="0"/>
    <s v="430102005"/>
    <s v="1441556"/>
    <s v="MALLA SUPERFICIAL AQUAPANEL"/>
    <n v="2"/>
    <n v="2"/>
    <s v="UN"/>
    <d v="2025-08-25T00:00:00"/>
    <n v="8"/>
    <d v="2025-08-25T00:00:00"/>
    <d v="2025-09-11T00:00:00"/>
    <x v="8"/>
    <n v="2025"/>
    <n v="155984"/>
    <n v="155984"/>
  </r>
  <r>
    <s v="4000006878"/>
    <s v="76201342-8"/>
    <s v="KNAUF CHILE SPA"/>
    <s v="6701293316"/>
    <s v="ZPCD"/>
    <s v="4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8-25T00:00:00"/>
    <n v="8"/>
    <d v="2025-08-25T00:00:00"/>
    <d v="2025-09-11T00:00:00"/>
    <x v="8"/>
    <n v="2025"/>
    <n v="58000"/>
    <n v="58000"/>
  </r>
  <r>
    <s v="4000006878"/>
    <s v="76201342-8"/>
    <s v="KNAUF CHILE SPA"/>
    <s v="6701293953"/>
    <s v="ZPCD"/>
    <s v="10"/>
    <x v="0"/>
    <s v="101"/>
    <s v="C004"/>
    <s v="E517"/>
    <n v="1"/>
    <s v="Local"/>
    <x v="0"/>
    <s v="Construccion"/>
    <x v="0"/>
    <s v="430503006"/>
    <s v="1246703"/>
    <s v="AQUAPANEL PL OUTDOOR 12.5MM 1.20X2.4"/>
    <n v="30"/>
    <n v="30"/>
    <s v="UN"/>
    <d v="2025-08-27T00:00:00"/>
    <n v="8"/>
    <d v="2025-08-28T00:00:00"/>
    <d v="2025-09-15T00:00:00"/>
    <x v="8"/>
    <n v="2025"/>
    <n v="879660"/>
    <n v="879660"/>
  </r>
  <r>
    <s v="4000006878"/>
    <s v="76201342-8"/>
    <s v="KNAUF CHILE SPA"/>
    <s v="6701293953"/>
    <s v="ZPCD"/>
    <s v="20"/>
    <x v="0"/>
    <s v="101"/>
    <s v="C004"/>
    <s v="E517"/>
    <n v="1"/>
    <s v="Local"/>
    <x v="0"/>
    <s v="Construccion"/>
    <x v="0"/>
    <s v="430507002"/>
    <s v="938731"/>
    <s v="SERVICIO FLETE"/>
    <n v="1"/>
    <n v="1"/>
    <s v="UN"/>
    <d v="2025-08-27T00:00:00"/>
    <n v="8"/>
    <d v="2025-08-28T00:00:00"/>
    <d v="2025-09-15T00:00:00"/>
    <x v="8"/>
    <n v="2025"/>
    <n v="58000"/>
    <n v="58000"/>
  </r>
  <r>
    <s v="4000006878"/>
    <s v="76201342-8"/>
    <s v="KNAUF CHILE SPA"/>
    <s v="650855648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8-22T00:00:00"/>
    <n v="8"/>
    <d v="2025-09-03T00:00:00"/>
    <d v="2025-09-03T00:00:00"/>
    <x v="8"/>
    <n v="2025"/>
    <n v="1405320"/>
    <n v="1405320"/>
  </r>
  <r>
    <s v="4000006878"/>
    <s v="76201342-8"/>
    <s v="KNAUF CHILE SPA"/>
    <s v="6508559291"/>
    <s v="ZDCZ"/>
    <s v="10"/>
    <x v="0"/>
    <s v="161"/>
    <s v="C004"/>
    <s v="E507"/>
    <n v="10"/>
    <s v="Local"/>
    <x v="0"/>
    <s v="Construccion"/>
    <x v="0"/>
    <s v="430506002"/>
    <s v="1192671"/>
    <s v="YESO PROYECTADO 25KG"/>
    <n v="120"/>
    <n v="2.4"/>
    <s v="CS"/>
    <d v="2025-08-26T00:00:00"/>
    <n v="8"/>
    <d v="2025-08-26T00:00:00"/>
    <d v="2025-09-03T00:00:00"/>
    <x v="8"/>
    <n v="2025"/>
    <n v="714720"/>
    <n v="-14294"/>
  </r>
  <r>
    <s v="4000006878"/>
    <s v="76201342-8"/>
    <s v="KNAUF CHILE SPA"/>
    <s v="6508567003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29T00:00:00"/>
    <n v="8"/>
    <d v="2025-09-10T00:00:00"/>
    <d v="2025-09-05T00:00:00"/>
    <x v="8"/>
    <n v="2025"/>
    <n v="1405320"/>
    <n v="1405320"/>
  </r>
  <r>
    <s v="4000006878"/>
    <s v="76201342-8"/>
    <s v="KNAUF CHILE SPA"/>
    <s v="6508567003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8-29T00:00:00"/>
    <n v="8"/>
    <d v="2025-09-10T00:00:00"/>
    <d v="2025-09-05T00:00:00"/>
    <x v="8"/>
    <n v="2025"/>
    <n v="703000"/>
    <n v="703000"/>
  </r>
  <r>
    <s v="4000006878"/>
    <s v="76201342-8"/>
    <s v="KNAUF CHILE SPA"/>
    <s v="6508567004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29T00:00:00"/>
    <n v="8"/>
    <d v="2025-09-10T00:00:00"/>
    <d v="2025-09-03T00:00:00"/>
    <x v="8"/>
    <n v="2025"/>
    <n v="418720"/>
    <n v="418720"/>
  </r>
  <r>
    <s v="4000006878"/>
    <s v="76201342-8"/>
    <s v="KNAUF CHILE SPA"/>
    <s v="6508567004"/>
    <s v="ZPMC"/>
    <s v="20"/>
    <x v="1"/>
    <s v="101"/>
    <s v="C004"/>
    <s v="E521"/>
    <n v="1"/>
    <s v="Local"/>
    <x v="0"/>
    <s v="Construccion"/>
    <x v="0"/>
    <s v="430503006"/>
    <s v="1232376"/>
    <s v="PLANCHA YESO CARTON RF 12.5X1200X2400MM"/>
    <n v="1"/>
    <n v="1"/>
    <s v="PAL"/>
    <d v="2025-08-29T00:00:00"/>
    <n v="8"/>
    <d v="2025-09-10T00:00:00"/>
    <d v="2025-09-03T00:00:00"/>
    <x v="8"/>
    <n v="2025"/>
    <n v="517860"/>
    <n v="517860"/>
  </r>
  <r>
    <s v="4000006878"/>
    <s v="76201342-8"/>
    <s v="KNAUF CHILE SPA"/>
    <s v="6508567004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08-29T00:00:00"/>
    <n v="8"/>
    <d v="2025-09-10T00:00:00"/>
    <d v="2025-09-03T00:00:00"/>
    <x v="8"/>
    <n v="2025"/>
    <n v="1054500"/>
    <n v="1054500"/>
  </r>
  <r>
    <s v="4000006878"/>
    <s v="76201342-8"/>
    <s v="KNAUF CHILE SPA"/>
    <s v="6701289897"/>
    <s v="ZPCD"/>
    <s v="10"/>
    <x v="0"/>
    <s v="101"/>
    <s v="C004"/>
    <s v="E512"/>
    <n v="1"/>
    <s v="Local"/>
    <x v="0"/>
    <s v="Construccion"/>
    <x v="0"/>
    <s v="430503006"/>
    <s v="1268837"/>
    <s v="PLACA SILENTBOARD FR 12.5 EN 625X2000"/>
    <n v="30"/>
    <n v="30"/>
    <s v="UN"/>
    <d v="2025-08-26T00:00:00"/>
    <n v="8"/>
    <d v="2025-08-29T00:00:00"/>
    <d v="2025-09-11T00:00:00"/>
    <x v="8"/>
    <n v="2025"/>
    <n v="974370"/>
    <n v="974370"/>
  </r>
  <r>
    <s v="4000006878"/>
    <s v="76201342-8"/>
    <s v="KNAUF CHILE SPA"/>
    <s v="6701289897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8-26T00:00:00"/>
    <n v="8"/>
    <d v="2025-08-29T00:00:00"/>
    <d v="2025-09-11T00:00:00"/>
    <x v="8"/>
    <n v="2025"/>
    <n v="58000"/>
    <n v="58000"/>
  </r>
  <r>
    <s v="4000006878"/>
    <s v="76201342-8"/>
    <s v="KNAUF CHILE SPA"/>
    <s v="650855648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22T00:00:00"/>
    <n v="8"/>
    <d v="2025-09-03T00:00:00"/>
    <d v="2025-09-01T00:00:00"/>
    <x v="8"/>
    <n v="2025"/>
    <n v="1405320"/>
    <n v="1405320"/>
  </r>
  <r>
    <s v="4000006878"/>
    <s v="76201342-8"/>
    <s v="KNAUF CHILE SPA"/>
    <s v="6701283185"/>
    <s v="ZPCD"/>
    <s v="10"/>
    <x v="0"/>
    <s v="101"/>
    <s v="C004"/>
    <s v="E507"/>
    <n v="1"/>
    <s v="Local"/>
    <x v="0"/>
    <s v="Construccion"/>
    <x v="0"/>
    <s v="430503006"/>
    <s v="1284414"/>
    <s v="PL POLYPLACK STBR 30MM 120X240 BR P20D15"/>
    <n v="210"/>
    <n v="210"/>
    <s v="UN"/>
    <d v="2025-08-08T00:00:00"/>
    <n v="8"/>
    <d v="2025-08-14T00:00:00"/>
    <d v="2025-09-05T00:00:00"/>
    <x v="8"/>
    <n v="2025"/>
    <n v="2802030"/>
    <n v="2802030"/>
  </r>
  <r>
    <s v="4000006878"/>
    <s v="76201342-8"/>
    <s v="KNAUF CHILE SPA"/>
    <s v="6701283185"/>
    <s v="ZPCD"/>
    <s v="20"/>
    <x v="0"/>
    <s v="101"/>
    <s v="C004"/>
    <s v="E507"/>
    <n v="1"/>
    <s v="Local"/>
    <x v="0"/>
    <s v="Construccion"/>
    <x v="0"/>
    <s v="430507002"/>
    <s v="938731"/>
    <s v="SERVICIO FLETE"/>
    <n v="1"/>
    <n v="1"/>
    <s v="UN"/>
    <d v="2025-08-08T00:00:00"/>
    <n v="8"/>
    <d v="2025-08-08T00:00:00"/>
    <d v="2025-09-05T00:00:00"/>
    <x v="8"/>
    <n v="2025"/>
    <n v="118000"/>
    <n v="118000"/>
  </r>
  <r>
    <s v="4000006878"/>
    <s v="76201342-8"/>
    <s v="KNAUF CHILE SPA"/>
    <s v="6701309508"/>
    <s v="ZPCD"/>
    <s v="10"/>
    <x v="0"/>
    <s v="101"/>
    <s v="C004"/>
    <s v="E522"/>
    <n v="1"/>
    <s v="Local"/>
    <x v="0"/>
    <s v="Construccion"/>
    <x v="0"/>
    <s v="430503002"/>
    <s v="940908"/>
    <s v="VE PL SAFEBOARD 12.5MM GFK 0625X2500MM"/>
    <n v="6"/>
    <n v="6"/>
    <s v="UN"/>
    <d v="2025-09-25T00:00:00"/>
    <n v="9"/>
    <d v="2025-09-25T00:00:00"/>
    <d v="2025-09-30T00:00:00"/>
    <x v="8"/>
    <n v="2025"/>
    <n v="422436"/>
    <n v="422436"/>
  </r>
  <r>
    <s v="4000006878"/>
    <s v="76201342-8"/>
    <s v="KNAUF CHILE SPA"/>
    <s v="6701286815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9"/>
    <n v="9"/>
    <s v="UN"/>
    <d v="2025-08-13T00:00:00"/>
    <n v="8"/>
    <d v="2025-08-14T00:00:00"/>
    <d v="2025-09-02T00:00:00"/>
    <x v="8"/>
    <n v="2025"/>
    <n v="257598"/>
    <n v="257598"/>
  </r>
  <r>
    <s v="4000006878"/>
    <s v="76201342-8"/>
    <s v="KNAUF CHILE SPA"/>
    <s v="6701286815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423"/>
    <n v="423"/>
    <s v="UN"/>
    <d v="2025-08-13T00:00:00"/>
    <n v="8"/>
    <d v="2025-08-14T00:00:00"/>
    <d v="2025-09-02T00:00:00"/>
    <x v="8"/>
    <n v="2025"/>
    <n v="5972337"/>
    <n v="5972337"/>
  </r>
  <r>
    <s v="4000006878"/>
    <s v="76201342-8"/>
    <s v="KNAUF CHILE SPA"/>
    <s v="6701286815"/>
    <s v="ZPCD"/>
    <s v="30"/>
    <x v="0"/>
    <s v="101"/>
    <s v="C004"/>
    <s v="E592"/>
    <n v="1"/>
    <s v="Local"/>
    <x v="0"/>
    <s v="Construccion"/>
    <x v="0"/>
    <s v="430507002"/>
    <s v="938731"/>
    <s v="SERVICIO FLETE"/>
    <n v="432"/>
    <n v="432"/>
    <s v="UN"/>
    <d v="2025-08-13T00:00:00"/>
    <n v="8"/>
    <d v="2025-08-14T00:00:00"/>
    <d v="2025-09-02T00:00:00"/>
    <x v="8"/>
    <n v="2025"/>
    <n v="112320"/>
    <n v="112320"/>
  </r>
  <r>
    <s v="4000006878"/>
    <s v="76201342-8"/>
    <s v="KNAUF CHILE SPA"/>
    <s v="6701276519"/>
    <s v="ZPCD"/>
    <s v="270"/>
    <x v="0"/>
    <s v="101"/>
    <s v="C004"/>
    <s v="E652"/>
    <n v="1"/>
    <s v="Local"/>
    <x v="0"/>
    <s v="Construccion"/>
    <x v="0"/>
    <s v="430507002"/>
    <s v="938731"/>
    <s v="SERVICIO FLETE"/>
    <n v="142"/>
    <n v="119"/>
    <s v="UN"/>
    <d v="2025-07-29T00:00:00"/>
    <n v="7"/>
    <d v="2025-10-30T00:00:00"/>
    <d v="2025-09-04T00:00:00"/>
    <x v="8"/>
    <n v="2025"/>
    <n v="24566"/>
    <n v="20587"/>
  </r>
  <r>
    <s v="4000006878"/>
    <s v="76201342-8"/>
    <s v="KNAUF CHILE SPA"/>
    <s v="6701276519"/>
    <s v="ZPCD"/>
    <s v="280"/>
    <x v="0"/>
    <s v="101"/>
    <s v="C004"/>
    <s v="E652"/>
    <n v="1"/>
    <s v="Local"/>
    <x v="0"/>
    <s v="Construccion"/>
    <x v="0"/>
    <s v="430203001"/>
    <s v="1385169"/>
    <s v="LANA VID LIB 140MM 1.2X6M 7.2 M2 ARG"/>
    <n v="142"/>
    <n v="119"/>
    <s v="UN"/>
    <d v="2025-07-29T00:00:00"/>
    <n v="7"/>
    <d v="2025-10-30T00:00:00"/>
    <d v="2025-09-04T00:00:00"/>
    <x v="8"/>
    <n v="2025"/>
    <n v="4958640"/>
    <n v="4155480"/>
  </r>
  <r>
    <s v="4000006878"/>
    <s v="76201342-8"/>
    <s v="KNAUF CHILE SPA"/>
    <s v="6701276519"/>
    <s v="ZPCD"/>
    <s v="60"/>
    <x v="0"/>
    <s v="101"/>
    <s v="C004"/>
    <s v="E652"/>
    <n v="1"/>
    <s v="Local"/>
    <x v="0"/>
    <s v="Construccion"/>
    <x v="0"/>
    <s v="430502003"/>
    <s v="1239233"/>
    <s v="PLACA IMPACT 15MM 120X240"/>
    <n v="3109"/>
    <n v="3039"/>
    <s v="UN"/>
    <d v="2025-07-29T00:00:00"/>
    <n v="7"/>
    <d v="2025-10-30T00:00:00"/>
    <d v="2025-09-04T00:00:00"/>
    <x v="8"/>
    <n v="2025"/>
    <n v="34258071"/>
    <n v="33486741"/>
  </r>
  <r>
    <s v="4000006878"/>
    <s v="76201342-8"/>
    <s v="KNAUF CHILE SPA"/>
    <s v="6701276519"/>
    <s v="ZPCD"/>
    <s v="90"/>
    <x v="0"/>
    <s v="101"/>
    <s v="C004"/>
    <s v="E652"/>
    <n v="1"/>
    <s v="Local"/>
    <x v="0"/>
    <s v="Construccion"/>
    <x v="0"/>
    <s v="430507002"/>
    <s v="938731"/>
    <s v="SERVICIO FLETE"/>
    <n v="220"/>
    <n v="220"/>
    <s v="UN"/>
    <d v="2025-07-29T00:00:00"/>
    <n v="7"/>
    <d v="2025-10-30T00:00:00"/>
    <d v="2025-09-04T00:00:00"/>
    <x v="8"/>
    <n v="2025"/>
    <n v="4180"/>
    <n v="4180"/>
  </r>
  <r>
    <s v="4000006878"/>
    <s v="76201342-8"/>
    <s v="KNAUF CHILE SPA"/>
    <s v="6701276519"/>
    <s v="ZPCD"/>
    <s v="100"/>
    <x v="0"/>
    <s v="101"/>
    <s v="C004"/>
    <s v="E652"/>
    <n v="1"/>
    <s v="Local"/>
    <x v="0"/>
    <s v="Construccion"/>
    <x v="0"/>
    <s v="130211005"/>
    <s v="1366504"/>
    <s v="AQUAPANEL TORNILLO MAXI TB 39MM"/>
    <n v="220"/>
    <n v="220"/>
    <s v="UN"/>
    <d v="2025-07-29T00:00:00"/>
    <n v="7"/>
    <d v="2025-10-30T00:00:00"/>
    <d v="2025-09-04T00:00:00"/>
    <x v="8"/>
    <n v="2025"/>
    <n v="3816340"/>
    <n v="3816340"/>
  </r>
  <r>
    <s v="4000006878"/>
    <s v="76201342-8"/>
    <s v="KNAUF CHILE SPA"/>
    <s v="6701276519"/>
    <s v="ZPCD"/>
    <s v="110"/>
    <x v="0"/>
    <s v="101"/>
    <s v="C004"/>
    <s v="E652"/>
    <n v="1"/>
    <s v="Local"/>
    <x v="0"/>
    <s v="Construccion"/>
    <x v="0"/>
    <s v="430507002"/>
    <s v="938731"/>
    <s v="SERVICIO FLETE"/>
    <n v="220"/>
    <n v="220"/>
    <s v="UN"/>
    <d v="2025-07-29T00:00:00"/>
    <n v="7"/>
    <d v="2025-10-30T00:00:00"/>
    <d v="2025-09-04T00:00:00"/>
    <x v="8"/>
    <n v="2025"/>
    <n v="3300"/>
    <n v="3300"/>
  </r>
  <r>
    <s v="4000006878"/>
    <s v="76201342-8"/>
    <s v="KNAUF CHILE SPA"/>
    <s v="6701276519"/>
    <s v="ZPCD"/>
    <s v="120"/>
    <x v="0"/>
    <s v="101"/>
    <s v="C004"/>
    <s v="E652"/>
    <n v="1"/>
    <s v="Local"/>
    <x v="0"/>
    <s v="Construccion"/>
    <x v="0"/>
    <s v="130211005"/>
    <s v="1366503"/>
    <s v="AQUAPANEL TORNILLO MAXI TB 25MM"/>
    <n v="220"/>
    <n v="220"/>
    <s v="UN"/>
    <d v="2025-07-29T00:00:00"/>
    <n v="7"/>
    <d v="2025-10-30T00:00:00"/>
    <d v="2025-09-04T00:00:00"/>
    <x v="8"/>
    <n v="2025"/>
    <n v="2481380"/>
    <n v="2481380"/>
  </r>
  <r>
    <s v="4000006878"/>
    <s v="76201342-8"/>
    <s v="KNAUF CHILE SPA"/>
    <s v="6701276519"/>
    <s v="ZPCD"/>
    <s v="130"/>
    <x v="0"/>
    <s v="101"/>
    <s v="C004"/>
    <s v="E652"/>
    <n v="1"/>
    <s v="Local"/>
    <x v="0"/>
    <s v="Construccion"/>
    <x v="0"/>
    <s v="430507002"/>
    <s v="938731"/>
    <s v="SERVICIO FLETE"/>
    <n v="48"/>
    <n v="48"/>
    <s v="UN"/>
    <d v="2025-07-29T00:00:00"/>
    <n v="7"/>
    <d v="2025-10-30T00:00:00"/>
    <d v="2025-09-04T00:00:00"/>
    <x v="8"/>
    <n v="2025"/>
    <n v="240"/>
    <n v="240"/>
  </r>
  <r>
    <s v="4000006878"/>
    <s v="76201342-8"/>
    <s v="KNAUF CHILE SPA"/>
    <s v="6701276519"/>
    <s v="ZPCD"/>
    <s v="140"/>
    <x v="0"/>
    <s v="101"/>
    <s v="C004"/>
    <s v="E652"/>
    <n v="1"/>
    <s v="Local"/>
    <x v="0"/>
    <s v="Construccion"/>
    <x v="0"/>
    <s v="430503001"/>
    <s v="1309477"/>
    <s v="CINTA PARA JUNTAS AQUAPANEL 10CM  50M"/>
    <n v="48"/>
    <n v="48"/>
    <s v="UN"/>
    <d v="2025-07-29T00:00:00"/>
    <n v="7"/>
    <d v="2025-10-30T00:00:00"/>
    <d v="2025-09-04T00:00:00"/>
    <x v="8"/>
    <n v="2025"/>
    <n v="689712"/>
    <n v="689712"/>
  </r>
  <r>
    <s v="4000006878"/>
    <s v="76201342-8"/>
    <s v="KNAUF CHILE SPA"/>
    <s v="6701276519"/>
    <s v="ZPCD"/>
    <s v="180"/>
    <x v="0"/>
    <s v="101"/>
    <s v="C004"/>
    <s v="E652"/>
    <n v="1"/>
    <s v="Local"/>
    <x v="0"/>
    <s v="Construccion"/>
    <x v="0"/>
    <s v="430507002"/>
    <s v="1465092"/>
    <s v="PL AQUAPANEL INDOOR 12.5MM 120X300"/>
    <n v="486"/>
    <n v="486"/>
    <s v="UN"/>
    <d v="2025-07-29T00:00:00"/>
    <n v="7"/>
    <d v="2025-10-30T00:00:00"/>
    <d v="2025-09-22T00:00:00"/>
    <x v="8"/>
    <n v="2025"/>
    <n v="7875144"/>
    <n v="7875144"/>
  </r>
  <r>
    <s v="4000006878"/>
    <s v="76201342-8"/>
    <s v="KNAUF CHILE SPA"/>
    <s v="6701276519"/>
    <s v="ZPCD"/>
    <s v="190"/>
    <x v="0"/>
    <s v="101"/>
    <s v="C004"/>
    <s v="E652"/>
    <n v="1"/>
    <s v="Local"/>
    <x v="0"/>
    <s v="Construccion"/>
    <x v="0"/>
    <s v="430507002"/>
    <s v="938731"/>
    <s v="SERVICIO FLETE"/>
    <n v="5"/>
    <n v="5"/>
    <s v="UN"/>
    <d v="2025-07-29T00:00:00"/>
    <n v="7"/>
    <d v="2025-10-30T00:00:00"/>
    <d v="2025-09-04T00:00:00"/>
    <x v="8"/>
    <n v="2025"/>
    <n v="375"/>
    <n v="375"/>
  </r>
  <r>
    <s v="4000006878"/>
    <s v="76201342-8"/>
    <s v="KNAUF CHILE SPA"/>
    <s v="6701276519"/>
    <s v="ZPCD"/>
    <s v="200"/>
    <x v="0"/>
    <s v="101"/>
    <s v="C004"/>
    <s v="E652"/>
    <n v="1"/>
    <s v="Local"/>
    <x v="0"/>
    <s v="Construccion"/>
    <x v="0"/>
    <s v="430204003"/>
    <s v="1246704"/>
    <s v="AQUAPANEL WATER BARRIER 1.50X50"/>
    <n v="5"/>
    <n v="5"/>
    <s v="UN"/>
    <d v="2025-07-29T00:00:00"/>
    <n v="7"/>
    <d v="2025-10-30T00:00:00"/>
    <d v="2025-09-04T00:00:00"/>
    <x v="8"/>
    <n v="2025"/>
    <n v="725885"/>
    <n v="725885"/>
  </r>
  <r>
    <s v="4000006878"/>
    <s v="76201342-8"/>
    <s v="KNAUF CHILE SPA"/>
    <s v="6701276519"/>
    <s v="ZPCD"/>
    <s v="210"/>
    <x v="0"/>
    <s v="101"/>
    <s v="C004"/>
    <s v="E652"/>
    <n v="1"/>
    <s v="Local"/>
    <x v="0"/>
    <s v="Construccion"/>
    <x v="0"/>
    <s v="430507002"/>
    <s v="938731"/>
    <s v="SERVICIO FLETE"/>
    <n v="1162"/>
    <n v="1162"/>
    <s v="UN"/>
    <d v="2025-07-29T00:00:00"/>
    <n v="7"/>
    <d v="2025-10-30T00:00:00"/>
    <d v="2025-10-06T00:00:00"/>
    <x v="9"/>
    <n v="2025"/>
    <n v="402052"/>
    <n v="402052"/>
  </r>
  <r>
    <s v="4000006878"/>
    <s v="76201342-8"/>
    <s v="KNAUF CHILE SPA"/>
    <s v="6701276519"/>
    <s v="ZPCD"/>
    <s v="220"/>
    <x v="0"/>
    <s v="101"/>
    <s v="C004"/>
    <s v="E652"/>
    <n v="1"/>
    <s v="Local"/>
    <x v="0"/>
    <s v="Construccion"/>
    <x v="0"/>
    <s v="430502003"/>
    <s v="1239232"/>
    <s v="PLACA AQUAPANAL OUTDOOR 12.5 120X240"/>
    <n v="1162"/>
    <n v="1162"/>
    <s v="UN"/>
    <d v="2025-07-29T00:00:00"/>
    <n v="7"/>
    <d v="2025-10-30T00:00:00"/>
    <d v="2025-10-06T00:00:00"/>
    <x v="9"/>
    <n v="2025"/>
    <n v="34279000"/>
    <n v="34279000"/>
  </r>
  <r>
    <s v="4000006878"/>
    <s v="76201342-8"/>
    <s v="KNAUF CHILE SPA"/>
    <s v="6701276519"/>
    <s v="ZPCD"/>
    <s v="70"/>
    <x v="0"/>
    <s v="101"/>
    <s v="C004"/>
    <s v="E652"/>
    <n v="1"/>
    <s v="Local"/>
    <x v="0"/>
    <s v="Construccion"/>
    <x v="0"/>
    <s v="430507002"/>
    <s v="938731"/>
    <s v="SERVICIO FLETE"/>
    <n v="791"/>
    <n v="100"/>
    <s v="UN"/>
    <d v="2025-07-29T00:00:00"/>
    <n v="7"/>
    <d v="2025-10-30T00:00:00"/>
    <d v="2025-10-28T00:00:00"/>
    <x v="9"/>
    <n v="2025"/>
    <n v="238882"/>
    <n v="30200"/>
  </r>
  <r>
    <s v="4000006878"/>
    <s v="76201342-8"/>
    <s v="KNAUF CHILE SPA"/>
    <s v="6701276519"/>
    <s v="ZPCD"/>
    <s v="80"/>
    <x v="0"/>
    <s v="101"/>
    <s v="C004"/>
    <s v="E652"/>
    <n v="1"/>
    <s v="Local"/>
    <x v="0"/>
    <s v="Construccion"/>
    <x v="0"/>
    <s v="430502003"/>
    <s v="1427081"/>
    <s v="PLACA IMPACT RH 15 1200X2400"/>
    <n v="791"/>
    <n v="100"/>
    <s v="UN"/>
    <d v="2025-07-29T00:00:00"/>
    <n v="7"/>
    <d v="2025-10-30T00:00:00"/>
    <d v="2025-10-28T00:00:00"/>
    <x v="9"/>
    <n v="2025"/>
    <n v="11390400"/>
    <n v="1440000"/>
  </r>
  <r>
    <s v="4000006878"/>
    <s v="76201342-8"/>
    <s v="KNAUF CHILE SPA"/>
    <s v="6701255879"/>
    <s v="ZPCD"/>
    <s v="120"/>
    <x v="0"/>
    <s v="101"/>
    <s v="C004"/>
    <s v="E652"/>
    <n v="1"/>
    <s v="Local"/>
    <x v="0"/>
    <s v="Construccion"/>
    <x v="0"/>
    <s v="430507002"/>
    <s v="938731"/>
    <s v="SERVICIO FLETE"/>
    <n v="258"/>
    <n v="65"/>
    <s v="UN"/>
    <d v="2025-06-26T00:00:00"/>
    <n v="6"/>
    <d v="2025-09-26T00:00:00"/>
    <d v="2025-10-23T00:00:00"/>
    <x v="9"/>
    <n v="2025"/>
    <n v="3870"/>
    <n v="975"/>
  </r>
  <r>
    <s v="4000006878"/>
    <s v="76201342-8"/>
    <s v="KNAUF CHILE SPA"/>
    <s v="6701276519"/>
    <s v="ZPCD"/>
    <s v="50"/>
    <x v="0"/>
    <s v="101"/>
    <s v="C004"/>
    <s v="E652"/>
    <n v="1"/>
    <s v="Local"/>
    <x v="0"/>
    <s v="Construccion"/>
    <x v="0"/>
    <s v="430507002"/>
    <s v="938731"/>
    <s v="SERVICIO FLETE"/>
    <n v="3109"/>
    <n v="3039"/>
    <s v="UN"/>
    <d v="2025-07-29T00:00:00"/>
    <n v="7"/>
    <d v="2025-10-30T00:00:00"/>
    <d v="2025-10-16T00:00:00"/>
    <x v="9"/>
    <n v="2025"/>
    <n v="938918"/>
    <n v="917778"/>
  </r>
  <r>
    <s v="4000006878"/>
    <s v="76201342-8"/>
    <s v="KNAUF CHILE SPA"/>
    <s v="6701260378"/>
    <s v="ZPCD"/>
    <s v="20"/>
    <x v="0"/>
    <s v="101"/>
    <s v="C004"/>
    <s v="E652"/>
    <n v="1"/>
    <s v="Local"/>
    <x v="0"/>
    <s v="Construccion"/>
    <x v="0"/>
    <s v="430503006"/>
    <s v="118468"/>
    <s v="PLANCHA YESO CARTON ST 15MM 1.2X2.4M"/>
    <n v="1200"/>
    <n v="1200"/>
    <s v="UN"/>
    <d v="2025-07-04T00:00:00"/>
    <n v="7"/>
    <d v="2025-10-03T00:00:00"/>
    <d v="2025-10-30T00:00:00"/>
    <x v="9"/>
    <n v="2025"/>
    <n v="6870000"/>
    <n v="6870000"/>
  </r>
  <r>
    <s v="4000006878"/>
    <s v="76201342-8"/>
    <s v="KNAUF CHILE SPA"/>
    <s v="6701276519"/>
    <s v="ZPCD"/>
    <s v="250"/>
    <x v="0"/>
    <s v="101"/>
    <s v="C004"/>
    <s v="E652"/>
    <n v="1"/>
    <s v="Local"/>
    <x v="0"/>
    <s v="Construccion"/>
    <x v="0"/>
    <s v="430507002"/>
    <s v="938731"/>
    <s v="SERVICIO FLETE"/>
    <n v="23"/>
    <n v="0"/>
    <s v="UN"/>
    <d v="2025-07-29T00:00:00"/>
    <n v="7"/>
    <d v="2025-10-30T00:00:00"/>
    <m/>
    <x v="9"/>
    <n v="2025"/>
    <n v="7958"/>
    <n v="0"/>
  </r>
  <r>
    <s v="4000006878"/>
    <s v="76201342-8"/>
    <s v="KNAUF CHILE SPA"/>
    <s v="6701276519"/>
    <s v="ZPCD"/>
    <s v="260"/>
    <x v="0"/>
    <s v="101"/>
    <s v="C004"/>
    <s v="E652"/>
    <n v="1"/>
    <s v="Local"/>
    <x v="0"/>
    <s v="Construccion"/>
    <x v="0"/>
    <s v="430203001"/>
    <s v="1236055"/>
    <s v="ROLLO LIBRE HR 50MM 1200X12000MM KNAUF"/>
    <n v="23"/>
    <n v="0"/>
    <s v="UN"/>
    <d v="2025-07-29T00:00:00"/>
    <n v="7"/>
    <d v="2025-10-30T00:00:00"/>
    <m/>
    <x v="9"/>
    <n v="2025"/>
    <n v="600461"/>
    <n v="0"/>
  </r>
  <r>
    <s v="4000006878"/>
    <s v="76201342-8"/>
    <s v="KNAUF CHILE SPA"/>
    <s v="650860578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1T00:00:00"/>
    <x v="9"/>
    <n v="2025"/>
    <n v="1405320"/>
    <n v="1405320"/>
  </r>
  <r>
    <s v="4000006878"/>
    <s v="76201342-8"/>
    <s v="KNAUF CHILE SPA"/>
    <s v="6508605786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1T00:00:00"/>
    <x v="9"/>
    <n v="2025"/>
    <n v="1405320"/>
    <n v="1405320"/>
  </r>
  <r>
    <s v="4000006878"/>
    <s v="76201342-8"/>
    <s v="KNAUF CHILE SPA"/>
    <s v="650860578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2T00:00:00"/>
    <x v="9"/>
    <n v="2025"/>
    <n v="1405320"/>
    <n v="1405320"/>
  </r>
  <r>
    <s v="4000006878"/>
    <s v="76201342-8"/>
    <s v="KNAUF CHILE SPA"/>
    <s v="6701304473"/>
    <s v="ZPCD"/>
    <s v="10"/>
    <x v="0"/>
    <s v="101"/>
    <s v="C004"/>
    <s v="E508"/>
    <n v="1"/>
    <s v="Local"/>
    <x v="0"/>
    <s v="Construccion"/>
    <x v="0"/>
    <s v="430502003"/>
    <s v="1413995"/>
    <s v="TAPA INSPECCION KNAUF 60X60 SNAP LOCK"/>
    <n v="4"/>
    <n v="4"/>
    <s v="UN"/>
    <d v="2025-09-23T00:00:00"/>
    <n v="9"/>
    <d v="2025-10-03T00:00:00"/>
    <d v="2025-10-06T00:00:00"/>
    <x v="9"/>
    <n v="2025"/>
    <n v="124772"/>
    <n v="124772"/>
  </r>
  <r>
    <s v="4000006878"/>
    <s v="76201342-8"/>
    <s v="KNAUF CHILE SPA"/>
    <s v="6701308383"/>
    <s v="ZPCD"/>
    <s v="10"/>
    <x v="0"/>
    <s v="101"/>
    <s v="C004"/>
    <s v="E874"/>
    <n v="1"/>
    <s v="Local"/>
    <x v="0"/>
    <s v="Construccion"/>
    <x v="0"/>
    <s v="430503004"/>
    <s v="1247551"/>
    <s v="ACUAPANEL JUNTA PARA CINTA EX 0.10X50"/>
    <n v="271"/>
    <n v="271"/>
    <s v="UN"/>
    <d v="2025-09-24T00:00:00"/>
    <n v="9"/>
    <d v="2025-12-01T00:00:00"/>
    <d v="2025-10-29T00:00:00"/>
    <x v="9"/>
    <n v="2025"/>
    <n v="3472594"/>
    <n v="3472594"/>
  </r>
  <r>
    <s v="4000006878"/>
    <s v="76201342-8"/>
    <s v="KNAUF CHILE SPA"/>
    <s v="6701308383"/>
    <s v="ZPCD"/>
    <s v="20"/>
    <x v="0"/>
    <s v="101"/>
    <s v="C004"/>
    <s v="E874"/>
    <n v="1"/>
    <s v="Local"/>
    <x v="0"/>
    <s v="Construccion"/>
    <x v="0"/>
    <s v="430507002"/>
    <s v="938731"/>
    <s v="SERVICIO FLETE"/>
    <n v="271"/>
    <n v="271"/>
    <s v="UN"/>
    <d v="2025-09-24T00:00:00"/>
    <n v="9"/>
    <d v="2025-12-01T00:00:00"/>
    <d v="2025-10-29T00:00:00"/>
    <x v="9"/>
    <n v="2025"/>
    <n v="2168"/>
    <n v="2168"/>
  </r>
  <r>
    <s v="4000006878"/>
    <s v="76201342-8"/>
    <s v="KNAUF CHILE SPA"/>
    <s v="650861641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0-03T00:00:00"/>
    <n v="10"/>
    <d v="2025-10-16T00:00:00"/>
    <d v="2025-10-09T00:00:00"/>
    <x v="9"/>
    <n v="2025"/>
    <n v="1405320"/>
    <n v="1405320"/>
  </r>
  <r>
    <s v="4000006878"/>
    <s v="76201342-8"/>
    <s v="KNAUF CHILE SPA"/>
    <s v="650861641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10-03T00:00:00"/>
    <n v="10"/>
    <d v="2025-10-16T00:00:00"/>
    <d v="2025-10-09T00:00:00"/>
    <x v="9"/>
    <n v="2025"/>
    <n v="703000"/>
    <n v="703000"/>
  </r>
  <r>
    <s v="4000006878"/>
    <s v="76201342-8"/>
    <s v="KNAUF CHILE SPA"/>
    <s v="6508616420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0-03T00:00:00"/>
    <n v="10"/>
    <d v="2025-10-16T00:00:00"/>
    <d v="2025-10-14T00:00:00"/>
    <x v="9"/>
    <n v="2025"/>
    <n v="1405320"/>
    <n v="1405320"/>
  </r>
  <r>
    <s v="4000006878"/>
    <s v="76201342-8"/>
    <s v="KNAUF CHILE SPA"/>
    <s v="6508616420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3"/>
    <n v="3"/>
    <s v="PAL"/>
    <d v="2025-10-03T00:00:00"/>
    <n v="10"/>
    <d v="2025-10-16T00:00:00"/>
    <d v="2025-10-14T00:00:00"/>
    <x v="9"/>
    <n v="2025"/>
    <n v="1054500"/>
    <n v="1054500"/>
  </r>
  <r>
    <s v="4000006878"/>
    <s v="76201342-8"/>
    <s v="KNAUF CHILE SPA"/>
    <s v="650862682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6"/>
    <n v="6"/>
    <s v="PAL"/>
    <d v="2025-10-10T00:00:00"/>
    <n v="10"/>
    <d v="2025-10-22T00:00:00"/>
    <d v="2025-10-16T00:00:00"/>
    <x v="9"/>
    <n v="2025"/>
    <n v="2107980"/>
    <n v="2107980"/>
  </r>
  <r>
    <s v="4000006878"/>
    <s v="76201342-8"/>
    <s v="KNAUF CHILE SPA"/>
    <s v="650862682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10-10T00:00:00"/>
    <n v="10"/>
    <d v="2025-10-22T00:00:00"/>
    <d v="2025-10-16T00:00:00"/>
    <x v="9"/>
    <n v="2025"/>
    <n v="2109000"/>
    <n v="2109000"/>
  </r>
  <r>
    <s v="4000006878"/>
    <s v="76201342-8"/>
    <s v="KNAUF CHILE SPA"/>
    <s v="6508626829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0-10T00:00:00"/>
    <n v="10"/>
    <d v="2025-10-22T00:00:00"/>
    <d v="2025-10-15T00:00:00"/>
    <x v="9"/>
    <n v="2025"/>
    <n v="732480"/>
    <n v="732480"/>
  </r>
  <r>
    <s v="4000006878"/>
    <s v="76201342-8"/>
    <s v="KNAUF CHILE SPA"/>
    <s v="6508626829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0-10T00:00:00"/>
    <n v="10"/>
    <d v="2025-10-22T00:00:00"/>
    <d v="2025-10-15T00:00:00"/>
    <x v="9"/>
    <n v="2025"/>
    <n v="1405320"/>
    <n v="1405320"/>
  </r>
  <r>
    <s v="4000006878"/>
    <s v="76201342-8"/>
    <s v="KNAUF CHILE SPA"/>
    <s v="6508626829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10-10T00:00:00"/>
    <n v="10"/>
    <d v="2025-10-22T00:00:00"/>
    <d v="2025-10-15T00:00:00"/>
    <x v="9"/>
    <n v="2025"/>
    <n v="1054500"/>
    <n v="1054500"/>
  </r>
  <r>
    <s v="4000006878"/>
    <s v="76201342-8"/>
    <s v="KNAUF CHILE SPA"/>
    <s v="6701312607"/>
    <s v="ZPCD"/>
    <s v="10"/>
    <x v="0"/>
    <s v="101"/>
    <s v="C004"/>
    <s v="E652"/>
    <n v="1"/>
    <s v="Local"/>
    <x v="0"/>
    <s v="Construccion"/>
    <x v="0"/>
    <s v="430503006"/>
    <s v="1460191"/>
    <s v="CENEFA MULTIFORM ESTÁNDAR 12.5"/>
    <n v="80"/>
    <n v="40"/>
    <s v="UN"/>
    <d v="2025-10-01T00:00:00"/>
    <n v="10"/>
    <d v="2026-01-31T00:00:00"/>
    <d v="2025-10-20T00:00:00"/>
    <x v="9"/>
    <n v="2025"/>
    <n v="1053920"/>
    <n v="526960"/>
  </r>
  <r>
    <s v="4000006878"/>
    <s v="76201342-8"/>
    <s v="KNAUF CHILE SPA"/>
    <s v="6701312607"/>
    <s v="ZPCD"/>
    <s v="20"/>
    <x v="0"/>
    <s v="101"/>
    <s v="C004"/>
    <s v="E652"/>
    <n v="1"/>
    <s v="Local"/>
    <x v="0"/>
    <s v="Construccion"/>
    <x v="0"/>
    <s v="430507002"/>
    <s v="938731"/>
    <s v="SERVICIO FLETE"/>
    <n v="2"/>
    <n v="1"/>
    <s v="UN"/>
    <d v="2025-10-01T00:00:00"/>
    <n v="10"/>
    <d v="2026-01-31T00:00:00"/>
    <d v="2025-10-20T00:00:00"/>
    <x v="9"/>
    <n v="2025"/>
    <n v="116000"/>
    <n v="58000"/>
  </r>
  <r>
    <s v="4000006878"/>
    <s v="76201342-8"/>
    <s v="KNAUF CHILE SPA"/>
    <s v="6701312795"/>
    <s v="ZPCD"/>
    <s v="10"/>
    <x v="0"/>
    <s v="101"/>
    <s v="C004"/>
    <s v="E652"/>
    <n v="1"/>
    <s v="Local"/>
    <x v="0"/>
    <s v="Construccion"/>
    <x v="0"/>
    <s v="430405003"/>
    <s v="1482347"/>
    <s v="TAPA INSPECCIÓN KNAUF 60X60 SNAP LOCK"/>
    <n v="6"/>
    <n v="6"/>
    <s v="UN"/>
    <d v="2025-10-02T00:00:00"/>
    <n v="10"/>
    <d v="2025-10-06T00:00:00"/>
    <d v="2025-10-09T00:00:00"/>
    <x v="9"/>
    <n v="2025"/>
    <n v="201246"/>
    <n v="201246"/>
  </r>
  <r>
    <s v="4000006878"/>
    <s v="76201342-8"/>
    <s v="KNAUF CHILE SPA"/>
    <s v="6701313703"/>
    <s v="ZPCD"/>
    <s v="10"/>
    <x v="0"/>
    <s v="101"/>
    <s v="C004"/>
    <s v="E652"/>
    <n v="1"/>
    <s v="Local"/>
    <x v="0"/>
    <s v="Construccion"/>
    <x v="0"/>
    <s v="430503006"/>
    <s v="1441557"/>
    <s v="PLACA AQUAPANEL RESIDENCIAL 8 1200X2400"/>
    <n v="150"/>
    <n v="150"/>
    <s v="UN"/>
    <d v="2025-10-03T00:00:00"/>
    <n v="10"/>
    <d v="2025-12-17T00:00:00"/>
    <d v="2025-10-10T00:00:00"/>
    <x v="9"/>
    <n v="2025"/>
    <n v="2981550"/>
    <n v="2981550"/>
  </r>
  <r>
    <s v="4000006878"/>
    <s v="76201342-8"/>
    <s v="KNAUF CHILE SPA"/>
    <s v="6701313703"/>
    <s v="ZPCD"/>
    <s v="20"/>
    <x v="0"/>
    <s v="101"/>
    <s v="C004"/>
    <s v="E652"/>
    <n v="1"/>
    <s v="Local"/>
    <x v="0"/>
    <s v="Construccion"/>
    <x v="0"/>
    <s v="430507002"/>
    <s v="938731"/>
    <s v="SERVICIO FLETE"/>
    <n v="150"/>
    <n v="150"/>
    <s v="UN"/>
    <d v="2025-10-03T00:00:00"/>
    <n v="10"/>
    <d v="2025-12-17T00:00:00"/>
    <d v="2025-10-10T00:00:00"/>
    <x v="9"/>
    <n v="2025"/>
    <n v="34050"/>
    <n v="34050"/>
  </r>
  <r>
    <s v="4000006878"/>
    <s v="76201342-8"/>
    <s v="KNAUF CHILE SPA"/>
    <s v="6701316512"/>
    <s v="ZPCD"/>
    <s v="10"/>
    <x v="0"/>
    <s v="101"/>
    <s v="C004"/>
    <s v="E592"/>
    <n v="1"/>
    <s v="Local"/>
    <x v="0"/>
    <s v="Construccion"/>
    <x v="0"/>
    <s v="430503006"/>
    <s v="1296892"/>
    <s v="PLACA IMPACT 12.5X1200X2400 BR FR"/>
    <n v="100"/>
    <n v="100"/>
    <s v="UN"/>
    <d v="2025-10-06T00:00:00"/>
    <n v="10"/>
    <d v="2025-10-07T00:00:00"/>
    <d v="2025-10-21T00:00:00"/>
    <x v="9"/>
    <n v="2025"/>
    <n v="1200100"/>
    <n v="1200100"/>
  </r>
  <r>
    <s v="4000006878"/>
    <s v="76201342-8"/>
    <s v="KNAUF CHILE SPA"/>
    <s v="6701316512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150"/>
    <n v="150"/>
    <s v="UN"/>
    <d v="2025-10-06T00:00:00"/>
    <n v="10"/>
    <d v="2025-10-07T00:00:00"/>
    <d v="2025-10-20T00:00:00"/>
    <x v="9"/>
    <n v="2025"/>
    <n v="2118000"/>
    <n v="2118000"/>
  </r>
  <r>
    <s v="4000006878"/>
    <s v="76201342-8"/>
    <s v="KNAUF CHILE SPA"/>
    <s v="6701316512"/>
    <s v="ZPCD"/>
    <s v="30"/>
    <x v="0"/>
    <s v="101"/>
    <s v="C004"/>
    <s v="E592"/>
    <n v="1"/>
    <s v="Local"/>
    <x v="0"/>
    <s v="Construccion"/>
    <x v="0"/>
    <s v="430503006"/>
    <s v="1246703"/>
    <s v="AQUAPANEL PL OUTDOOR 12.5MM 1.20X2.4"/>
    <n v="50"/>
    <n v="50"/>
    <s v="UN"/>
    <d v="2025-10-06T00:00:00"/>
    <n v="10"/>
    <d v="2025-10-07T00:00:00"/>
    <d v="2025-10-20T00:00:00"/>
    <x v="9"/>
    <n v="2025"/>
    <n v="1431100"/>
    <n v="1431100"/>
  </r>
  <r>
    <s v="4000006878"/>
    <s v="76201342-8"/>
    <s v="KNAUF CHILE SPA"/>
    <s v="6701316512"/>
    <s v="ZPCD"/>
    <s v="40"/>
    <x v="0"/>
    <s v="101"/>
    <s v="C004"/>
    <s v="E592"/>
    <n v="1"/>
    <s v="Local"/>
    <x v="0"/>
    <s v="Construccion"/>
    <x v="0"/>
    <s v="430502003"/>
    <s v="1427081"/>
    <s v="PLACA IMPACT RH 15 1200X2400"/>
    <n v="150"/>
    <n v="150"/>
    <s v="UN"/>
    <d v="2025-10-06T00:00:00"/>
    <n v="10"/>
    <d v="2025-10-07T00:00:00"/>
    <d v="2025-10-20T00:00:00"/>
    <x v="9"/>
    <n v="2025"/>
    <n v="2445300"/>
    <n v="2445300"/>
  </r>
  <r>
    <s v="4000006878"/>
    <s v="76201342-8"/>
    <s v="KNAUF CHILE SPA"/>
    <s v="6701316512"/>
    <s v="ZPCD"/>
    <s v="50"/>
    <x v="0"/>
    <s v="101"/>
    <s v="C004"/>
    <s v="E592"/>
    <n v="1"/>
    <s v="Local"/>
    <x v="0"/>
    <s v="Construccion"/>
    <x v="0"/>
    <s v="430507002"/>
    <s v="938731"/>
    <s v="SERVICIO FLETE"/>
    <n v="450"/>
    <n v="450"/>
    <s v="UN"/>
    <d v="2025-10-06T00:00:00"/>
    <n v="10"/>
    <d v="2025-10-07T00:00:00"/>
    <d v="2025-10-20T00:00:00"/>
    <x v="9"/>
    <n v="2025"/>
    <n v="112500"/>
    <n v="112500"/>
  </r>
  <r>
    <s v="4000006878"/>
    <s v="76201342-8"/>
    <s v="KNAUF CHILE SPA"/>
    <s v="6701330568"/>
    <s v="ZPCD"/>
    <s v="10"/>
    <x v="0"/>
    <s v="101"/>
    <s v="C004"/>
    <s v="E744"/>
    <n v="1"/>
    <s v="Local"/>
    <x v="0"/>
    <s v="Construccion"/>
    <x v="0"/>
    <s v="430502003"/>
    <s v="1413995"/>
    <s v="TAPA INSPECCION KNAUF 60X60 SNAP LOCK"/>
    <n v="10"/>
    <n v="10"/>
    <s v="UN"/>
    <d v="2025-10-08T00:00:00"/>
    <n v="10"/>
    <d v="2025-10-09T00:00:00"/>
    <d v="2025-10-20T00:00:00"/>
    <x v="9"/>
    <n v="2025"/>
    <n v="316780"/>
    <n v="316780"/>
  </r>
  <r>
    <s v="4000006878"/>
    <s v="76201342-8"/>
    <s v="KNAUF CHILE SPA"/>
    <s v="6701330568"/>
    <s v="ZPCD"/>
    <s v="20"/>
    <x v="0"/>
    <s v="101"/>
    <s v="C004"/>
    <s v="E744"/>
    <n v="1"/>
    <s v="Local"/>
    <x v="0"/>
    <s v="Construccion"/>
    <x v="0"/>
    <s v="430507002"/>
    <s v="938731"/>
    <s v="SERVICIO FLETE"/>
    <n v="1"/>
    <n v="1"/>
    <s v="UN"/>
    <d v="2025-10-08T00:00:00"/>
    <n v="10"/>
    <d v="2025-10-09T00:00:00"/>
    <d v="2025-10-20T00:00:00"/>
    <x v="9"/>
    <n v="2025"/>
    <n v="57800"/>
    <n v="57800"/>
  </r>
  <r>
    <s v="4000006878"/>
    <s v="76201342-8"/>
    <s v="KNAUF CHILE SPA"/>
    <s v="670133797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10T00:00:00"/>
    <n v="10"/>
    <d v="2025-10-10T00:00:00"/>
    <d v="2025-10-14T00:00:00"/>
    <x v="9"/>
    <n v="2025"/>
    <n v="423081"/>
    <n v="423081"/>
  </r>
  <r>
    <s v="4000006878"/>
    <s v="76201342-8"/>
    <s v="KNAUF CHILE SPA"/>
    <s v="6701337979"/>
    <s v="ZPCD"/>
    <s v="10"/>
    <x v="0"/>
    <s v="101"/>
    <s v="C004"/>
    <s v="E592"/>
    <n v="1"/>
    <s v="Local"/>
    <x v="0"/>
    <s v="Construccion"/>
    <x v="0"/>
    <s v="430507002"/>
    <s v="938731"/>
    <s v="SERVICIO FLETE"/>
    <n v="1"/>
    <n v="1"/>
    <s v="UN"/>
    <d v="2025-10-10T00:00:00"/>
    <n v="10"/>
    <d v="2025-10-10T00:00:00"/>
    <d v="2025-10-28T00:00:00"/>
    <x v="9"/>
    <n v="2025"/>
    <n v="45000"/>
    <n v="45000"/>
  </r>
  <r>
    <s v="4000006878"/>
    <s v="76201342-8"/>
    <s v="KNAUF CHILE SPA"/>
    <s v="670134032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9"/>
    <n v="0"/>
    <s v="UN"/>
    <d v="2025-10-09T00:00:00"/>
    <n v="10"/>
    <d v="2025-10-09T00:00:00"/>
    <m/>
    <x v="9"/>
    <n v="2025"/>
    <n v="413748"/>
    <n v="0"/>
  </r>
  <r>
    <s v="4000006878"/>
    <s v="76201342-8"/>
    <s v="KNAUF CHILE SPA"/>
    <s v="6701340321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9"/>
    <n v="0"/>
    <s v="UN"/>
    <d v="2025-10-09T00:00:00"/>
    <n v="10"/>
    <d v="2025-10-09T00:00:00"/>
    <m/>
    <x v="9"/>
    <n v="2025"/>
    <n v="423081"/>
    <n v="0"/>
  </r>
  <r>
    <s v="4000006878"/>
    <s v="76201342-8"/>
    <s v="KNAUF CHILE SPA"/>
    <s v="6701340831"/>
    <s v="ZPCD"/>
    <s v="10"/>
    <x v="0"/>
    <s v="101"/>
    <s v="C004"/>
    <s v="E510"/>
    <n v="1"/>
    <s v="Local"/>
    <x v="1"/>
    <s v="Ferreteria"/>
    <x v="0"/>
    <s v="130211005"/>
    <s v="1366503"/>
    <s v="AQUAPANEL TORNILLO MAXI TB 25MM"/>
    <n v="32"/>
    <n v="32"/>
    <s v="UN"/>
    <d v="2025-10-09T00:00:00"/>
    <n v="10"/>
    <d v="2025-10-10T00:00:00"/>
    <d v="2025-10-13T00:00:00"/>
    <x v="9"/>
    <n v="2025"/>
    <n v="360928"/>
    <n v="360928"/>
  </r>
  <r>
    <s v="4000006878"/>
    <s v="76201342-8"/>
    <s v="KNAUF CHILE SPA"/>
    <s v="6701340831"/>
    <s v="ZPCD"/>
    <s v="20"/>
    <x v="0"/>
    <s v="101"/>
    <s v="C004"/>
    <s v="E510"/>
    <n v="1"/>
    <s v="Local"/>
    <x v="1"/>
    <s v="Ferreteria"/>
    <x v="0"/>
    <s v="130211005"/>
    <s v="1366504"/>
    <s v="AQUAPANEL TORNILLO MAXI TB 39MM"/>
    <n v="15"/>
    <n v="15"/>
    <s v="UN"/>
    <d v="2025-10-09T00:00:00"/>
    <n v="10"/>
    <d v="2025-10-10T00:00:00"/>
    <d v="2025-10-13T00:00:00"/>
    <x v="9"/>
    <n v="2025"/>
    <n v="260205"/>
    <n v="260205"/>
  </r>
  <r>
    <s v="4000006878"/>
    <s v="76201342-8"/>
    <s v="KNAUF CHILE SPA"/>
    <s v="6701341497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10T00:00:00"/>
    <n v="10"/>
    <d v="2025-10-10T00:00:00"/>
    <d v="2025-10-14T00:00:00"/>
    <x v="9"/>
    <n v="2025"/>
    <n v="423081"/>
    <n v="423081"/>
  </r>
  <r>
    <s v="4000006878"/>
    <s v="76201342-8"/>
    <s v="KNAUF CHILE SPA"/>
    <s v="6701311593"/>
    <s v="ZPCD"/>
    <s v="10"/>
    <x v="0"/>
    <s v="101"/>
    <s v="C004"/>
    <s v="E652"/>
    <n v="1"/>
    <s v="Local"/>
    <x v="1"/>
    <s v="Ferreteria"/>
    <x v="0"/>
    <s v="430507002"/>
    <s v="1197751"/>
    <s v="GYPLAC 12.5X1.2X2.4 WATHER DEFENSE"/>
    <n v="129"/>
    <n v="129"/>
    <s v="UN"/>
    <d v="2025-09-30T00:00:00"/>
    <n v="9"/>
    <d v="2025-10-03T00:00:00"/>
    <d v="2025-10-08T00:00:00"/>
    <x v="9"/>
    <n v="2025"/>
    <n v="4077045"/>
    <n v="4077045"/>
  </r>
  <r>
    <s v="4000006878"/>
    <s v="76201342-8"/>
    <s v="KNAUF CHILE SPA"/>
    <s v="6701311593"/>
    <s v="ZPCD"/>
    <s v="20"/>
    <x v="0"/>
    <s v="101"/>
    <s v="C004"/>
    <s v="E652"/>
    <n v="1"/>
    <s v="Local"/>
    <x v="1"/>
    <s v="Ferreteria"/>
    <x v="0"/>
    <s v="430204003"/>
    <s v="1246704"/>
    <s v="AQUAPANEL WATER BARRIER 1.50X50"/>
    <n v="5"/>
    <n v="5"/>
    <s v="UN"/>
    <d v="2025-09-30T00:00:00"/>
    <n v="9"/>
    <d v="2025-10-03T00:00:00"/>
    <d v="2025-10-08T00:00:00"/>
    <x v="9"/>
    <n v="2025"/>
    <n v="725885"/>
    <n v="725885"/>
  </r>
  <r>
    <s v="4000006878"/>
    <s v="76201342-8"/>
    <s v="KNAUF CHILE SPA"/>
    <s v="6701311593"/>
    <s v="ZPCD"/>
    <s v="30"/>
    <x v="0"/>
    <s v="101"/>
    <s v="C004"/>
    <s v="E652"/>
    <n v="1"/>
    <s v="Local"/>
    <x v="1"/>
    <s v="Ferreteria"/>
    <x v="0"/>
    <s v="430503001"/>
    <s v="1309477"/>
    <s v="CINTA PARA JUNTAS AQUAPANEL 10CM  50M"/>
    <n v="12"/>
    <n v="12"/>
    <s v="UN"/>
    <d v="2025-09-30T00:00:00"/>
    <n v="9"/>
    <d v="2025-10-03T00:00:00"/>
    <d v="2025-10-08T00:00:00"/>
    <x v="9"/>
    <n v="2025"/>
    <n v="172428"/>
    <n v="172428"/>
  </r>
  <r>
    <s v="4000006878"/>
    <s v="76201342-8"/>
    <s v="KNAUF CHILE SPA"/>
    <s v="6701311593"/>
    <s v="ZPCD"/>
    <s v="40"/>
    <x v="0"/>
    <s v="101"/>
    <s v="C004"/>
    <s v="E652"/>
    <n v="1"/>
    <s v="Local"/>
    <x v="1"/>
    <s v="Ferreteria"/>
    <x v="0"/>
    <s v="430401007"/>
    <s v="1441554"/>
    <s v="MORTERO AQUAPANEL 25 KG"/>
    <n v="10"/>
    <n v="10"/>
    <s v="UN"/>
    <d v="2025-09-30T00:00:00"/>
    <n v="9"/>
    <d v="2025-10-03T00:00:00"/>
    <d v="2025-10-08T00:00:00"/>
    <x v="9"/>
    <n v="2025"/>
    <n v="166550"/>
    <n v="166550"/>
  </r>
  <r>
    <s v="4000006878"/>
    <s v="76201342-8"/>
    <s v="KNAUF CHILE SPA"/>
    <s v="6701311593"/>
    <s v="ZPCD"/>
    <s v="50"/>
    <x v="0"/>
    <s v="101"/>
    <s v="C004"/>
    <s v="E652"/>
    <n v="1"/>
    <s v="Local"/>
    <x v="1"/>
    <s v="Ferreteria"/>
    <x v="0"/>
    <s v="130211005"/>
    <s v="1366503"/>
    <s v="AQUAPANEL TORNILLO MAXI TB 25MM"/>
    <n v="22"/>
    <n v="22"/>
    <s v="UN"/>
    <d v="2025-09-30T00:00:00"/>
    <n v="9"/>
    <d v="2025-10-03T00:00:00"/>
    <d v="2025-10-08T00:00:00"/>
    <x v="9"/>
    <n v="2025"/>
    <n v="248138"/>
    <n v="248138"/>
  </r>
  <r>
    <s v="4000006878"/>
    <s v="76201342-8"/>
    <s v="KNAUF CHILE SPA"/>
    <s v="6701308383"/>
    <s v="ZPCD"/>
    <s v="40"/>
    <x v="0"/>
    <s v="101"/>
    <s v="C004"/>
    <s v="E874"/>
    <n v="1"/>
    <s v="Local"/>
    <x v="0"/>
    <s v="Construccion"/>
    <x v="0"/>
    <s v="430507002"/>
    <s v="938731"/>
    <s v="SERVICIO FLETE"/>
    <n v="450"/>
    <n v="246"/>
    <s v="UN"/>
    <d v="2025-09-24T00:00:00"/>
    <n v="9"/>
    <d v="2025-12-01T00:00:00"/>
    <d v="2025-10-07T00:00:00"/>
    <x v="9"/>
    <n v="2025"/>
    <n v="45000"/>
    <n v="24600"/>
  </r>
  <r>
    <s v="4000006878"/>
    <s v="76201342-8"/>
    <s v="KNAUF CHILE SPA"/>
    <s v="6701308558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7"/>
    <n v="7"/>
    <s v="UN"/>
    <d v="2025-09-24T00:00:00"/>
    <n v="9"/>
    <d v="2025-09-24T00:00:00"/>
    <d v="2025-10-10T00:00:00"/>
    <x v="9"/>
    <n v="2025"/>
    <n v="329063"/>
    <n v="329063"/>
  </r>
  <r>
    <s v="4000006878"/>
    <s v="76201342-8"/>
    <s v="KNAUF CHILE SPA"/>
    <s v="6701308733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7"/>
    <n v="7"/>
    <s v="UN"/>
    <d v="2025-09-24T00:00:00"/>
    <n v="9"/>
    <d v="2025-09-24T00:00:00"/>
    <d v="2025-10-10T00:00:00"/>
    <x v="9"/>
    <n v="2025"/>
    <n v="329063"/>
    <n v="329063"/>
  </r>
  <r>
    <s v="4000006878"/>
    <s v="76201342-8"/>
    <s v="KNAUF CHILE SPA"/>
    <s v="6508644335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0-23T00:00:00"/>
    <n v="10"/>
    <d v="2025-11-06T00:00:00"/>
    <d v="2025-10-27T00:00:00"/>
    <x v="9"/>
    <n v="2025"/>
    <n v="703000"/>
    <n v="703000"/>
  </r>
  <r>
    <s v="4000006878"/>
    <s v="76201342-8"/>
    <s v="KNAUF CHILE SPA"/>
    <s v="6508646020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2"/>
    <n v="2"/>
    <s v="PAL"/>
    <d v="2025-10-24T00:00:00"/>
    <n v="10"/>
    <d v="2025-11-07T00:00:00"/>
    <d v="2025-10-30T00:00:00"/>
    <x v="9"/>
    <n v="2025"/>
    <n v="1464960"/>
    <n v="1464960"/>
  </r>
  <r>
    <s v="4000006878"/>
    <s v="76201342-8"/>
    <s v="KNAUF CHILE SPA"/>
    <s v="6508646020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10"/>
    <n v="10"/>
    <s v="PAL"/>
    <d v="2025-10-24T00:00:00"/>
    <n v="10"/>
    <d v="2025-11-07T00:00:00"/>
    <d v="2025-10-30T00:00:00"/>
    <x v="9"/>
    <n v="2025"/>
    <n v="3513300"/>
    <n v="3513300"/>
  </r>
  <r>
    <s v="4000006878"/>
    <s v="76201342-8"/>
    <s v="KNAUF CHILE SPA"/>
    <s v="6508646020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2"/>
    <n v="2"/>
    <s v="PAL"/>
    <d v="2025-10-24T00:00:00"/>
    <n v="10"/>
    <d v="2025-11-07T00:00:00"/>
    <d v="2025-10-30T00:00:00"/>
    <x v="9"/>
    <n v="2025"/>
    <n v="703000"/>
    <n v="703000"/>
  </r>
  <r>
    <s v="4000006878"/>
    <s v="76201342-8"/>
    <s v="KNAUF CHILE SPA"/>
    <s v="6701347557"/>
    <s v="ZPCD"/>
    <s v="10"/>
    <x v="0"/>
    <s v="101"/>
    <s v="C004"/>
    <s v="E652"/>
    <n v="1"/>
    <s v="Local"/>
    <x v="1"/>
    <s v="Ferreteria"/>
    <x v="0"/>
    <s v="130211005"/>
    <s v="1366503"/>
    <s v="AQUAPANEL TORNILLO MAXI TB 25MM"/>
    <n v="40"/>
    <n v="40"/>
    <s v="UN"/>
    <d v="2025-10-22T00:00:00"/>
    <n v="10"/>
    <d v="2025-12-31T00:00:00"/>
    <d v="2025-10-29T00:00:00"/>
    <x v="9"/>
    <n v="2025"/>
    <n v="451160"/>
    <n v="451160"/>
  </r>
  <r>
    <s v="4000006878"/>
    <s v="76201342-8"/>
    <s v="KNAUF CHILE SPA"/>
    <s v="6701347659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22T00:00:00"/>
    <n v="10"/>
    <d v="2025-10-22T00:00:00"/>
    <d v="2025-10-24T00:00:00"/>
    <x v="9"/>
    <n v="2025"/>
    <n v="423081"/>
    <n v="423081"/>
  </r>
  <r>
    <s v="4000006878"/>
    <s v="76201342-8"/>
    <s v="KNAUF CHILE SPA"/>
    <s v="6701347673"/>
    <s v="ZPCD"/>
    <s v="10"/>
    <x v="0"/>
    <s v="101"/>
    <s v="C004"/>
    <s v="E652"/>
    <n v="1"/>
    <s v="Local"/>
    <x v="0"/>
    <s v="Construccion"/>
    <x v="0"/>
    <s v="430502003"/>
    <s v="1427081"/>
    <s v="PLACA IMPACT RH 15 1200X2400"/>
    <n v="270"/>
    <n v="270"/>
    <s v="UN"/>
    <d v="2025-10-22T00:00:00"/>
    <n v="10"/>
    <d v="2025-12-31T00:00:00"/>
    <d v="2025-10-27T00:00:00"/>
    <x v="9"/>
    <n v="2025"/>
    <n v="3888000"/>
    <n v="3888000"/>
  </r>
  <r>
    <s v="4000006878"/>
    <s v="76201342-8"/>
    <s v="KNAUF CHILE SPA"/>
    <s v="6701347814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22T00:00:00"/>
    <n v="10"/>
    <d v="2025-10-22T00:00:00"/>
    <d v="2025-10-24T00:00:00"/>
    <x v="9"/>
    <n v="2025"/>
    <n v="423081"/>
    <n v="423081"/>
  </r>
  <r>
    <s v="4000006878"/>
    <s v="76201342-8"/>
    <s v="KNAUF CHILE SPA"/>
    <s v="6701348074"/>
    <s v="ZPCD"/>
    <s v="10"/>
    <x v="0"/>
    <s v=""/>
    <s v="C004"/>
    <s v="E517"/>
    <n v="1"/>
    <s v="Local"/>
    <x v="0"/>
    <s v="Construccion"/>
    <x v="0"/>
    <s v="430502003"/>
    <s v="1239233"/>
    <s v="PLACA IMPACT 15MM 120X240"/>
    <n v="11"/>
    <n v="0"/>
    <s v="UN"/>
    <d v="2025-10-23T00:00:00"/>
    <n v="10"/>
    <d v="2025-10-24T00:00:00"/>
    <m/>
    <x v="9"/>
    <n v="2025"/>
    <n v="177463"/>
    <n v="0"/>
  </r>
  <r>
    <s v="4000006878"/>
    <s v="76201342-8"/>
    <s v="KNAUF CHILE SPA"/>
    <s v="6701348074"/>
    <s v="ZPCD"/>
    <s v="20"/>
    <x v="0"/>
    <s v=""/>
    <s v="C004"/>
    <s v="E517"/>
    <n v="1"/>
    <s v="Local"/>
    <x v="0"/>
    <s v="Construccion"/>
    <x v="0"/>
    <s v="430503006"/>
    <s v="1246703"/>
    <s v="AQUAPANEL PL OUTDOOR 12.5MM 1.20X2.4"/>
    <n v="11"/>
    <n v="0"/>
    <s v="UN"/>
    <d v="2025-10-23T00:00:00"/>
    <n v="10"/>
    <d v="2025-10-24T00:00:00"/>
    <m/>
    <x v="9"/>
    <n v="2025"/>
    <n v="382184"/>
    <n v="0"/>
  </r>
  <r>
    <s v="4000006878"/>
    <s v="76201342-8"/>
    <s v="KNAUF CHILE SPA"/>
    <s v="6701348074"/>
    <s v="ZPCD"/>
    <s v="30"/>
    <x v="0"/>
    <s v=""/>
    <s v="C004"/>
    <s v="E517"/>
    <n v="1"/>
    <s v="Local"/>
    <x v="0"/>
    <s v="Construccion"/>
    <x v="0"/>
    <s v="430401007"/>
    <s v="1246707"/>
    <s v="AQUAPANEL MORTERO SUP. BLANCO 25KG"/>
    <n v="4"/>
    <n v="0"/>
    <s v="UN"/>
    <d v="2025-10-23T00:00:00"/>
    <n v="10"/>
    <d v="2025-10-24T00:00:00"/>
    <m/>
    <x v="9"/>
    <n v="2025"/>
    <n v="80772"/>
    <n v="0"/>
  </r>
  <r>
    <s v="4000006878"/>
    <s v="76201342-8"/>
    <s v="KNAUF CHILE SPA"/>
    <s v="6701348074"/>
    <s v="ZPCD"/>
    <s v="40"/>
    <x v="0"/>
    <s v=""/>
    <s v="C004"/>
    <s v="E517"/>
    <n v="1"/>
    <s v="Local"/>
    <x v="0"/>
    <s v="Construccion"/>
    <x v="0"/>
    <s v="430503001"/>
    <s v="1246706"/>
    <s v="AQUAPANEL CINTA EXT. 0.10X50"/>
    <n v="2"/>
    <n v="0"/>
    <s v="UN"/>
    <d v="2025-10-23T00:00:00"/>
    <n v="10"/>
    <d v="2025-10-24T00:00:00"/>
    <m/>
    <x v="9"/>
    <n v="2025"/>
    <n v="34844"/>
    <n v="0"/>
  </r>
  <r>
    <s v="4000006878"/>
    <s v="76201342-8"/>
    <s v="KNAUF CHILE SPA"/>
    <s v="6701348074"/>
    <s v="ZPCD"/>
    <s v="50"/>
    <x v="0"/>
    <s v=""/>
    <s v="C004"/>
    <s v="E517"/>
    <n v="1"/>
    <s v="Local"/>
    <x v="0"/>
    <s v="Construccion"/>
    <x v="0"/>
    <s v="430507002"/>
    <s v="938731"/>
    <s v="SERVICIO FLETE"/>
    <n v="1"/>
    <n v="0"/>
    <s v="UN"/>
    <d v="2025-10-23T00:00:00"/>
    <n v="10"/>
    <d v="2025-10-24T00:00:00"/>
    <m/>
    <x v="9"/>
    <n v="2025"/>
    <n v="75000"/>
    <n v="0"/>
  </r>
  <r>
    <s v="4000006878"/>
    <s v="76201342-8"/>
    <s v="KNAUF CHILE SPA"/>
    <s v="6701343856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70"/>
    <n v="170"/>
    <s v="UN"/>
    <d v="2025-10-14T00:00:00"/>
    <n v="10"/>
    <d v="2025-12-29T00:00:00"/>
    <d v="2025-10-21T00:00:00"/>
    <x v="9"/>
    <n v="2025"/>
    <n v="5061070"/>
    <n v="5061070"/>
  </r>
  <r>
    <s v="4000006878"/>
    <s v="76201342-8"/>
    <s v="KNAUF CHILE SPA"/>
    <s v="6508633968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0-16T00:00:00"/>
    <n v="10"/>
    <d v="2025-10-29T00:00:00"/>
    <d v="2025-10-23T00:00:00"/>
    <x v="9"/>
    <n v="2025"/>
    <n v="702660"/>
    <n v="702660"/>
  </r>
  <r>
    <s v="4000006878"/>
    <s v="76201342-8"/>
    <s v="KNAUF CHILE SPA"/>
    <s v="6508633968"/>
    <s v="ZPMC"/>
    <s v="20"/>
    <x v="1"/>
    <s v="101"/>
    <s v="C004"/>
    <s v="E843"/>
    <n v="1"/>
    <s v="Local"/>
    <x v="0"/>
    <s v="Construccion"/>
    <x v="0"/>
    <s v="430506002"/>
    <s v="1347337"/>
    <s v="MASILLA READYMAS FIX AND FINISH 1.5KG"/>
    <n v="2"/>
    <n v="2"/>
    <s v="CS"/>
    <d v="2025-10-16T00:00:00"/>
    <n v="10"/>
    <d v="2025-10-29T00:00:00"/>
    <d v="2025-10-23T00:00:00"/>
    <x v="9"/>
    <n v="2025"/>
    <n v="46400"/>
    <n v="46400"/>
  </r>
  <r>
    <s v="4000006878"/>
    <s v="76201342-8"/>
    <s v="KNAUF CHILE SPA"/>
    <s v="6508633969"/>
    <s v="ZPMC"/>
    <s v="10"/>
    <x v="1"/>
    <s v="101"/>
    <s v="C004"/>
    <s v="E874"/>
    <n v="1"/>
    <s v="Local"/>
    <x v="0"/>
    <s v="Construccion"/>
    <x v="0"/>
    <s v="430506002"/>
    <s v="1347335"/>
    <s v="VP YESO REPARED FIX AND FINISH 1.5KG"/>
    <n v="2"/>
    <n v="2"/>
    <s v="CS"/>
    <d v="2025-10-16T00:00:00"/>
    <n v="10"/>
    <d v="2025-10-29T00:00:00"/>
    <d v="2025-10-22T00:00:00"/>
    <x v="9"/>
    <n v="2025"/>
    <n v="35200"/>
    <n v="35200"/>
  </r>
  <r>
    <s v="4000006878"/>
    <s v="76201342-8"/>
    <s v="KNAUF CHILE SPA"/>
    <s v="6508633969"/>
    <s v="ZPMC"/>
    <s v="20"/>
    <x v="1"/>
    <s v="101"/>
    <s v="C004"/>
    <s v="E874"/>
    <n v="1"/>
    <s v="Local"/>
    <x v="0"/>
    <s v="Construccion"/>
    <x v="0"/>
    <s v="430506002"/>
    <s v="1347336"/>
    <s v="VP MASILLA JOINTFILLER FIX &amp;FINISH 1.5KG"/>
    <n v="2"/>
    <n v="2"/>
    <s v="CS"/>
    <d v="2025-10-16T00:00:00"/>
    <n v="10"/>
    <d v="2025-10-29T00:00:00"/>
    <d v="2025-10-22T00:00:00"/>
    <x v="9"/>
    <n v="2025"/>
    <n v="37728"/>
    <n v="37728"/>
  </r>
  <r>
    <s v="4000006878"/>
    <s v="76201342-8"/>
    <s v="KNAUF CHILE SPA"/>
    <s v="6701295648"/>
    <s v="ZPCD"/>
    <s v="10"/>
    <x v="0"/>
    <s v="101"/>
    <s v="C004"/>
    <s v="E652"/>
    <n v="1"/>
    <s v="Local"/>
    <x v="0"/>
    <s v="Construccion"/>
    <x v="0"/>
    <s v="130211005"/>
    <s v="1366504"/>
    <s v="AQUAPANEL TORNILLO MAXI TB 39MM"/>
    <n v="54"/>
    <n v="54"/>
    <s v="UN"/>
    <d v="2025-08-29T00:00:00"/>
    <n v="8"/>
    <d v="2025-11-28T00:00:00"/>
    <d v="2025-10-06T00:00:00"/>
    <x v="9"/>
    <n v="2025"/>
    <n v="889650"/>
    <n v="889650"/>
  </r>
  <r>
    <s v="4000006878"/>
    <s v="76201342-8"/>
    <s v="KNAUF CHILE SPA"/>
    <s v="6701295648"/>
    <s v="ZPCD"/>
    <s v="20"/>
    <x v="0"/>
    <s v="101"/>
    <s v="C004"/>
    <s v="E652"/>
    <n v="1"/>
    <s v="Local"/>
    <x v="0"/>
    <s v="Construccion"/>
    <x v="0"/>
    <s v="430201001"/>
    <s v="1246708"/>
    <s v="AQUAPANEL MALLA SUP. OUT /IND 1X50"/>
    <n v="11"/>
    <n v="11"/>
    <s v="UN"/>
    <d v="2025-08-29T00:00:00"/>
    <n v="8"/>
    <d v="2025-11-28T00:00:00"/>
    <d v="2025-10-06T00:00:00"/>
    <x v="9"/>
    <n v="2025"/>
    <n v="794959"/>
    <n v="794959"/>
  </r>
  <r>
    <s v="4000006878"/>
    <s v="76201342-8"/>
    <s v="KNAUF CHILE SPA"/>
    <s v="6701295648"/>
    <s v="ZPCD"/>
    <s v="30"/>
    <x v="0"/>
    <s v="101"/>
    <s v="C004"/>
    <s v="E652"/>
    <n v="1"/>
    <s v="Local"/>
    <x v="0"/>
    <s v="Construccion"/>
    <x v="0"/>
    <s v="430401007"/>
    <s v="1441554"/>
    <s v="MORTERO AQUAPANEL 25 KG"/>
    <n v="26"/>
    <n v="26"/>
    <s v="UN"/>
    <d v="2025-08-29T00:00:00"/>
    <n v="8"/>
    <d v="2025-11-28T00:00:00"/>
    <d v="2025-10-06T00:00:00"/>
    <x v="9"/>
    <n v="2025"/>
    <n v="411294"/>
    <n v="411294"/>
  </r>
  <r>
    <s v="4000006878"/>
    <s v="76201342-8"/>
    <s v="KNAUF CHILE SPA"/>
    <s v="6701272169"/>
    <s v="ZPCD"/>
    <s v="10"/>
    <x v="0"/>
    <s v=""/>
    <s v="C004"/>
    <s v="E652"/>
    <n v="1"/>
    <s v="Local"/>
    <x v="0"/>
    <s v="Construccion"/>
    <x v="0"/>
    <s v="430401007"/>
    <s v="1246707"/>
    <s v="AQUAPANEL MORTERO SUP. BLANCO 25KG"/>
    <n v="126"/>
    <n v="0"/>
    <s v="UN"/>
    <d v="2025-07-24T00:00:00"/>
    <n v="7"/>
    <d v="2025-10-24T00:00:00"/>
    <m/>
    <x v="9"/>
    <n v="2025"/>
    <n v="2098530"/>
    <n v="0"/>
  </r>
  <r>
    <s v="4000006878"/>
    <s v="76201342-8"/>
    <s v="KNAUF CHILE SPA"/>
    <s v="6701272169"/>
    <s v="ZPCD"/>
    <s v="20"/>
    <x v="0"/>
    <s v=""/>
    <s v="C004"/>
    <s v="E652"/>
    <n v="1"/>
    <s v="Local"/>
    <x v="0"/>
    <s v="Construccion"/>
    <x v="0"/>
    <s v="430507002"/>
    <s v="938731"/>
    <s v="SERVICIO FLETE"/>
    <n v="126"/>
    <n v="0"/>
    <s v="UN"/>
    <d v="2025-07-24T00:00:00"/>
    <n v="7"/>
    <d v="2025-10-24T00:00:00"/>
    <m/>
    <x v="9"/>
    <n v="2025"/>
    <n v="28350"/>
    <n v="0"/>
  </r>
  <r>
    <s v="4000006878"/>
    <s v="76201342-8"/>
    <s v="KNAUF CHILE SPA"/>
    <s v="6701272169"/>
    <s v="ZPCD"/>
    <s v="30"/>
    <x v="0"/>
    <s v=""/>
    <s v="C004"/>
    <s v="E652"/>
    <n v="1"/>
    <s v="Local"/>
    <x v="0"/>
    <s v="Construccion"/>
    <x v="0"/>
    <s v="430503001"/>
    <s v="1309477"/>
    <s v="CINTA PARA JUNTAS AQUAPANEL 10CM  50M"/>
    <n v="24"/>
    <n v="0"/>
    <s v="UN"/>
    <d v="2025-07-24T00:00:00"/>
    <n v="7"/>
    <d v="2025-10-24T00:00:00"/>
    <m/>
    <x v="9"/>
    <n v="2025"/>
    <n v="344856"/>
    <n v="0"/>
  </r>
  <r>
    <s v="4000006878"/>
    <s v="76201342-8"/>
    <s v="KNAUF CHILE SPA"/>
    <s v="6701272169"/>
    <s v="ZPCD"/>
    <s v="40"/>
    <x v="0"/>
    <s v=""/>
    <s v="C004"/>
    <s v="E652"/>
    <n v="1"/>
    <s v="Local"/>
    <x v="0"/>
    <s v="Construccion"/>
    <x v="0"/>
    <s v="430507002"/>
    <s v="938731"/>
    <s v="SERVICIO FLETE"/>
    <n v="24"/>
    <n v="0"/>
    <s v="UN"/>
    <d v="2025-07-24T00:00:00"/>
    <n v="7"/>
    <d v="2025-10-24T00:00:00"/>
    <m/>
    <x v="9"/>
    <n v="2025"/>
    <n v="120"/>
    <n v="0"/>
  </r>
  <r>
    <s v="4000006878"/>
    <s v="76201342-8"/>
    <s v="KNAUF CHILE SPA"/>
    <s v="6701271335"/>
    <s v="ZPCD"/>
    <s v="10"/>
    <x v="0"/>
    <s v="101"/>
    <s v="C004"/>
    <s v="E652"/>
    <n v="1"/>
    <s v="Local"/>
    <x v="0"/>
    <s v="Construccion"/>
    <x v="0"/>
    <s v="430203001"/>
    <s v="1487572"/>
    <s v="LANA VIDRI ROLLO LIBRE HR 100MMX0.60X18M"/>
    <n v="582"/>
    <n v="582"/>
    <s v="UN"/>
    <d v="2025-07-22T00:00:00"/>
    <n v="7"/>
    <d v="2025-07-23T00:00:00"/>
    <d v="2025-10-14T00:00:00"/>
    <x v="9"/>
    <n v="2025"/>
    <n v="19785672"/>
    <n v="19785672"/>
  </r>
  <r>
    <s v="4000006878"/>
    <s v="76201342-8"/>
    <s v="KNAUF CHILE SPA"/>
    <s v="6701264255"/>
    <s v="ZPCD"/>
    <s v="30"/>
    <x v="0"/>
    <s v="101"/>
    <s v="C004"/>
    <s v="E652"/>
    <n v="1"/>
    <s v="Local"/>
    <x v="0"/>
    <s v="Construccion"/>
    <x v="0"/>
    <s v="430503006"/>
    <s v="1232378"/>
    <s v="PLANCHA YESO CARTON ST BR 10MMX1.2X2.4M"/>
    <n v="28"/>
    <n v="0"/>
    <s v="UN"/>
    <d v="2025-07-11T00:00:00"/>
    <n v="7"/>
    <d v="2025-10-10T00:00:00"/>
    <m/>
    <x v="9"/>
    <n v="2025"/>
    <n v="105280"/>
    <n v="0"/>
  </r>
  <r>
    <s v="4000006878"/>
    <s v="76201342-8"/>
    <s v="KNAUF CHILE SPA"/>
    <s v="6701264255"/>
    <s v="ZPCD"/>
    <s v="40"/>
    <x v="0"/>
    <s v="101"/>
    <s v="C004"/>
    <s v="E652"/>
    <n v="1"/>
    <s v="Local"/>
    <x v="0"/>
    <s v="Construccion"/>
    <x v="0"/>
    <s v="430507002"/>
    <s v="938731"/>
    <s v="SERVICIO FLETE"/>
    <n v="28"/>
    <n v="0"/>
    <s v="UN"/>
    <d v="2025-07-11T00:00:00"/>
    <n v="7"/>
    <d v="2025-10-10T00:00:00"/>
    <m/>
    <x v="9"/>
    <n v="2025"/>
    <n v="3724"/>
    <n v="0"/>
  </r>
  <r>
    <s v="4000006878"/>
    <s v="76201342-8"/>
    <s v="KNAUF CHILE SPA"/>
    <s v="6701264255"/>
    <s v="ZPCD"/>
    <s v="50"/>
    <x v="0"/>
    <s v="101"/>
    <s v="C004"/>
    <s v="E652"/>
    <n v="1"/>
    <s v="Local"/>
    <x v="0"/>
    <s v="Construccion"/>
    <x v="0"/>
    <s v="430503006"/>
    <s v="1232377"/>
    <s v="PLANCHA YESO CARTON RH 12.5X1200X2400MM"/>
    <n v="28"/>
    <n v="0"/>
    <s v="UN"/>
    <d v="2025-07-11T00:00:00"/>
    <n v="7"/>
    <d v="2025-10-10T00:00:00"/>
    <m/>
    <x v="9"/>
    <n v="2025"/>
    <n v="227164"/>
    <n v="0"/>
  </r>
  <r>
    <s v="4000006878"/>
    <s v="76201342-8"/>
    <s v="KNAUF CHILE SPA"/>
    <s v="6701264255"/>
    <s v="ZPCD"/>
    <s v="60"/>
    <x v="0"/>
    <s v="101"/>
    <s v="C004"/>
    <s v="E652"/>
    <n v="1"/>
    <s v="Local"/>
    <x v="0"/>
    <s v="Construccion"/>
    <x v="0"/>
    <s v="430507002"/>
    <s v="938731"/>
    <s v="SERVICIO FLETE"/>
    <n v="28"/>
    <n v="0"/>
    <s v="UN"/>
    <d v="2025-07-11T00:00:00"/>
    <n v="7"/>
    <d v="2025-10-10T00:00:00"/>
    <m/>
    <x v="9"/>
    <n v="2025"/>
    <n v="6020"/>
    <n v="0"/>
  </r>
  <r>
    <s v="4000006878"/>
    <s v="76201342-8"/>
    <s v="KNAUF CHILE SPA"/>
    <s v="6701303917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26"/>
    <n v="126"/>
    <s v="UN"/>
    <d v="2025-09-11T00:00:00"/>
    <n v="9"/>
    <d v="2025-12-05T00:00:00"/>
    <d v="2025-10-13T00:00:00"/>
    <x v="9"/>
    <n v="2025"/>
    <n v="2124738"/>
    <n v="2124738"/>
  </r>
  <r>
    <s v="4000006878"/>
    <s v="76201342-8"/>
    <s v="KNAUF CHILE SPA"/>
    <s v="6701303917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9-11T00:00:00"/>
    <n v="9"/>
    <d v="2025-12-05T00:00:00"/>
    <d v="2025-10-13T00:00:00"/>
    <x v="9"/>
    <n v="2025"/>
    <n v="58000"/>
    <n v="58000"/>
  </r>
  <r>
    <s v="4000006878"/>
    <s v="76201342-8"/>
    <s v="KNAUF CHILE SPA"/>
    <s v="6701305039"/>
    <s v="ZPCD"/>
    <s v="10"/>
    <x v="0"/>
    <s v="101"/>
    <s v="C004"/>
    <s v="E652"/>
    <n v="1"/>
    <s v="Local"/>
    <x v="0"/>
    <s v="Construccion"/>
    <x v="0"/>
    <s v="430507002"/>
    <s v="1458175"/>
    <s v="PERFIL PRINCIPAL 9/16 3050 MM LD 25"/>
    <n v="2"/>
    <n v="1"/>
    <s v="UN"/>
    <d v="2025-09-15T00:00:00"/>
    <n v="9"/>
    <d v="2025-12-31T00:00:00"/>
    <d v="2025-10-28T00:00:00"/>
    <x v="9"/>
    <n v="2025"/>
    <n v="162970"/>
    <n v="81485"/>
  </r>
  <r>
    <s v="4000006878"/>
    <s v="76201342-8"/>
    <s v="KNAUF CHILE SPA"/>
    <s v="6701305039"/>
    <s v="ZPCD"/>
    <s v="20"/>
    <x v="0"/>
    <s v="101"/>
    <s v="C004"/>
    <s v="E652"/>
    <n v="1"/>
    <s v="Local"/>
    <x v="0"/>
    <s v="Construccion"/>
    <x v="0"/>
    <s v="430502002"/>
    <s v="1266136"/>
    <s v="PERIMETRAL 20/20 3000MM 50"/>
    <n v="2"/>
    <n v="2"/>
    <s v="UN"/>
    <d v="2025-09-15T00:00:00"/>
    <n v="9"/>
    <d v="2025-12-31T00:00:00"/>
    <d v="2025-10-28T00:00:00"/>
    <x v="9"/>
    <n v="2025"/>
    <n v="195174"/>
    <n v="195174"/>
  </r>
  <r>
    <s v="4000006878"/>
    <s v="76201342-8"/>
    <s v="KNAUF CHILE SPA"/>
    <s v="6701305044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20"/>
    <n v="20"/>
    <s v="UN"/>
    <d v="2025-09-15T00:00:00"/>
    <n v="9"/>
    <d v="2025-09-16T00:00:00"/>
    <d v="2025-10-07T00:00:00"/>
    <x v="9"/>
    <n v="2025"/>
    <n v="572440"/>
    <n v="572440"/>
  </r>
  <r>
    <s v="4000006878"/>
    <s v="76201342-8"/>
    <s v="KNAUF CHILE SPA"/>
    <s v="6701305044"/>
    <s v="ZPCD"/>
    <s v="20"/>
    <x v="0"/>
    <s v="101"/>
    <s v="C004"/>
    <s v="E592"/>
    <n v="1"/>
    <s v="Local"/>
    <x v="0"/>
    <s v="Construccion"/>
    <x v="0"/>
    <s v="430503006"/>
    <s v="1296892"/>
    <s v="PLACA IMPACT 12.5X1200X2400 BR FR"/>
    <n v="271"/>
    <n v="271"/>
    <s v="UN"/>
    <d v="2025-09-15T00:00:00"/>
    <n v="9"/>
    <d v="2025-09-16T00:00:00"/>
    <d v="2025-10-07T00:00:00"/>
    <x v="9"/>
    <n v="2025"/>
    <n v="3260672"/>
    <n v="3260672"/>
  </r>
  <r>
    <s v="4000006878"/>
    <s v="76201342-8"/>
    <s v="KNAUF CHILE SPA"/>
    <s v="6701303113"/>
    <s v="ZPCD"/>
    <s v="20"/>
    <x v="0"/>
    <s v="101"/>
    <s v="C004"/>
    <s v="E652"/>
    <n v="1"/>
    <s v="Local"/>
    <x v="0"/>
    <s v="Construccion"/>
    <x v="0"/>
    <s v="430503006"/>
    <s v="1232496"/>
    <s v="PL YESO CARTON RH 15X1200X2400MM KNAUF"/>
    <n v="34"/>
    <n v="34"/>
    <s v="UN"/>
    <d v="2025-09-10T00:00:00"/>
    <n v="9"/>
    <d v="2025-12-10T00:00:00"/>
    <d v="2025-10-21T00:00:00"/>
    <x v="9"/>
    <n v="2025"/>
    <n v="299200"/>
    <n v="299200"/>
  </r>
  <r>
    <s v="4000006878"/>
    <s v="76201342-8"/>
    <s v="KNAUF CHILE SPA"/>
    <s v="6701303113"/>
    <s v="ZPCD"/>
    <s v="30"/>
    <x v="0"/>
    <s v="101"/>
    <s v="C004"/>
    <s v="E652"/>
    <n v="1"/>
    <s v="Local"/>
    <x v="0"/>
    <s v="Construccion"/>
    <x v="0"/>
    <s v="430503006"/>
    <s v="1246703"/>
    <s v="AQUAPANEL PL OUTDOOR 12.5MM 1.20X2.4"/>
    <n v="34"/>
    <n v="34"/>
    <s v="UN"/>
    <d v="2025-09-10T00:00:00"/>
    <n v="9"/>
    <d v="2025-12-10T00:00:00"/>
    <d v="2025-10-20T00:00:00"/>
    <x v="9"/>
    <n v="2025"/>
    <n v="1041828"/>
    <n v="1041828"/>
  </r>
  <r>
    <s v="4000006878"/>
    <s v="76201342-8"/>
    <s v="KNAUF CHILE SPA"/>
    <s v="6701303113"/>
    <s v="ZPCD"/>
    <s v="40"/>
    <x v="0"/>
    <s v="101"/>
    <s v="C004"/>
    <s v="E652"/>
    <n v="1"/>
    <s v="Local"/>
    <x v="0"/>
    <s v="Construccion"/>
    <x v="0"/>
    <s v="430503001"/>
    <s v="1441555"/>
    <s v="CINTA DE JUNTAS AQUAPANEL"/>
    <n v="11"/>
    <n v="11"/>
    <s v="UN"/>
    <d v="2025-09-10T00:00:00"/>
    <n v="9"/>
    <d v="2025-12-10T00:00:00"/>
    <d v="2025-10-21T00:00:00"/>
    <x v="9"/>
    <n v="2025"/>
    <n v="155485"/>
    <n v="155485"/>
  </r>
  <r>
    <s v="4000006878"/>
    <s v="76201342-8"/>
    <s v="KNAUF CHILE SPA"/>
    <s v="6701303113"/>
    <s v="ZPCD"/>
    <s v="50"/>
    <x v="0"/>
    <s v="101"/>
    <s v="C004"/>
    <s v="E652"/>
    <n v="1"/>
    <s v="Local"/>
    <x v="0"/>
    <s v="Construccion"/>
    <x v="0"/>
    <s v="430401007"/>
    <s v="1441554"/>
    <s v="MORTERO AQUAPANEL 25 KG"/>
    <n v="2"/>
    <n v="2"/>
    <s v="UN"/>
    <d v="2025-09-10T00:00:00"/>
    <n v="9"/>
    <d v="2025-12-10T00:00:00"/>
    <d v="2025-10-21T00:00:00"/>
    <x v="9"/>
    <n v="2025"/>
    <n v="32766"/>
    <n v="32766"/>
  </r>
  <r>
    <s v="4000006878"/>
    <s v="76201342-8"/>
    <s v="KNAUF CHILE SPA"/>
    <s v="6701303113"/>
    <s v="ZPCD"/>
    <s v="60"/>
    <x v="0"/>
    <s v="101"/>
    <s v="C004"/>
    <s v="E652"/>
    <n v="1"/>
    <s v="Local"/>
    <x v="0"/>
    <s v="Construccion"/>
    <x v="0"/>
    <s v="430503006"/>
    <s v="1230792"/>
    <s v="PL YESO CARTON RH 12.5X1200X2400MM KNAUF"/>
    <n v="168"/>
    <n v="168"/>
    <s v="M2"/>
    <d v="2025-09-10T00:00:00"/>
    <n v="9"/>
    <d v="2025-12-10T00:00:00"/>
    <d v="2025-10-21T00:00:00"/>
    <x v="9"/>
    <n v="2025"/>
    <n v="1362984"/>
    <n v="1362984"/>
  </r>
  <r>
    <s v="4000006878"/>
    <s v="76201342-8"/>
    <s v="KNAUF CHILE SPA"/>
    <s v="6701303113"/>
    <s v="ZPCD"/>
    <s v="7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9-10T00:00:00"/>
    <n v="9"/>
    <d v="2025-12-10T00:00:00"/>
    <d v="2025-10-21T00:00:00"/>
    <x v="9"/>
    <n v="2025"/>
    <n v="503000"/>
    <n v="503000"/>
  </r>
  <r>
    <s v="4000006878"/>
    <s v="76201342-8"/>
    <s v="KNAUF CHILE SPA"/>
    <s v="6701255879"/>
    <s v="ZPCD"/>
    <s v="90"/>
    <x v="0"/>
    <s v="101"/>
    <s v="C004"/>
    <s v="E652"/>
    <n v="1"/>
    <s v="Local"/>
    <x v="0"/>
    <s v="Construccion"/>
    <x v="0"/>
    <s v="430201001"/>
    <s v="1246708"/>
    <s v="AQUAPANEL MALLA SUP. OUT /IND 1X50"/>
    <n v="57"/>
    <n v="15"/>
    <s v="UN"/>
    <d v="2025-06-26T00:00:00"/>
    <n v="6"/>
    <d v="2025-09-26T00:00:00"/>
    <d v="2025-10-23T00:00:00"/>
    <x v="9"/>
    <n v="2025"/>
    <n v="4337130"/>
    <n v="1141350"/>
  </r>
  <r>
    <s v="4000006878"/>
    <s v="76201342-8"/>
    <s v="KNAUF CHILE SPA"/>
    <s v="6701259584"/>
    <s v="ZPCD"/>
    <s v="10"/>
    <x v="0"/>
    <s v=""/>
    <s v="C004"/>
    <s v="E652"/>
    <n v="1"/>
    <s v="Local"/>
    <x v="0"/>
    <s v="Construccion"/>
    <x v="0"/>
    <s v="430503006"/>
    <s v="1232496"/>
    <s v="PL YESO CARTON RH 15X1200X2400MM KNAUF"/>
    <n v="120"/>
    <n v="0"/>
    <s v="UN"/>
    <d v="2025-07-02T00:00:00"/>
    <n v="7"/>
    <d v="2025-10-03T00:00:00"/>
    <m/>
    <x v="9"/>
    <n v="2025"/>
    <n v="1109040"/>
    <n v="0"/>
  </r>
  <r>
    <s v="4000006878"/>
    <s v="76201342-8"/>
    <s v="KNAUF CHILE SPA"/>
    <s v="6701259584"/>
    <s v="ZPCD"/>
    <s v="20"/>
    <x v="0"/>
    <s v=""/>
    <s v="C004"/>
    <s v="E652"/>
    <n v="1"/>
    <s v="Local"/>
    <x v="0"/>
    <s v="Construccion"/>
    <x v="0"/>
    <s v="430503006"/>
    <s v="1236050"/>
    <s v="PL YESO CARTON ST 15X1200X3000MM KNAUF"/>
    <n v="1200"/>
    <n v="0"/>
    <s v="UN"/>
    <d v="2025-07-02T00:00:00"/>
    <n v="7"/>
    <d v="2025-10-03T00:00:00"/>
    <m/>
    <x v="9"/>
    <n v="2025"/>
    <n v="6870000"/>
    <n v="0"/>
  </r>
  <r>
    <s v="4000006878"/>
    <s v="76201342-8"/>
    <s v="KNAUF CHILE SPA"/>
    <s v="6701259584"/>
    <s v="ZPCD"/>
    <s v="30"/>
    <x v="0"/>
    <s v=""/>
    <s v="C004"/>
    <s v="E652"/>
    <n v="1"/>
    <s v="Local"/>
    <x v="0"/>
    <s v="Construccion"/>
    <x v="0"/>
    <s v="430503006"/>
    <s v="1377723"/>
    <s v="PY POLYPLAC 20MM 1.2X2.4 50"/>
    <n v="740"/>
    <n v="0"/>
    <s v="UN"/>
    <d v="2025-07-02T00:00:00"/>
    <n v="7"/>
    <d v="2025-10-03T00:00:00"/>
    <m/>
    <x v="9"/>
    <n v="2025"/>
    <n v="8430820"/>
    <n v="0"/>
  </r>
  <r>
    <s v="4000006878"/>
    <s v="76201342-8"/>
    <s v="KNAUF CHILE SPA"/>
    <s v="6701259584"/>
    <s v="ZPCD"/>
    <s v="40"/>
    <x v="0"/>
    <s v=""/>
    <s v="C004"/>
    <s v="E652"/>
    <n v="1"/>
    <s v="Local"/>
    <x v="0"/>
    <s v="Construccion"/>
    <x v="0"/>
    <s v="430102005"/>
    <s v="1315155"/>
    <s v="CINTA MALLA 48 MM X 45 M"/>
    <n v="156"/>
    <n v="0"/>
    <s v="UN"/>
    <d v="2025-07-02T00:00:00"/>
    <n v="7"/>
    <d v="2025-10-03T00:00:00"/>
    <m/>
    <x v="9"/>
    <n v="2025"/>
    <n v="248508"/>
    <n v="0"/>
  </r>
  <r>
    <s v="4000006878"/>
    <s v="76201342-8"/>
    <s v="KNAUF CHILE SPA"/>
    <s v="6701259584"/>
    <s v="ZPCD"/>
    <s v="50"/>
    <x v="0"/>
    <s v=""/>
    <s v="C004"/>
    <s v="E652"/>
    <n v="1"/>
    <s v="Local"/>
    <x v="0"/>
    <s v="Construccion"/>
    <x v="0"/>
    <s v="430406005"/>
    <s v="1192673"/>
    <s v="PEGAMENTO POLIGYP 25KG"/>
    <n v="350"/>
    <n v="0"/>
    <s v="UN"/>
    <d v="2025-07-02T00:00:00"/>
    <n v="7"/>
    <d v="2025-10-03T00:00:00"/>
    <m/>
    <x v="9"/>
    <n v="2025"/>
    <n v="3752350"/>
    <n v="0"/>
  </r>
  <r>
    <s v="4000006878"/>
    <s v="76201342-8"/>
    <s v="KNAUF CHILE SPA"/>
    <s v="6701259584"/>
    <s v="ZPCD"/>
    <s v="60"/>
    <x v="0"/>
    <s v=""/>
    <s v="C004"/>
    <s v="E652"/>
    <n v="1"/>
    <s v="Local"/>
    <x v="0"/>
    <s v="Construccion"/>
    <x v="0"/>
    <s v="430203001"/>
    <s v="1252501"/>
    <s v="ROLLO LIBRE HR 60MM 1200X12000MM KNAUF"/>
    <n v="150"/>
    <n v="0"/>
    <s v="UN"/>
    <d v="2025-07-02T00:00:00"/>
    <n v="7"/>
    <d v="2025-10-03T00:00:00"/>
    <m/>
    <x v="9"/>
    <n v="2025"/>
    <n v="4633200"/>
    <n v="0"/>
  </r>
  <r>
    <s v="4000006878"/>
    <s v="76201342-8"/>
    <s v="KNAUF CHILE SPA"/>
    <s v="6701259584"/>
    <s v="ZPCD"/>
    <s v="70"/>
    <x v="0"/>
    <s v=""/>
    <s v="C004"/>
    <s v="E652"/>
    <n v="1"/>
    <s v="Local"/>
    <x v="0"/>
    <s v="Construccion"/>
    <x v="0"/>
    <s v="430503006"/>
    <s v="1441557"/>
    <s v="PLACA AQUAPANEL RESIDENCIAL 8 1200X2400"/>
    <n v="400"/>
    <n v="0"/>
    <s v="UN"/>
    <d v="2025-07-02T00:00:00"/>
    <n v="7"/>
    <d v="2025-10-03T00:00:00"/>
    <m/>
    <x v="9"/>
    <n v="2025"/>
    <n v="7951200"/>
    <n v="0"/>
  </r>
  <r>
    <s v="4000006878"/>
    <s v="76201342-8"/>
    <s v="KNAUF CHILE SPA"/>
    <s v="6701259584"/>
    <s v="ZPCD"/>
    <s v="80"/>
    <x v="0"/>
    <s v=""/>
    <s v="C004"/>
    <s v="E652"/>
    <n v="1"/>
    <s v="Local"/>
    <x v="0"/>
    <s v="Construccion"/>
    <x v="0"/>
    <s v="430507002"/>
    <s v="1465435"/>
    <s v="AQUAPANEL WAT BARRIER 1.5M X 50M 50"/>
    <n v="17"/>
    <n v="0"/>
    <s v="UN"/>
    <d v="2025-07-02T00:00:00"/>
    <n v="7"/>
    <d v="2025-10-03T00:00:00"/>
    <m/>
    <x v="9"/>
    <n v="2025"/>
    <n v="2468009"/>
    <n v="0"/>
  </r>
  <r>
    <s v="4000006878"/>
    <s v="76201342-8"/>
    <s v="KNAUF CHILE SPA"/>
    <s v="6701259584"/>
    <s v="ZPCD"/>
    <s v="90"/>
    <x v="0"/>
    <s v=""/>
    <s v="C004"/>
    <s v="E652"/>
    <n v="1"/>
    <s v="Local"/>
    <x v="0"/>
    <s v="Construccion"/>
    <x v="0"/>
    <s v="430503001"/>
    <s v="1309477"/>
    <s v="CINTA PARA JUNTAS AQUAPANEL 10CM  50M"/>
    <n v="37"/>
    <n v="0"/>
    <s v="UN"/>
    <d v="2025-07-02T00:00:00"/>
    <n v="7"/>
    <d v="2025-10-03T00:00:00"/>
    <m/>
    <x v="9"/>
    <n v="2025"/>
    <n v="531653"/>
    <n v="0"/>
  </r>
  <r>
    <s v="4000006878"/>
    <s v="76201342-8"/>
    <s v="KNAUF CHILE SPA"/>
    <s v="6701259584"/>
    <s v="ZPCD"/>
    <s v="100"/>
    <x v="0"/>
    <s v=""/>
    <s v="C004"/>
    <s v="E652"/>
    <n v="1"/>
    <s v="Local"/>
    <x v="0"/>
    <s v="Construccion"/>
    <x v="0"/>
    <s v="430401007"/>
    <s v="1246707"/>
    <s v="AQUAPANEL MORTERO SUP. BLANCO 25KG"/>
    <n v="32"/>
    <n v="0"/>
    <s v="UN"/>
    <d v="2025-07-02T00:00:00"/>
    <n v="7"/>
    <d v="2025-10-03T00:00:00"/>
    <m/>
    <x v="9"/>
    <n v="2025"/>
    <n v="532960"/>
    <n v="0"/>
  </r>
  <r>
    <s v="4000006878"/>
    <s v="76201342-8"/>
    <s v="KNAUF CHILE SPA"/>
    <s v="6701259584"/>
    <s v="ZPCD"/>
    <s v="110"/>
    <x v="0"/>
    <s v=""/>
    <s v="C004"/>
    <s v="E652"/>
    <n v="1"/>
    <s v="Local"/>
    <x v="0"/>
    <s v="Construccion"/>
    <x v="0"/>
    <s v="130211005"/>
    <s v="1366503"/>
    <s v="AQUAPANEL TORNILLO MAXI TB 25MM"/>
    <n v="69"/>
    <n v="0"/>
    <s v="UN"/>
    <d v="2025-07-02T00:00:00"/>
    <n v="7"/>
    <d v="2025-10-03T00:00:00"/>
    <m/>
    <x v="9"/>
    <n v="2025"/>
    <n v="778251"/>
    <n v="0"/>
  </r>
  <r>
    <s v="4000006878"/>
    <s v="76201342-8"/>
    <s v="KNAUF CHILE SPA"/>
    <s v="6701259584"/>
    <s v="ZPCD"/>
    <s v="120"/>
    <x v="0"/>
    <s v=""/>
    <s v="C004"/>
    <s v="E652"/>
    <n v="1"/>
    <s v="Local"/>
    <x v="0"/>
    <s v="Construccion"/>
    <x v="0"/>
    <s v="430503004"/>
    <s v="1230790"/>
    <s v="MASILLA BASE KNAUF 20KG"/>
    <n v="110"/>
    <n v="0"/>
    <s v="UN"/>
    <d v="2025-07-02T00:00:00"/>
    <n v="7"/>
    <d v="2025-10-03T00:00:00"/>
    <m/>
    <x v="9"/>
    <n v="2025"/>
    <n v="886270"/>
    <n v="0"/>
  </r>
  <r>
    <s v="4000006878"/>
    <s v="76201342-8"/>
    <s v="KNAUF CHILE SPA"/>
    <s v="6701212910"/>
    <s v="ZPCD"/>
    <s v="60"/>
    <x v="0"/>
    <s v="101"/>
    <s v="C004"/>
    <s v="E652"/>
    <n v="1"/>
    <s v="Local"/>
    <x v="0"/>
    <s v="Construccion"/>
    <x v="0"/>
    <s v="430204003"/>
    <s v="1246704"/>
    <s v="AQUAPANEL WATER BARRIER 1.50X50"/>
    <n v="8"/>
    <n v="8"/>
    <s v="UN"/>
    <d v="2025-05-14T00:00:00"/>
    <n v="5"/>
    <d v="2025-08-14T00:00:00"/>
    <d v="2025-10-20T00:00:00"/>
    <x v="9"/>
    <n v="2025"/>
    <n v="1142464"/>
    <n v="1142464"/>
  </r>
  <r>
    <s v="4000006878"/>
    <s v="76201342-8"/>
    <s v="KNAUF CHILE SPA"/>
    <s v="6701208757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8650"/>
    <n v="6900"/>
    <s v="UN"/>
    <d v="2025-05-06T00:00:00"/>
    <n v="5"/>
    <d v="2025-05-07T00:00:00"/>
    <d v="2025-10-09T00:00:00"/>
    <x v="9"/>
    <n v="2025"/>
    <n v="48388100"/>
    <n v="38598600"/>
  </r>
  <r>
    <s v="4000006878"/>
    <s v="76201342-8"/>
    <s v="KNAUF CHILE SPA"/>
    <s v="6701208757"/>
    <s v="ZPCD"/>
    <s v="20"/>
    <x v="0"/>
    <s v="101"/>
    <s v="C004"/>
    <s v="E652"/>
    <n v="1"/>
    <s v="Local"/>
    <x v="0"/>
    <s v="Construccion"/>
    <x v="0"/>
    <s v="430507002"/>
    <s v="938731"/>
    <s v="SERVICIO FLETE"/>
    <n v="8650"/>
    <n v="6800"/>
    <s v="UN"/>
    <d v="2025-05-06T00:00:00"/>
    <n v="5"/>
    <d v="2025-05-07T00:00:00"/>
    <d v="2025-10-09T00:00:00"/>
    <x v="9"/>
    <n v="2025"/>
    <n v="1626200"/>
    <n v="1278400"/>
  </r>
  <r>
    <s v="4000006878"/>
    <s v="76201342-8"/>
    <s v="KNAUF CHILE SPA"/>
    <s v="6508681716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6T00:00:00"/>
    <x v="10"/>
    <n v="2025"/>
    <n v="1405320"/>
    <n v="1405320"/>
  </r>
  <r>
    <s v="4000006878"/>
    <s v="76201342-8"/>
    <s v="KNAUF CHILE SPA"/>
    <s v="6508681717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11-21T00:00:00"/>
    <n v="11"/>
    <d v="2025-12-03T00:00:00"/>
    <d v="2025-11-27T00:00:00"/>
    <x v="10"/>
    <n v="2025"/>
    <n v="418720"/>
    <n v="418720"/>
  </r>
  <r>
    <s v="4000006878"/>
    <s v="76201342-8"/>
    <s v="KNAUF CHILE SPA"/>
    <s v="6508681717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1-21T00:00:00"/>
    <n v="11"/>
    <d v="2025-12-03T00:00:00"/>
    <d v="2025-11-27T00:00:00"/>
    <x v="10"/>
    <n v="2025"/>
    <n v="732480"/>
    <n v="732480"/>
  </r>
  <r>
    <s v="4000006878"/>
    <s v="76201342-8"/>
    <s v="KNAUF CHILE SPA"/>
    <s v="6508681717"/>
    <s v="ZPMC"/>
    <s v="3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7T00:00:00"/>
    <x v="10"/>
    <n v="2025"/>
    <n v="1405320"/>
    <n v="1405320"/>
  </r>
  <r>
    <s v="4000006878"/>
    <s v="76201342-8"/>
    <s v="KNAUF CHILE SPA"/>
    <s v="6508681718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8T00:00:00"/>
    <x v="10"/>
    <n v="2025"/>
    <n v="1405320"/>
    <n v="1405320"/>
  </r>
  <r>
    <s v="4000006878"/>
    <s v="76201342-8"/>
    <s v="KNAUF CHILE SPA"/>
    <s v="6701358566"/>
    <s v="ZPCD"/>
    <s v="10"/>
    <x v="0"/>
    <s v="101"/>
    <s v="C004"/>
    <s v="E507"/>
    <n v="1"/>
    <s v="Local"/>
    <x v="0"/>
    <s v="Construccion"/>
    <x v="0"/>
    <s v="430503006"/>
    <s v="1246703"/>
    <s v="AQUAPANEL PL OUTDOOR 12.5MM 1.20X2.4"/>
    <n v="105"/>
    <n v="105"/>
    <s v="UN"/>
    <d v="2025-11-13T00:00:00"/>
    <n v="11"/>
    <d v="2025-11-13T00:00:00"/>
    <d v="2025-11-19T00:00:00"/>
    <x v="10"/>
    <n v="2025"/>
    <n v="3004575"/>
    <n v="3004575"/>
  </r>
  <r>
    <s v="4000006878"/>
    <s v="76201342-8"/>
    <s v="KNAUF CHILE SPA"/>
    <s v="6701358611"/>
    <s v="ZPCD"/>
    <s v="10"/>
    <x v="0"/>
    <s v="101"/>
    <s v="C004"/>
    <s v="E514"/>
    <n v="1"/>
    <s v="Local"/>
    <x v="0"/>
    <s v="Construccion"/>
    <x v="0"/>
    <s v="430503006"/>
    <s v="1232496"/>
    <s v="PL YESO CARTON RH 15X1200X2400MM KNAUF"/>
    <n v="480"/>
    <n v="120"/>
    <s v="UN"/>
    <d v="2025-11-12T00:00:00"/>
    <n v="11"/>
    <d v="2025-11-12T00:00:00"/>
    <d v="2025-11-17T00:00:00"/>
    <x v="10"/>
    <n v="2025"/>
    <n v="4669920"/>
    <n v="1167480"/>
  </r>
  <r>
    <s v="4000006878"/>
    <s v="76201342-8"/>
    <s v="KNAUF CHILE SPA"/>
    <s v="6701359023"/>
    <s v="ZPCD"/>
    <s v="10"/>
    <x v="0"/>
    <s v="101"/>
    <s v="C004"/>
    <s v="E652"/>
    <n v="1"/>
    <s v="Local"/>
    <x v="0"/>
    <s v="Construccion"/>
    <x v="0"/>
    <s v="430503006"/>
    <s v="1232377"/>
    <s v="PLANCHA YESO CARTON RH 12.5X1200X2400MM"/>
    <n v="286"/>
    <n v="286"/>
    <s v="UN"/>
    <d v="2025-11-13T00:00:00"/>
    <n v="11"/>
    <d v="2025-11-14T00:00:00"/>
    <d v="2025-11-14T00:00:00"/>
    <x v="10"/>
    <n v="2025"/>
    <n v="2285140"/>
    <n v="2285140"/>
  </r>
  <r>
    <s v="4000006878"/>
    <s v="76201342-8"/>
    <s v="KNAUF CHILE SPA"/>
    <s v="6701359023"/>
    <s v="ZPCD"/>
    <s v="20"/>
    <x v="0"/>
    <s v="101"/>
    <s v="C004"/>
    <s v="E652"/>
    <n v="1"/>
    <s v="Local"/>
    <x v="0"/>
    <s v="Construccion"/>
    <x v="0"/>
    <s v="430507002"/>
    <s v="938731"/>
    <s v="SERVICIO FLETE"/>
    <n v="286"/>
    <n v="286"/>
    <s v="UN"/>
    <d v="2025-11-13T00:00:00"/>
    <n v="11"/>
    <d v="2025-11-14T00:00:00"/>
    <d v="2025-11-14T00:00:00"/>
    <x v="10"/>
    <n v="2025"/>
    <n v="61490"/>
    <n v="61490"/>
  </r>
  <r>
    <s v="4000006878"/>
    <s v="76201342-8"/>
    <s v="KNAUF CHILE SPA"/>
    <s v="6508665154"/>
    <s v="ZPMC"/>
    <s v="1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1-07T00:00:00"/>
    <n v="11"/>
    <d v="2025-11-19T00:00:00"/>
    <d v="2025-11-13T00:00:00"/>
    <x v="10"/>
    <n v="2025"/>
    <n v="1406000"/>
    <n v="1406000"/>
  </r>
  <r>
    <s v="4000006878"/>
    <s v="76201342-8"/>
    <s v="KNAUF CHILE SPA"/>
    <s v="6508665155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11-07T00:00:00"/>
    <n v="11"/>
    <d v="2025-11-19T00:00:00"/>
    <d v="2025-11-14T00:00:00"/>
    <x v="10"/>
    <n v="2025"/>
    <n v="1405320"/>
    <n v="1405320"/>
  </r>
  <r>
    <s v="4000006878"/>
    <s v="76201342-8"/>
    <s v="KNAUF CHILE SPA"/>
    <s v="6508665156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3"/>
    <n v="3"/>
    <s v="PAL"/>
    <d v="2025-11-07T00:00:00"/>
    <n v="11"/>
    <d v="2025-11-19T00:00:00"/>
    <d v="2025-11-14T00:00:00"/>
    <x v="10"/>
    <n v="2025"/>
    <n v="1053990"/>
    <n v="1053990"/>
  </r>
  <r>
    <s v="4000006878"/>
    <s v="76201342-8"/>
    <s v="KNAUF CHILE SPA"/>
    <s v="6508665156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3"/>
    <n v="3"/>
    <s v="PAL"/>
    <d v="2025-11-07T00:00:00"/>
    <n v="11"/>
    <d v="2025-11-19T00:00:00"/>
    <d v="2025-11-14T00:00:00"/>
    <x v="10"/>
    <n v="2025"/>
    <n v="1054500"/>
    <n v="1054500"/>
  </r>
  <r>
    <s v="4000006878"/>
    <s v="76201342-8"/>
    <s v="KNAUF CHILE SPA"/>
    <s v="6508673856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1-14T00:00:00"/>
    <n v="11"/>
    <d v="2025-11-26T00:00:00"/>
    <d v="2025-11-20T00:00:00"/>
    <x v="10"/>
    <n v="2025"/>
    <n v="1405320"/>
    <n v="1405320"/>
  </r>
  <r>
    <s v="4000006878"/>
    <s v="76201342-8"/>
    <s v="KNAUF CHILE SPA"/>
    <s v="650867385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14T00:00:00"/>
    <n v="11"/>
    <d v="2025-11-26T00:00:00"/>
    <d v="2025-11-19T00:00:00"/>
    <x v="10"/>
    <n v="2025"/>
    <n v="1405320"/>
    <n v="1405320"/>
  </r>
  <r>
    <s v="4000006878"/>
    <s v="76201342-8"/>
    <s v="KNAUF CHILE SPA"/>
    <s v="650867385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1-14T00:00:00"/>
    <n v="11"/>
    <d v="2025-11-26T00:00:00"/>
    <d v="2025-11-19T00:00:00"/>
    <x v="10"/>
    <n v="2025"/>
    <n v="703000"/>
    <n v="703000"/>
  </r>
  <r>
    <s v="4000006878"/>
    <s v="76201342-8"/>
    <s v="KNAUF CHILE SPA"/>
    <s v="6701354569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270"/>
    <n v="270"/>
    <s v="UN"/>
    <d v="2025-11-05T00:00:00"/>
    <n v="11"/>
    <d v="2025-11-28T00:00:00"/>
    <d v="2025-11-11T00:00:00"/>
    <x v="10"/>
    <n v="2025"/>
    <n v="2975130"/>
    <n v="2975130"/>
  </r>
  <r>
    <s v="4000006878"/>
    <s v="76201342-8"/>
    <s v="KNAUF CHILE SPA"/>
    <s v="6701354782"/>
    <s v="ZPCD"/>
    <s v="10"/>
    <x v="0"/>
    <s v="101"/>
    <s v="C004"/>
    <s v="E652"/>
    <n v="1"/>
    <s v="Local"/>
    <x v="0"/>
    <s v="Construccion"/>
    <x v="0"/>
    <s v="430204003"/>
    <s v="1246704"/>
    <s v="AQUAPANEL WATER BARRIER 1.50X50"/>
    <n v="9"/>
    <n v="9"/>
    <s v="UN"/>
    <d v="2025-11-05T00:00:00"/>
    <n v="11"/>
    <d v="2025-11-28T00:00:00"/>
    <d v="2025-11-13T00:00:00"/>
    <x v="10"/>
    <n v="2025"/>
    <n v="1306593"/>
    <n v="1306593"/>
  </r>
  <r>
    <s v="4000006878"/>
    <s v="76201342-8"/>
    <s v="KNAUF CHILE SPA"/>
    <s v="6701356293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84"/>
    <n v="84"/>
    <s v="UN"/>
    <d v="2025-11-10T00:00:00"/>
    <n v="11"/>
    <d v="2025-11-13T00:00:00"/>
    <d v="2025-11-18T00:00:00"/>
    <x v="10"/>
    <n v="2025"/>
    <n v="1416492"/>
    <n v="1416492"/>
  </r>
  <r>
    <s v="4000006878"/>
    <s v="76201342-8"/>
    <s v="KNAUF CHILE SPA"/>
    <s v="6701356293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11-10T00:00:00"/>
    <n v="11"/>
    <d v="2025-11-13T00:00:00"/>
    <d v="2025-11-18T00:00:00"/>
    <x v="10"/>
    <n v="2025"/>
    <n v="58000"/>
    <n v="58000"/>
  </r>
  <r>
    <s v="4000006878"/>
    <s v="76201342-8"/>
    <s v="KNAUF CHILE SPA"/>
    <s v="6701356586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20"/>
    <n v="20"/>
    <s v="UN"/>
    <d v="2025-11-10T00:00:00"/>
    <n v="11"/>
    <d v="2025-11-10T00:00:00"/>
    <d v="2025-11-10T00:00:00"/>
    <x v="10"/>
    <n v="2025"/>
    <n v="1150160"/>
    <n v="1150160"/>
  </r>
  <r>
    <s v="4000006878"/>
    <s v="76201342-8"/>
    <s v="KNAUF CHILE SPA"/>
    <s v="6701356586"/>
    <s v="ZPCD"/>
    <s v="20"/>
    <x v="0"/>
    <s v="101"/>
    <s v="C004"/>
    <s v="E652"/>
    <n v="1"/>
    <s v="Local"/>
    <x v="0"/>
    <s v="Construccion"/>
    <x v="0"/>
    <s v="430507002"/>
    <s v="938731"/>
    <s v="SERVICIO FLETE"/>
    <n v="20"/>
    <n v="20"/>
    <s v="UN"/>
    <d v="2025-11-10T00:00:00"/>
    <n v="11"/>
    <d v="2025-11-10T00:00:00"/>
    <d v="2025-11-10T00:00:00"/>
    <x v="10"/>
    <n v="2025"/>
    <n v="3000"/>
    <n v="3000"/>
  </r>
  <r>
    <s v="4000006878"/>
    <s v="76201342-8"/>
    <s v="KNAUF CHILE SPA"/>
    <s v="6701357165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760"/>
    <n v="760"/>
    <s v="UN"/>
    <d v="2025-11-11T00:00:00"/>
    <n v="11"/>
    <d v="2025-12-31T00:00:00"/>
    <d v="2025-11-21T00:00:00"/>
    <x v="10"/>
    <n v="2025"/>
    <n v="6821000"/>
    <n v="6821000"/>
  </r>
  <r>
    <s v="4000006878"/>
    <s v="76201342-8"/>
    <s v="KNAUF CHILE SPA"/>
    <s v="6701357165"/>
    <s v="ZPCD"/>
    <s v="20"/>
    <x v="0"/>
    <s v="101"/>
    <s v="C004"/>
    <s v="E874"/>
    <n v="1"/>
    <s v="Local"/>
    <x v="0"/>
    <s v="Construccion"/>
    <x v="0"/>
    <s v="430507002"/>
    <s v="938731"/>
    <s v="SERVICIO FLETE"/>
    <n v="760"/>
    <n v="760"/>
    <s v="UN"/>
    <d v="2025-11-11T00:00:00"/>
    <n v="11"/>
    <d v="2025-12-31T00:00:00"/>
    <d v="2025-11-21T00:00:00"/>
    <x v="10"/>
    <n v="2025"/>
    <n v="131480"/>
    <n v="131480"/>
  </r>
  <r>
    <s v="4000006878"/>
    <s v="76201342-8"/>
    <s v="KNAUF CHILE SPA"/>
    <s v="6701357736"/>
    <s v="ZPCD"/>
    <s v="10"/>
    <x v="0"/>
    <s v="101"/>
    <s v="C004"/>
    <s v="E874"/>
    <n v="1"/>
    <s v="Local"/>
    <x v="0"/>
    <s v="Construccion"/>
    <x v="0"/>
    <s v="430503006"/>
    <s v="1246703"/>
    <s v="AQUAPANEL PL OUTDOOR 12.5MM 1.20X2.4"/>
    <n v="5100"/>
    <n v="3290"/>
    <s v="UN"/>
    <d v="2025-11-12T00:00:00"/>
    <n v="11"/>
    <d v="2026-02-28T00:00:00"/>
    <d v="2025-11-24T00:00:00"/>
    <x v="10"/>
    <n v="2025"/>
    <n v="146308800"/>
    <n v="94383520"/>
  </r>
  <r>
    <s v="4000006878"/>
    <s v="76201342-8"/>
    <s v="KNAUF CHILE SPA"/>
    <s v="6701357736"/>
    <s v="ZPCD"/>
    <s v="20"/>
    <x v="0"/>
    <s v="101"/>
    <s v="C004"/>
    <s v="E874"/>
    <n v="1"/>
    <s v="Local"/>
    <x v="0"/>
    <s v="Construccion"/>
    <x v="0"/>
    <s v="430507002"/>
    <s v="938731"/>
    <s v="SERVICIO FLETE"/>
    <n v="5100"/>
    <n v="3290"/>
    <s v="UN"/>
    <d v="2025-11-12T00:00:00"/>
    <n v="11"/>
    <d v="2026-02-28T00:00:00"/>
    <d v="2025-11-24T00:00:00"/>
    <x v="10"/>
    <n v="2025"/>
    <n v="938400"/>
    <n v="605360"/>
  </r>
  <r>
    <s v="4000006878"/>
    <s v="76201342-8"/>
    <s v="KNAUF CHILE SPA"/>
    <s v="6701205933"/>
    <s v="ZPCD"/>
    <s v="40"/>
    <x v="0"/>
    <s v="101"/>
    <s v="C004"/>
    <s v="E652"/>
    <n v="1"/>
    <s v="Local"/>
    <x v="0"/>
    <s v="Construccion"/>
    <x v="0"/>
    <s v="430507002"/>
    <s v="938731"/>
    <s v="SERVICIO FLETE"/>
    <n v="1339"/>
    <n v="1361"/>
    <s v="UN"/>
    <d v="2025-04-29T00:00:00"/>
    <n v="4"/>
    <d v="2025-07-30T00:00:00"/>
    <d v="2025-11-17T00:00:00"/>
    <x v="10"/>
    <n v="2025"/>
    <n v="287885"/>
    <n v="292615"/>
  </r>
  <r>
    <s v="4000006878"/>
    <s v="76201342-8"/>
    <s v="KNAUF CHILE SPA"/>
    <s v="6701205933"/>
    <s v="ZPCD"/>
    <s v="50"/>
    <x v="0"/>
    <s v="101"/>
    <s v="C004"/>
    <s v="E652"/>
    <n v="1"/>
    <s v="Local"/>
    <x v="0"/>
    <s v="Construccion"/>
    <x v="0"/>
    <s v="430503006"/>
    <s v="1232496"/>
    <s v="PL YESO CARTON RH 15X1200X2400MM KNAUF"/>
    <n v="446"/>
    <n v="446"/>
    <s v="UN"/>
    <d v="2025-04-29T00:00:00"/>
    <n v="4"/>
    <d v="2025-07-30T00:00:00"/>
    <d v="2025-11-17T00:00:00"/>
    <x v="10"/>
    <n v="2025"/>
    <n v="3865482"/>
    <n v="3865482"/>
  </r>
  <r>
    <s v="4000006878"/>
    <s v="76201342-8"/>
    <s v="KNAUF CHILE SPA"/>
    <s v="6701205933"/>
    <s v="ZPCD"/>
    <s v="60"/>
    <x v="0"/>
    <s v="101"/>
    <s v="C004"/>
    <s v="E652"/>
    <n v="1"/>
    <s v="Local"/>
    <x v="0"/>
    <s v="Construccion"/>
    <x v="0"/>
    <s v="430507002"/>
    <s v="938731"/>
    <s v="SERVICIO FLETE"/>
    <n v="446"/>
    <n v="446"/>
    <s v="UN"/>
    <d v="2025-04-29T00:00:00"/>
    <n v="4"/>
    <d v="2025-07-30T00:00:00"/>
    <d v="2025-11-17T00:00:00"/>
    <x v="10"/>
    <n v="2025"/>
    <n v="103026"/>
    <n v="103026"/>
  </r>
  <r>
    <s v="4000006878"/>
    <s v="76201342-8"/>
    <s v="KNAUF CHILE SPA"/>
    <s v="6701293977"/>
    <s v="ZPCD"/>
    <s v="10"/>
    <x v="0"/>
    <s v=""/>
    <s v="C004"/>
    <s v="E652"/>
    <n v="1"/>
    <s v="Local"/>
    <x v="0"/>
    <s v="Construccion"/>
    <x v="0"/>
    <s v="430201001"/>
    <s v="904569"/>
    <s v="BANDA ACUSTICA 50MM ANCHO ROLLO X 30 M"/>
    <n v="12"/>
    <n v="0"/>
    <s v="ROM"/>
    <d v="2025-08-27T00:00:00"/>
    <n v="8"/>
    <d v="2025-11-28T00:00:00"/>
    <m/>
    <x v="10"/>
    <n v="2025"/>
    <n v="115656"/>
    <n v="0"/>
  </r>
  <r>
    <s v="4000006878"/>
    <s v="76201342-8"/>
    <s v="KNAUF CHILE SPA"/>
    <s v="6508644335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6"/>
    <n v="6"/>
    <s v="PAL"/>
    <d v="2025-10-23T00:00:00"/>
    <n v="10"/>
    <d v="2025-11-06T00:00:00"/>
    <d v="2025-11-05T00:00:00"/>
    <x v="10"/>
    <n v="2025"/>
    <n v="2107980"/>
    <n v="2107980"/>
  </r>
  <r>
    <s v="4000006878"/>
    <s v="76201342-8"/>
    <s v="KNAUF CHILE SPA"/>
    <s v="6701350876"/>
    <s v="ZPCD"/>
    <s v="30"/>
    <x v="0"/>
    <s v="101"/>
    <s v="C004"/>
    <s v="E652"/>
    <n v="1"/>
    <s v="Local"/>
    <x v="0"/>
    <s v="Construccion"/>
    <x v="0"/>
    <s v="430502003"/>
    <s v="1239232"/>
    <s v="PLACA AQUAPANAL OUTDOOR 12.5 120X240"/>
    <n v="5"/>
    <n v="5"/>
    <s v="UN"/>
    <d v="2025-10-28T00:00:00"/>
    <n v="10"/>
    <d v="2026-03-31T00:00:00"/>
    <d v="2025-11-26T00:00:00"/>
    <x v="10"/>
    <n v="2025"/>
    <n v="153210"/>
    <n v="153210"/>
  </r>
  <r>
    <s v="4000006878"/>
    <s v="76201342-8"/>
    <s v="KNAUF CHILE SPA"/>
    <s v="6701350876"/>
    <s v="ZPCD"/>
    <s v="40"/>
    <x v="0"/>
    <s v="101"/>
    <s v="C004"/>
    <s v="E652"/>
    <n v="1"/>
    <s v="Local"/>
    <x v="0"/>
    <s v="Construccion"/>
    <x v="0"/>
    <s v="430507002"/>
    <s v="938731"/>
    <s v="SERVICIO FLETE"/>
    <n v="5"/>
    <n v="5"/>
    <s v="UN"/>
    <d v="2025-10-28T00:00:00"/>
    <n v="10"/>
    <d v="2026-03-31T00:00:00"/>
    <d v="2025-11-26T00:00:00"/>
    <x v="10"/>
    <n v="2025"/>
    <n v="1730"/>
    <n v="1730"/>
  </r>
  <r>
    <s v="4000006878"/>
    <s v="76201342-8"/>
    <s v="KNAUF CHILE SPA"/>
    <s v="6701350876"/>
    <s v="ZPCD"/>
    <s v="50"/>
    <x v="0"/>
    <s v="101"/>
    <s v="C004"/>
    <s v="E652"/>
    <n v="1"/>
    <s v="Local"/>
    <x v="0"/>
    <s v="Construccion"/>
    <x v="0"/>
    <s v="430503006"/>
    <s v="1441557"/>
    <s v="PLACA AQUAPANEL RESIDENCIAL 8 1200X2400"/>
    <n v="165"/>
    <n v="165"/>
    <s v="UN"/>
    <d v="2025-10-28T00:00:00"/>
    <n v="10"/>
    <d v="2026-03-31T00:00:00"/>
    <d v="2025-11-26T00:00:00"/>
    <x v="10"/>
    <n v="2025"/>
    <n v="2511630"/>
    <n v="2511630"/>
  </r>
  <r>
    <s v="4000006878"/>
    <s v="76201342-8"/>
    <s v="KNAUF CHILE SPA"/>
    <s v="6701350876"/>
    <s v="ZPCD"/>
    <s v="60"/>
    <x v="0"/>
    <s v="101"/>
    <s v="C004"/>
    <s v="E652"/>
    <n v="1"/>
    <s v="Local"/>
    <x v="0"/>
    <s v="Construccion"/>
    <x v="0"/>
    <s v="430507002"/>
    <s v="938731"/>
    <s v="SERVICIO FLETE"/>
    <n v="165"/>
    <n v="165"/>
    <s v="UN"/>
    <d v="2025-10-28T00:00:00"/>
    <n v="10"/>
    <d v="2026-03-31T00:00:00"/>
    <d v="2025-11-26T00:00:00"/>
    <x v="10"/>
    <n v="2025"/>
    <n v="37455"/>
    <n v="37455"/>
  </r>
  <r>
    <s v="4000006878"/>
    <s v="76201342-8"/>
    <s v="KNAUF CHILE SPA"/>
    <s v="6701350876"/>
    <s v="ZPCD"/>
    <s v="70"/>
    <x v="0"/>
    <s v="101"/>
    <s v="C004"/>
    <s v="E652"/>
    <n v="1"/>
    <s v="Local"/>
    <x v="0"/>
    <s v="Construccion"/>
    <x v="0"/>
    <s v="430503006"/>
    <s v="1232376"/>
    <s v="PLANCHA YESO CARTON RF 12.5X1200X2400MM"/>
    <n v="212"/>
    <n v="212"/>
    <s v="UN"/>
    <d v="2025-10-28T00:00:00"/>
    <n v="10"/>
    <d v="2026-03-31T00:00:00"/>
    <d v="2025-11-26T00:00:00"/>
    <x v="10"/>
    <n v="2025"/>
    <n v="1297016"/>
    <n v="1297016"/>
  </r>
  <r>
    <s v="4000006878"/>
    <s v="76201342-8"/>
    <s v="KNAUF CHILE SPA"/>
    <s v="6701350876"/>
    <s v="ZPCD"/>
    <s v="150"/>
    <x v="0"/>
    <s v="101"/>
    <s v="C004"/>
    <s v="E652"/>
    <n v="1"/>
    <s v="Local"/>
    <x v="0"/>
    <s v="Construccion"/>
    <x v="0"/>
    <s v="430503006"/>
    <s v="1232498"/>
    <s v="PL YESO CARTON ST 12.5X1200X2400MM KNAUF"/>
    <n v="140"/>
    <n v="140"/>
    <s v="UN"/>
    <d v="2025-10-28T00:00:00"/>
    <n v="10"/>
    <d v="2026-03-31T00:00:00"/>
    <d v="2025-11-26T00:00:00"/>
    <x v="10"/>
    <n v="2025"/>
    <n v="689220"/>
    <n v="689220"/>
  </r>
  <r>
    <s v="4000006878"/>
    <s v="76201342-8"/>
    <s v="KNAUF CHILE SPA"/>
    <s v="6701350876"/>
    <s v="ZPCD"/>
    <s v="160"/>
    <x v="0"/>
    <s v="101"/>
    <s v="C004"/>
    <s v="E652"/>
    <n v="1"/>
    <s v="Local"/>
    <x v="0"/>
    <s v="Construccion"/>
    <x v="0"/>
    <s v="430507002"/>
    <s v="938731"/>
    <s v="SERVICIO FLETE"/>
    <n v="140"/>
    <n v="140"/>
    <s v="UN"/>
    <d v="2025-10-28T00:00:00"/>
    <n v="10"/>
    <d v="2026-03-31T00:00:00"/>
    <d v="2025-11-26T00:00:00"/>
    <x v="10"/>
    <n v="2025"/>
    <n v="25480"/>
    <n v="25480"/>
  </r>
  <r>
    <s v="4000006878"/>
    <s v="76201342-8"/>
    <s v="KNAUF CHILE SPA"/>
    <s v="6701350876"/>
    <s v="ZPCD"/>
    <s v="120"/>
    <x v="0"/>
    <s v="101"/>
    <s v="C004"/>
    <s v="E652"/>
    <n v="1"/>
    <s v="Local"/>
    <x v="0"/>
    <s v="Construccion"/>
    <x v="0"/>
    <s v="430507002"/>
    <s v="938731"/>
    <s v="SERVICIO FLETE"/>
    <n v="385"/>
    <n v="385"/>
    <s v="UN"/>
    <d v="2025-10-28T00:00:00"/>
    <n v="10"/>
    <d v="2026-03-31T00:00:00"/>
    <d v="2025-11-28T00:00:00"/>
    <x v="10"/>
    <n v="2025"/>
    <n v="88935"/>
    <n v="88935"/>
  </r>
  <r>
    <s v="4000006878"/>
    <s v="76201342-8"/>
    <s v="KNAUF CHILE SPA"/>
    <s v="6701348643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6"/>
    <n v="6"/>
    <s v="UN"/>
    <d v="2025-10-24T00:00:00"/>
    <n v="10"/>
    <d v="2025-12-31T00:00:00"/>
    <d v="2025-11-11T00:00:00"/>
    <x v="10"/>
    <n v="2025"/>
    <n v="421806"/>
    <n v="421806"/>
  </r>
  <r>
    <s v="4000006878"/>
    <s v="76201342-8"/>
    <s v="KNAUF CHILE SPA"/>
    <s v="6508655276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0-30T00:00:00"/>
    <n v="10"/>
    <d v="2025-11-12T00:00:00"/>
    <d v="2025-11-06T00:00:00"/>
    <x v="10"/>
    <n v="2025"/>
    <n v="732480"/>
    <n v="732480"/>
  </r>
  <r>
    <s v="4000006878"/>
    <s v="76201342-8"/>
    <s v="KNAUF CHILE SPA"/>
    <s v="6508655276"/>
    <s v="ZPMC"/>
    <s v="2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10-30T00:00:00"/>
    <n v="10"/>
    <d v="2025-11-12T00:00:00"/>
    <d v="2025-11-06T00:00:00"/>
    <x v="10"/>
    <n v="2025"/>
    <n v="1054500"/>
    <n v="1054500"/>
  </r>
  <r>
    <s v="4000006878"/>
    <s v="76201342-8"/>
    <s v="KNAUF CHILE SPA"/>
    <s v="6508655277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0-30T00:00:00"/>
    <n v="10"/>
    <d v="2025-11-12T00:00:00"/>
    <d v="2025-11-05T00:00:00"/>
    <x v="10"/>
    <n v="2025"/>
    <n v="702660"/>
    <n v="702660"/>
  </r>
  <r>
    <s v="4000006878"/>
    <s v="76201342-8"/>
    <s v="KNAUF CHILE SPA"/>
    <s v="6508655277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2"/>
    <n v="2"/>
    <s v="PAL"/>
    <d v="2025-10-30T00:00:00"/>
    <n v="10"/>
    <d v="2025-11-12T00:00:00"/>
    <d v="2025-11-05T00:00:00"/>
    <x v="10"/>
    <n v="2025"/>
    <n v="703000"/>
    <n v="703000"/>
  </r>
  <r>
    <s v="4000006878"/>
    <s v="76201342-8"/>
    <s v="KNAUF CHILE SPA"/>
    <s v="6701343460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50"/>
    <n v="150"/>
    <s v="UN"/>
    <d v="2025-10-13T00:00:00"/>
    <n v="10"/>
    <d v="2026-01-31T00:00:00"/>
    <d v="2025-11-25T00:00:00"/>
    <x v="10"/>
    <n v="2025"/>
    <n v="2430600"/>
    <n v="2430600"/>
  </r>
  <r>
    <s v="4000006878"/>
    <s v="76201342-8"/>
    <s v="KNAUF CHILE SPA"/>
    <s v="6701343460"/>
    <s v="ZPCD"/>
    <s v="20"/>
    <x v="0"/>
    <s v="101"/>
    <s v="C004"/>
    <s v="E652"/>
    <n v="1"/>
    <s v="Local"/>
    <x v="0"/>
    <s v="Construccion"/>
    <x v="0"/>
    <s v="430204003"/>
    <s v="1246704"/>
    <s v="AQUAPANEL WATER BARRIER 1.50X50"/>
    <n v="2"/>
    <n v="2"/>
    <s v="UN"/>
    <d v="2025-10-13T00:00:00"/>
    <n v="10"/>
    <d v="2026-01-31T00:00:00"/>
    <d v="2025-11-25T00:00:00"/>
    <x v="10"/>
    <n v="2025"/>
    <n v="290354"/>
    <n v="290354"/>
  </r>
  <r>
    <s v="4000006878"/>
    <s v="76201342-8"/>
    <s v="KNAUF CHILE SPA"/>
    <s v="6701350876"/>
    <s v="ZPCD"/>
    <s v="10"/>
    <x v="0"/>
    <s v="101"/>
    <s v="C004"/>
    <s v="E652"/>
    <n v="1"/>
    <s v="Local"/>
    <x v="0"/>
    <s v="Construccion"/>
    <x v="0"/>
    <s v="430506002"/>
    <s v="1249225"/>
    <s v="PEGAMENTO PERLFIX 25 KGS"/>
    <n v="180"/>
    <n v="112"/>
    <s v="UN"/>
    <d v="2025-10-28T00:00:00"/>
    <n v="10"/>
    <d v="2026-03-31T00:00:00"/>
    <d v="2025-12-10T00:00:00"/>
    <x v="11"/>
    <n v="2025"/>
    <n v="1654920"/>
    <n v="1029728"/>
  </r>
  <r>
    <s v="4000006878"/>
    <s v="76201342-8"/>
    <s v="KNAUF CHILE SPA"/>
    <s v="6701350876"/>
    <s v="ZPCD"/>
    <s v="20"/>
    <x v="0"/>
    <s v="101"/>
    <s v="C004"/>
    <s v="E652"/>
    <n v="1"/>
    <s v="Local"/>
    <x v="0"/>
    <s v="Construccion"/>
    <x v="0"/>
    <s v="430507002"/>
    <s v="938731"/>
    <s v="SERVICIO FLETE"/>
    <n v="180"/>
    <n v="112"/>
    <s v="UN"/>
    <d v="2025-10-28T00:00:00"/>
    <n v="10"/>
    <d v="2026-03-31T00:00:00"/>
    <d v="2025-12-10T00:00:00"/>
    <x v="11"/>
    <n v="2025"/>
    <n v="33840"/>
    <n v="21056"/>
  </r>
  <r>
    <s v="4000006878"/>
    <s v="76201342-8"/>
    <s v="KNAUF CHILE SPA"/>
    <s v="6701350876"/>
    <s v="ZPCD"/>
    <s v="90"/>
    <x v="0"/>
    <s v="101"/>
    <s v="C004"/>
    <s v="E652"/>
    <n v="1"/>
    <s v="Local"/>
    <x v="0"/>
    <s v="Construccion"/>
    <x v="0"/>
    <s v="430503006"/>
    <s v="1232377"/>
    <s v="PLANCHA YESO CARTON RH 12.5X1200X2400MM"/>
    <n v="1032"/>
    <n v="1032"/>
    <s v="UN"/>
    <d v="2025-10-28T00:00:00"/>
    <n v="10"/>
    <d v="2026-03-31T00:00:00"/>
    <d v="2025-12-05T00:00:00"/>
    <x v="11"/>
    <n v="2025"/>
    <n v="8372616"/>
    <n v="8372616"/>
  </r>
  <r>
    <s v="4000006878"/>
    <s v="76201342-8"/>
    <s v="KNAUF CHILE SPA"/>
    <s v="6701392574"/>
    <s v="ZPCD"/>
    <s v="10"/>
    <x v="0"/>
    <s v="101"/>
    <s v="C004"/>
    <s v="E652"/>
    <n v="1"/>
    <s v="Local"/>
    <x v="0"/>
    <s v="Construccion"/>
    <x v="0"/>
    <s v="430201001"/>
    <s v="896692"/>
    <s v="BANDA ACUSTICA 70MM ANCHO ROLLO X 30 M"/>
    <n v="32"/>
    <n v="32"/>
    <s v="ROM"/>
    <d v="2025-12-16T00:00:00"/>
    <n v="12"/>
    <d v="2025-12-16T00:00:00"/>
    <d v="2025-12-29T00:00:00"/>
    <x v="11"/>
    <n v="2025"/>
    <n v="412384"/>
    <n v="412384"/>
  </r>
  <r>
    <s v="4000006878"/>
    <s v="76201342-8"/>
    <s v="KNAUF CHILE SPA"/>
    <s v="6701392684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935"/>
    <n v="650"/>
    <s v="UN"/>
    <d v="2025-12-17T00:00:00"/>
    <n v="12"/>
    <d v="2026-02-19T00:00:00"/>
    <d v="2025-12-29T00:00:00"/>
    <x v="11"/>
    <n v="2025"/>
    <n v="9263045"/>
    <n v="6439550"/>
  </r>
  <r>
    <s v="4000006878"/>
    <s v="76201342-8"/>
    <s v="KNAUF CHILE SPA"/>
    <s v="6701392684"/>
    <s v="ZPCD"/>
    <s v="20"/>
    <x v="0"/>
    <s v="101"/>
    <s v="C004"/>
    <s v="E652"/>
    <n v="1"/>
    <s v="Local"/>
    <x v="0"/>
    <s v="Construccion"/>
    <x v="0"/>
    <s v="430503006"/>
    <s v="1236051"/>
    <s v="PL YESO CARTON RH 15X1200X3000MM KNAUF"/>
    <n v="303"/>
    <n v="300"/>
    <s v="UN"/>
    <d v="2025-12-17T00:00:00"/>
    <n v="12"/>
    <d v="2026-02-19T00:00:00"/>
    <d v="2025-12-29T00:00:00"/>
    <x v="11"/>
    <n v="2025"/>
    <n v="2888802"/>
    <n v="2860200"/>
  </r>
  <r>
    <s v="4000006878"/>
    <s v="76201342-8"/>
    <s v="KNAUF CHILE SPA"/>
    <s v="650872152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19T00:00:00"/>
    <n v="12"/>
    <d v="2026-01-02T00:00:00"/>
    <d v="2025-12-29T00:00:00"/>
    <x v="11"/>
    <n v="2025"/>
    <n v="1405320"/>
    <n v="1405320"/>
  </r>
  <r>
    <s v="4000006878"/>
    <s v="76201342-8"/>
    <s v="KNAUF CHILE SPA"/>
    <s v="6508721525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2-19T00:00:00"/>
    <n v="12"/>
    <d v="2026-01-02T00:00:00"/>
    <d v="2025-12-29T00:00:00"/>
    <x v="11"/>
    <n v="2025"/>
    <n v="1406000"/>
    <n v="1406000"/>
  </r>
  <r>
    <s v="4000006878"/>
    <s v="76201342-8"/>
    <s v="KNAUF CHILE SPA"/>
    <s v="6508721526"/>
    <s v="ZPMC"/>
    <s v="10"/>
    <x v="1"/>
    <s v="101"/>
    <s v="C004"/>
    <s v="E521"/>
    <n v="1"/>
    <s v="Local"/>
    <x v="0"/>
    <s v="Construccion"/>
    <x v="0"/>
    <s v="430503006"/>
    <s v="1232379"/>
    <s v="PLANCHA YESO CARTON ST BR 15X1200X2400MM"/>
    <n v="4"/>
    <n v="4"/>
    <s v="PAL"/>
    <d v="2025-12-19T00:00:00"/>
    <n v="12"/>
    <d v="2026-01-02T00:00:00"/>
    <d v="2025-12-30T00:00:00"/>
    <x v="11"/>
    <n v="2025"/>
    <n v="1406000"/>
    <n v="1406000"/>
  </r>
  <r>
    <s v="4000006878"/>
    <s v="76201342-8"/>
    <s v="KNAUF CHILE SPA"/>
    <s v="650872152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2-19T00:00:00"/>
    <n v="12"/>
    <d v="2026-01-02T00:00:00"/>
    <d v="2025-12-26T00:00:00"/>
    <x v="11"/>
    <n v="2025"/>
    <n v="1405320"/>
    <n v="1405320"/>
  </r>
  <r>
    <s v="4000006878"/>
    <s v="76201342-8"/>
    <s v="KNAUF CHILE SPA"/>
    <s v="650872152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1"/>
    <n v="1"/>
    <s v="PAL"/>
    <d v="2025-12-19T00:00:00"/>
    <n v="12"/>
    <d v="2026-01-02T00:00:00"/>
    <d v="2025-12-26T00:00:00"/>
    <x v="11"/>
    <n v="2025"/>
    <n v="351500"/>
    <n v="351500"/>
  </r>
  <r>
    <s v="4000006878"/>
    <s v="76201342-8"/>
    <s v="KNAUF CHILE SPA"/>
    <s v="6701276519"/>
    <s v="ZPCD"/>
    <s v="170"/>
    <x v="0"/>
    <s v="101"/>
    <s v="C004"/>
    <s v="E652"/>
    <n v="1"/>
    <s v="Local"/>
    <x v="0"/>
    <s v="Construccion"/>
    <x v="0"/>
    <s v="430507002"/>
    <s v="938731"/>
    <s v="SERVICIO FLETE"/>
    <n v="486"/>
    <n v="486"/>
    <s v="UN"/>
    <d v="2025-07-29T00:00:00"/>
    <n v="7"/>
    <d v="2025-10-30T00:00:00"/>
    <d v="2025-12-26T00:00:00"/>
    <x v="11"/>
    <n v="2025"/>
    <n v="196830"/>
    <n v="196830"/>
  </r>
  <r>
    <s v="4000006878"/>
    <s v="76201342-8"/>
    <s v="KNAUF CHILE SPA"/>
    <s v="6701350876"/>
    <s v="ZPCD"/>
    <s v="140"/>
    <x v="0"/>
    <s v="101"/>
    <s v="C004"/>
    <s v="E652"/>
    <n v="1"/>
    <s v="Local"/>
    <x v="0"/>
    <s v="Construccion"/>
    <x v="0"/>
    <s v="430507002"/>
    <s v="938731"/>
    <s v="SERVICIO FLETE"/>
    <n v="3493"/>
    <n v="3493"/>
    <s v="UN"/>
    <d v="2025-10-28T00:00:00"/>
    <n v="10"/>
    <d v="2026-03-31T00:00:00"/>
    <d v="2025-12-10T00:00:00"/>
    <x v="11"/>
    <n v="2025"/>
    <n v="464569"/>
    <n v="464569"/>
  </r>
  <r>
    <s v="4000006878"/>
    <s v="76201342-8"/>
    <s v="KNAUF CHILE SPA"/>
    <s v="6701392684"/>
    <s v="ZPCD"/>
    <s v="40"/>
    <x v="0"/>
    <s v="101"/>
    <s v="C004"/>
    <s v="E652"/>
    <n v="1"/>
    <s v="Local"/>
    <x v="0"/>
    <s v="Construccion"/>
    <x v="0"/>
    <s v="430503006"/>
    <s v="1236052"/>
    <s v="PL YESO CARTON RF 15X1200X3000MM KNAUF"/>
    <n v="239"/>
    <n v="239"/>
    <s v="UN"/>
    <d v="2025-12-17T00:00:00"/>
    <n v="12"/>
    <d v="2026-02-19T00:00:00"/>
    <d v="2025-12-29T00:00:00"/>
    <x v="11"/>
    <n v="2025"/>
    <n v="1670132"/>
    <n v="1670132"/>
  </r>
  <r>
    <s v="4000006878"/>
    <s v="76201342-8"/>
    <s v="KNAUF CHILE SPA"/>
    <s v="6701393336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775"/>
    <n v="775"/>
    <s v="UN"/>
    <d v="2025-12-17T00:00:00"/>
    <n v="12"/>
    <d v="2026-04-30T00:00:00"/>
    <d v="2025-12-29T00:00:00"/>
    <x v="11"/>
    <n v="2025"/>
    <n v="4612025"/>
    <n v="4612025"/>
  </r>
  <r>
    <s v="4000006878"/>
    <s v="76201342-8"/>
    <s v="KNAUF CHILE SPA"/>
    <s v="6701393336"/>
    <s v="ZPCD"/>
    <s v="20"/>
    <x v="0"/>
    <s v="101"/>
    <s v="C004"/>
    <s v="E652"/>
    <n v="1"/>
    <s v="Local"/>
    <x v="0"/>
    <s v="Construccion"/>
    <x v="0"/>
    <s v="430406006"/>
    <s v="1249500"/>
    <s v="PUENTE ADHERENTE YESO BETOKONTAKT 20KG"/>
    <n v="51"/>
    <n v="51"/>
    <s v="UN"/>
    <d v="2025-12-17T00:00:00"/>
    <n v="12"/>
    <d v="2026-04-30T00:00:00"/>
    <d v="2025-12-29T00:00:00"/>
    <x v="11"/>
    <n v="2025"/>
    <n v="2684946"/>
    <n v="2684946"/>
  </r>
  <r>
    <s v="4000006878"/>
    <s v="76201342-8"/>
    <s v="KNAUF CHILE SPA"/>
    <s v="6701393890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40"/>
    <n v="140"/>
    <s v="UN"/>
    <d v="2025-12-19T00:00:00"/>
    <n v="12"/>
    <d v="2026-02-27T00:00:00"/>
    <d v="2025-12-31T00:00:00"/>
    <x v="11"/>
    <n v="2025"/>
    <n v="2331700"/>
    <n v="2331700"/>
  </r>
  <r>
    <s v="4000006878"/>
    <s v="76201342-8"/>
    <s v="KNAUF CHILE SPA"/>
    <s v="6701359199"/>
    <s v="ZPCD"/>
    <s v="20"/>
    <x v="0"/>
    <s v="101"/>
    <s v="C004"/>
    <s v="E874"/>
    <n v="1"/>
    <s v="Local"/>
    <x v="0"/>
    <s v="Construccion"/>
    <x v="0"/>
    <s v="430507002"/>
    <s v="938731"/>
    <s v="SERVICIO FLETE"/>
    <n v="3668"/>
    <n v="3668"/>
    <s v="UN"/>
    <d v="2025-11-14T00:00:00"/>
    <n v="11"/>
    <d v="2026-02-28T00:00:00"/>
    <d v="2025-12-11T00:00:00"/>
    <x v="11"/>
    <n v="2025"/>
    <n v="506184"/>
    <n v="506184"/>
  </r>
  <r>
    <s v="4000006878"/>
    <s v="76201342-8"/>
    <s v="KNAUF CHILE SPA"/>
    <s v="6701303113"/>
    <s v="ZPCD"/>
    <s v="10"/>
    <x v="0"/>
    <s v=""/>
    <s v="C004"/>
    <s v="E652"/>
    <n v="1"/>
    <s v="Local"/>
    <x v="0"/>
    <s v="Construccion"/>
    <x v="0"/>
    <s v="430203001"/>
    <s v="1252502"/>
    <s v="ROLLO LIBRE HR 80MM 1200X12000MM KNAUF"/>
    <n v="6"/>
    <n v="0"/>
    <s v="UN"/>
    <d v="2025-09-10T00:00:00"/>
    <n v="9"/>
    <d v="2025-12-10T00:00:00"/>
    <m/>
    <x v="11"/>
    <n v="2025"/>
    <n v="183972"/>
    <n v="0"/>
  </r>
  <r>
    <s v="4000006878"/>
    <s v="76201342-8"/>
    <s v="KNAUF CHILE SPA"/>
    <s v="6508689708"/>
    <s v="ZPMC"/>
    <s v="1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11-27T00:00:00"/>
    <n v="11"/>
    <d v="2025-12-10T00:00:00"/>
    <d v="2025-12-03T00:00:00"/>
    <x v="11"/>
    <n v="2025"/>
    <n v="2109000"/>
    <n v="2109000"/>
  </r>
  <r>
    <s v="4000006878"/>
    <s v="76201342-8"/>
    <s v="KNAUF CHILE SPA"/>
    <s v="6508691569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11-28T00:00:00"/>
    <n v="11"/>
    <d v="2025-12-11T00:00:00"/>
    <d v="2025-12-04T00:00:00"/>
    <x v="11"/>
    <n v="2025"/>
    <n v="418720"/>
    <n v="418720"/>
  </r>
  <r>
    <s v="4000006878"/>
    <s v="76201342-8"/>
    <s v="KNAUF CHILE SPA"/>
    <s v="6508691569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1-28T00:00:00"/>
    <n v="11"/>
    <d v="2025-12-11T00:00:00"/>
    <d v="2025-12-04T00:00:00"/>
    <x v="11"/>
    <n v="2025"/>
    <n v="1405320"/>
    <n v="1405320"/>
  </r>
  <r>
    <s v="4000006878"/>
    <s v="76201342-8"/>
    <s v="KNAUF CHILE SPA"/>
    <s v="650869157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1-28T00:00:00"/>
    <n v="11"/>
    <d v="2025-12-11T00:00:00"/>
    <d v="2025-12-04T00:00:00"/>
    <x v="11"/>
    <n v="2025"/>
    <n v="702660"/>
    <n v="702660"/>
  </r>
  <r>
    <s v="4000006878"/>
    <s v="76201342-8"/>
    <s v="KNAUF CHILE SPA"/>
    <s v="6508691570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2"/>
    <n v="2"/>
    <s v="PAL"/>
    <d v="2025-11-28T00:00:00"/>
    <n v="11"/>
    <d v="2025-12-11T00:00:00"/>
    <d v="2025-12-04T00:00:00"/>
    <x v="11"/>
    <n v="2025"/>
    <n v="703000"/>
    <n v="703000"/>
  </r>
  <r>
    <s v="4000006878"/>
    <s v="76201342-8"/>
    <s v="KNAUF CHILE SPA"/>
    <s v="650869157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28T00:00:00"/>
    <n v="11"/>
    <d v="2025-12-19T00:00:00"/>
    <d v="2025-12-22T00:00:00"/>
    <x v="11"/>
    <n v="2025"/>
    <n v="1405320"/>
    <n v="1405320"/>
  </r>
  <r>
    <s v="4000006878"/>
    <s v="76201342-8"/>
    <s v="KNAUF CHILE SPA"/>
    <s v="6701360432"/>
    <s v="ZPCD"/>
    <s v="10"/>
    <x v="0"/>
    <s v="101"/>
    <s v="C004"/>
    <s v="E652"/>
    <n v="1"/>
    <s v="Local"/>
    <x v="0"/>
    <s v="Construccion"/>
    <x v="0"/>
    <s v="430503006"/>
    <s v="1296892"/>
    <s v="PLACA IMPACT 12.5X1200X2400 BR FR"/>
    <n v="720"/>
    <n v="720"/>
    <s v="UN"/>
    <d v="2025-11-17T00:00:00"/>
    <n v="11"/>
    <d v="2026-01-31T00:00:00"/>
    <d v="2025-12-09T00:00:00"/>
    <x v="11"/>
    <n v="2025"/>
    <n v="8906400"/>
    <n v="8906400"/>
  </r>
  <r>
    <s v="4000006878"/>
    <s v="76201342-8"/>
    <s v="KNAUF CHILE SPA"/>
    <s v="6701364968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54"/>
    <n v="54"/>
    <s v="UN"/>
    <d v="2025-11-27T00:00:00"/>
    <n v="11"/>
    <d v="2026-01-31T00:00:00"/>
    <d v="2025-12-09T00:00:00"/>
    <x v="11"/>
    <n v="2025"/>
    <n v="595026"/>
    <n v="595026"/>
  </r>
  <r>
    <s v="4000006878"/>
    <s v="76201342-8"/>
    <s v="KNAUF CHILE SPA"/>
    <s v="6701212910"/>
    <s v="ZPCD"/>
    <s v="20"/>
    <x v="0"/>
    <s v="101"/>
    <s v="C004"/>
    <s v="E652"/>
    <n v="1"/>
    <s v="Local"/>
    <x v="0"/>
    <s v="Construccion"/>
    <x v="0"/>
    <s v="430503006"/>
    <s v="1232498"/>
    <s v="PL YESO CARTON ST 12.5X1200X2400MM KNAUF"/>
    <n v="486"/>
    <n v="446"/>
    <s v="UN"/>
    <d v="2025-05-14T00:00:00"/>
    <n v="5"/>
    <d v="2025-08-14T00:00:00"/>
    <d v="2025-12-10T00:00:00"/>
    <x v="11"/>
    <n v="2025"/>
    <n v="2392578"/>
    <n v="2195658"/>
  </r>
  <r>
    <s v="4000006878"/>
    <s v="76201342-8"/>
    <s v="KNAUF CHILE SPA"/>
    <s v="6701212910"/>
    <s v="ZPCD"/>
    <s v="30"/>
    <x v="0"/>
    <s v="101"/>
    <s v="C004"/>
    <s v="E652"/>
    <n v="1"/>
    <s v="Local"/>
    <x v="0"/>
    <s v="Construccion"/>
    <x v="0"/>
    <s v="430503006"/>
    <s v="1232496"/>
    <s v="PL YESO CARTON RH 15X1200X2400MM KNAUF"/>
    <n v="2187"/>
    <n v="2136"/>
    <s v="UN"/>
    <d v="2025-05-14T00:00:00"/>
    <n v="5"/>
    <d v="2025-08-14T00:00:00"/>
    <d v="2025-12-26T00:00:00"/>
    <x v="11"/>
    <n v="2025"/>
    <n v="19245600"/>
    <n v="18796800"/>
  </r>
  <r>
    <s v="4000006878"/>
    <s v="76201342-8"/>
    <s v="KNAUF CHILE SPA"/>
    <s v="6701212910"/>
    <s v="ZPCD"/>
    <s v="40"/>
    <x v="0"/>
    <s v="101"/>
    <s v="C004"/>
    <s v="E652"/>
    <n v="1"/>
    <s v="Local"/>
    <x v="0"/>
    <s v="Construccion"/>
    <x v="0"/>
    <s v="430503006"/>
    <s v="1232377"/>
    <s v="PL YESO CARTON RH 12.5X1200X2400 MM KNAU"/>
    <n v="717"/>
    <n v="717"/>
    <s v="UN"/>
    <d v="2025-05-14T00:00:00"/>
    <n v="5"/>
    <d v="2025-08-14T00:00:00"/>
    <d v="2025-12-26T00:00:00"/>
    <x v="11"/>
    <n v="2025"/>
    <n v="5817021"/>
    <n v="5817021"/>
  </r>
  <r>
    <s v="4000006878"/>
    <s v="76201342-8"/>
    <s v="KNAUF CHILE SPA"/>
    <s v="6701388606"/>
    <s v="ZPCD"/>
    <s v="30"/>
    <x v="0"/>
    <s v="101"/>
    <s v="C004"/>
    <s v="E652"/>
    <n v="1"/>
    <s v="Local"/>
    <x v="0"/>
    <s v="Construccion"/>
    <x v="0"/>
    <s v="430201001"/>
    <s v="896692"/>
    <s v="BANDA ACUSTICA 70MM ANCHO ROLLO X 30 M"/>
    <n v="11"/>
    <n v="11"/>
    <s v="ROM"/>
    <d v="2025-12-09T00:00:00"/>
    <n v="12"/>
    <d v="2026-03-31T00:00:00"/>
    <d v="2025-12-19T00:00:00"/>
    <x v="11"/>
    <n v="2025"/>
    <n v="153164"/>
    <n v="153164"/>
  </r>
  <r>
    <s v="4000006878"/>
    <s v="76201342-8"/>
    <s v="KNAUF CHILE SPA"/>
    <s v="6701388606"/>
    <s v="ZPCD"/>
    <s v="40"/>
    <x v="0"/>
    <s v="101"/>
    <s v="C004"/>
    <s v="E652"/>
    <n v="1"/>
    <s v="Local"/>
    <x v="0"/>
    <s v="Construccion"/>
    <x v="0"/>
    <s v="430203001"/>
    <s v="1252502"/>
    <s v="ROLLO LIBRE HR 80MM 1200X12000MM KNAUF"/>
    <n v="2"/>
    <n v="2"/>
    <s v="UN"/>
    <d v="2025-12-09T00:00:00"/>
    <n v="12"/>
    <d v="2026-03-31T00:00:00"/>
    <d v="2025-12-26T00:00:00"/>
    <x v="11"/>
    <n v="2025"/>
    <n v="74938"/>
    <n v="74938"/>
  </r>
  <r>
    <s v="4000006878"/>
    <s v="76201342-8"/>
    <s v="KNAUF CHILE SPA"/>
    <s v="6701388606"/>
    <s v="ZPCD"/>
    <s v="50"/>
    <x v="0"/>
    <s v="101"/>
    <s v="C004"/>
    <s v="E652"/>
    <n v="1"/>
    <s v="Local"/>
    <x v="0"/>
    <s v="Construccion"/>
    <x v="0"/>
    <s v="430203001"/>
    <s v="1236055"/>
    <s v="ROLLO LIBRE HR 50MM 1200X12000MM KNAUF"/>
    <n v="10"/>
    <n v="10"/>
    <s v="UN"/>
    <d v="2025-12-09T00:00:00"/>
    <n v="12"/>
    <d v="2026-03-31T00:00:00"/>
    <d v="2025-12-26T00:00:00"/>
    <x v="11"/>
    <n v="2025"/>
    <n v="242350"/>
    <n v="242350"/>
  </r>
  <r>
    <s v="4000006878"/>
    <s v="76201342-8"/>
    <s v="KNAUF CHILE SPA"/>
    <s v="6701388606"/>
    <s v="ZPCD"/>
    <s v="60"/>
    <x v="0"/>
    <s v="101"/>
    <s v="C004"/>
    <s v="E652"/>
    <n v="1"/>
    <s v="Local"/>
    <x v="0"/>
    <s v="Construccion"/>
    <x v="0"/>
    <s v="430503006"/>
    <s v="1309100"/>
    <s v="PLACA DIAMANT GKFI 15 1200 2400 BR"/>
    <n v="48"/>
    <n v="48"/>
    <s v="UN"/>
    <d v="2025-12-09T00:00:00"/>
    <n v="12"/>
    <d v="2026-03-31T00:00:00"/>
    <d v="2025-12-19T00:00:00"/>
    <x v="11"/>
    <n v="2025"/>
    <n v="804720"/>
    <n v="804720"/>
  </r>
  <r>
    <s v="4000006878"/>
    <s v="76201342-8"/>
    <s v="KNAUF CHILE SPA"/>
    <s v="6701388606"/>
    <s v="ZPCD"/>
    <s v="70"/>
    <x v="0"/>
    <s v="101"/>
    <s v="C004"/>
    <s v="E652"/>
    <n v="1"/>
    <s v="Local"/>
    <x v="0"/>
    <s v="Construccion"/>
    <x v="0"/>
    <s v="430503006"/>
    <s v="1296892"/>
    <s v="PLACA IMPACT 12.5X1200X2400 BR FR"/>
    <n v="189"/>
    <n v="189"/>
    <s v="UN"/>
    <d v="2025-12-09T00:00:00"/>
    <n v="12"/>
    <d v="2026-03-31T00:00:00"/>
    <d v="2025-12-19T00:00:00"/>
    <x v="11"/>
    <n v="2025"/>
    <n v="2158191"/>
    <n v="2158191"/>
  </r>
  <r>
    <s v="4000006878"/>
    <s v="76201342-8"/>
    <s v="KNAUF CHILE SPA"/>
    <s v="6701388606"/>
    <s v="ZPCD"/>
    <s v="80"/>
    <x v="0"/>
    <s v="101"/>
    <s v="C004"/>
    <s v="E652"/>
    <n v="1"/>
    <s v="Local"/>
    <x v="0"/>
    <s v="Construccion"/>
    <x v="0"/>
    <s v="430502003"/>
    <s v="1239233"/>
    <s v="PLACA IMPACT 15MM 120X240"/>
    <n v="49"/>
    <n v="49"/>
    <s v="UN"/>
    <d v="2025-12-09T00:00:00"/>
    <n v="12"/>
    <d v="2026-03-31T00:00:00"/>
    <d v="2025-12-19T00:00:00"/>
    <x v="11"/>
    <n v="2025"/>
    <n v="611177"/>
    <n v="611177"/>
  </r>
  <r>
    <s v="4000006878"/>
    <s v="76201342-8"/>
    <s v="KNAUF CHILE SPA"/>
    <s v="6701388628"/>
    <s v="ZPCD"/>
    <s v="10"/>
    <x v="0"/>
    <s v="101"/>
    <s v="C004"/>
    <s v="E652"/>
    <n v="1"/>
    <s v="Local"/>
    <x v="1"/>
    <s v="Ferreteria"/>
    <x v="0"/>
    <s v="430507002"/>
    <s v="1197751"/>
    <s v="GYPLAC 12.5X1.2X2.4 WATHER DEFENSE"/>
    <n v="50"/>
    <n v="50"/>
    <s v="UN"/>
    <d v="2025-12-09T00:00:00"/>
    <n v="12"/>
    <d v="2025-12-12T00:00:00"/>
    <d v="2025-12-15T00:00:00"/>
    <x v="11"/>
    <n v="2025"/>
    <n v="1548650"/>
    <n v="1548650"/>
  </r>
  <r>
    <s v="4000006878"/>
    <s v="76201342-8"/>
    <s v="KNAUF CHILE SPA"/>
    <s v="6701388628"/>
    <s v="ZPCD"/>
    <s v="20"/>
    <x v="0"/>
    <s v="101"/>
    <s v="C004"/>
    <s v="E652"/>
    <n v="1"/>
    <s v="Local"/>
    <x v="1"/>
    <s v="Ferreteria"/>
    <x v="0"/>
    <s v="430507002"/>
    <s v="1465435"/>
    <s v="AQUAPANEL WAT BARRIER 1.5M X 50M 50"/>
    <n v="2"/>
    <n v="2"/>
    <s v="UN"/>
    <d v="2025-12-09T00:00:00"/>
    <n v="12"/>
    <d v="2025-12-12T00:00:00"/>
    <d v="2025-12-15T00:00:00"/>
    <x v="11"/>
    <n v="2025"/>
    <n v="284546"/>
    <n v="284546"/>
  </r>
  <r>
    <s v="4000006878"/>
    <s v="76201342-8"/>
    <s v="KNAUF CHILE SPA"/>
    <s v="6701388628"/>
    <s v="ZPCD"/>
    <s v="30"/>
    <x v="0"/>
    <s v="101"/>
    <s v="C004"/>
    <s v="E652"/>
    <n v="1"/>
    <s v="Local"/>
    <x v="1"/>
    <s v="Ferreteria"/>
    <x v="0"/>
    <s v="430503001"/>
    <s v="1309477"/>
    <s v="CINTA PARA JUNTAS AQUAPANEL 10CM  50M"/>
    <n v="5"/>
    <n v="5"/>
    <s v="UN"/>
    <d v="2025-12-09T00:00:00"/>
    <n v="12"/>
    <d v="2025-12-12T00:00:00"/>
    <d v="2025-12-15T00:00:00"/>
    <x v="11"/>
    <n v="2025"/>
    <n v="70410"/>
    <n v="70410"/>
  </r>
  <r>
    <s v="4000006878"/>
    <s v="76201342-8"/>
    <s v="KNAUF CHILE SPA"/>
    <s v="6701388628"/>
    <s v="ZPCD"/>
    <s v="40"/>
    <x v="0"/>
    <s v="101"/>
    <s v="C004"/>
    <s v="E652"/>
    <n v="1"/>
    <s v="Local"/>
    <x v="1"/>
    <s v="Ferreteria"/>
    <x v="0"/>
    <s v="430401007"/>
    <s v="1441554"/>
    <s v="MORTERO AQUAPANEL 25 KG"/>
    <n v="4"/>
    <n v="4"/>
    <s v="UN"/>
    <d v="2025-12-09T00:00:00"/>
    <n v="12"/>
    <d v="2025-12-12T00:00:00"/>
    <d v="2025-12-15T00:00:00"/>
    <x v="11"/>
    <n v="2025"/>
    <n v="65288"/>
    <n v="65288"/>
  </r>
  <r>
    <s v="4000006878"/>
    <s v="76201342-8"/>
    <s v="KNAUF CHILE SPA"/>
    <s v="6701388628"/>
    <s v="ZPCD"/>
    <s v="50"/>
    <x v="0"/>
    <s v="101"/>
    <s v="C004"/>
    <s v="E652"/>
    <n v="1"/>
    <s v="Local"/>
    <x v="1"/>
    <s v="Ferreteria"/>
    <x v="0"/>
    <s v="130211005"/>
    <s v="1366503"/>
    <s v="AQUAPANEL TORNILLO MAXI TB 25MM"/>
    <n v="9"/>
    <n v="9"/>
    <s v="UN"/>
    <d v="2025-12-09T00:00:00"/>
    <n v="12"/>
    <d v="2025-12-12T00:00:00"/>
    <d v="2025-12-15T00:00:00"/>
    <x v="11"/>
    <n v="2025"/>
    <n v="99477"/>
    <n v="99477"/>
  </r>
  <r>
    <s v="4000006878"/>
    <s v="76201342-8"/>
    <s v="KNAUF CHILE SPA"/>
    <s v="6701389384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3"/>
    <n v="3"/>
    <s v="UN"/>
    <d v="2025-12-10T00:00:00"/>
    <n v="12"/>
    <d v="2026-12-11T00:00:00"/>
    <d v="2025-12-29T00:00:00"/>
    <x v="11"/>
    <n v="2025"/>
    <n v="241032"/>
    <n v="241032"/>
  </r>
  <r>
    <s v="4000006878"/>
    <s v="76201342-8"/>
    <s v="KNAUF CHILE SPA"/>
    <s v="6701389384"/>
    <s v="ZPCD"/>
    <s v="20"/>
    <x v="0"/>
    <s v="101"/>
    <s v="C004"/>
    <s v="E652"/>
    <n v="1"/>
    <s v="Local"/>
    <x v="0"/>
    <s v="Construccion"/>
    <x v="0"/>
    <s v="430502002"/>
    <s v="1266135"/>
    <s v="TRAVESANO 15/16VT24 610 ML 50"/>
    <n v="1"/>
    <n v="1"/>
    <s v="UN"/>
    <d v="2025-12-10T00:00:00"/>
    <n v="12"/>
    <d v="2026-12-11T00:00:00"/>
    <d v="2025-12-29T00:00:00"/>
    <x v="11"/>
    <n v="2025"/>
    <n v="59546"/>
    <n v="59546"/>
  </r>
  <r>
    <s v="4000006878"/>
    <s v="76201342-8"/>
    <s v="KNAUF CHILE SPA"/>
    <s v="6701389384"/>
    <s v="ZPCD"/>
    <s v="30"/>
    <x v="0"/>
    <s v="101"/>
    <s v="C004"/>
    <s v="E652"/>
    <n v="1"/>
    <s v="Local"/>
    <x v="0"/>
    <s v="Construccion"/>
    <x v="0"/>
    <s v="430502002"/>
    <s v="1266136"/>
    <s v="PERIMETRAL 20/20 3000MM 50"/>
    <n v="1"/>
    <n v="1"/>
    <s v="UN"/>
    <d v="2025-12-10T00:00:00"/>
    <n v="12"/>
    <d v="2026-12-11T00:00:00"/>
    <d v="2025-12-29T00:00:00"/>
    <x v="11"/>
    <n v="2025"/>
    <n v="97587"/>
    <n v="97587"/>
  </r>
  <r>
    <s v="4000006878"/>
    <s v="76201342-8"/>
    <s v="KNAUF CHILE SPA"/>
    <s v="6701390146"/>
    <s v="ZPCD"/>
    <s v="10"/>
    <x v="0"/>
    <s v="101"/>
    <s v="C004"/>
    <s v="E652"/>
    <n v="1"/>
    <s v="Local"/>
    <x v="0"/>
    <s v="Construccion"/>
    <x v="0"/>
    <s v="430503004"/>
    <s v="1504555"/>
    <s v="MASILLA READYMAS JUNTAS Y TERM. 20KG"/>
    <n v="255"/>
    <n v="255"/>
    <s v="UN"/>
    <d v="2025-12-11T00:00:00"/>
    <n v="12"/>
    <d v="2026-07-31T00:00:00"/>
    <d v="2025-12-16T00:00:00"/>
    <x v="11"/>
    <n v="2025"/>
    <n v="3258645"/>
    <n v="3258645"/>
  </r>
  <r>
    <s v="4000006878"/>
    <s v="76201342-8"/>
    <s v="KNAUF CHILE SPA"/>
    <s v="6701391095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40"/>
    <n v="40"/>
    <s v="UN"/>
    <d v="2025-12-15T00:00:00"/>
    <n v="12"/>
    <d v="2026-02-27T00:00:00"/>
    <d v="2025-12-30T00:00:00"/>
    <x v="11"/>
    <n v="2025"/>
    <n v="1180040"/>
    <n v="1180040"/>
  </r>
  <r>
    <s v="4000006878"/>
    <s v="76201342-8"/>
    <s v="KNAUF CHILE SPA"/>
    <s v="650870181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05T00:00:00"/>
    <n v="12"/>
    <d v="2025-12-18T00:00:00"/>
    <d v="2025-12-11T00:00:00"/>
    <x v="11"/>
    <n v="2025"/>
    <n v="1405320"/>
    <n v="1405320"/>
  </r>
  <r>
    <s v="4000006878"/>
    <s v="76201342-8"/>
    <s v="KNAUF CHILE SPA"/>
    <s v="650870181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12-05T00:00:00"/>
    <n v="12"/>
    <d v="2025-12-18T00:00:00"/>
    <d v="2025-12-11T00:00:00"/>
    <x v="11"/>
    <n v="2025"/>
    <n v="703000"/>
    <n v="703000"/>
  </r>
  <r>
    <s v="4000006878"/>
    <s v="76201342-8"/>
    <s v="KNAUF CHILE SPA"/>
    <s v="650871155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12T00:00:00"/>
    <n v="12"/>
    <d v="2025-12-24T00:00:00"/>
    <d v="2025-12-17T00:00:00"/>
    <x v="11"/>
    <n v="2025"/>
    <n v="1405320"/>
    <n v="1405320"/>
  </r>
  <r>
    <s v="4000006878"/>
    <s v="76201342-8"/>
    <s v="KNAUF CHILE SPA"/>
    <s v="650871155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2-12T00:00:00"/>
    <n v="12"/>
    <d v="2025-12-24T00:00:00"/>
    <d v="2025-12-17T00:00:00"/>
    <x v="11"/>
    <n v="2025"/>
    <n v="1406000"/>
    <n v="1406000"/>
  </r>
  <r>
    <s v="4000006878"/>
    <s v="76201342-8"/>
    <s v="KNAUF CHILE SPA"/>
    <s v="6508711559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2"/>
    <s v="PAL"/>
    <d v="2025-12-12T00:00:00"/>
    <n v="12"/>
    <d v="2025-12-24T00:00:00"/>
    <d v="2025-12-17T00:00:00"/>
    <x v="11"/>
    <n v="2025"/>
    <n v="837440"/>
    <n v="837440"/>
  </r>
  <r>
    <s v="4000006878"/>
    <s v="76201342-8"/>
    <s v="KNAUF CHILE SPA"/>
    <s v="6508711559"/>
    <s v="ZPMC"/>
    <s v="20"/>
    <x v="1"/>
    <s v="101"/>
    <s v="C004"/>
    <s v="E521"/>
    <n v="1"/>
    <s v="Local"/>
    <x v="0"/>
    <s v="Construccion"/>
    <x v="0"/>
    <s v="430503006"/>
    <s v="1232376"/>
    <s v="PLANCHA YESO CARTON RF 12.5X1200X2400MM"/>
    <n v="1"/>
    <n v="1"/>
    <s v="PAL"/>
    <d v="2025-12-12T00:00:00"/>
    <n v="12"/>
    <d v="2025-12-24T00:00:00"/>
    <d v="2025-12-17T00:00:00"/>
    <x v="11"/>
    <n v="2025"/>
    <n v="517860"/>
    <n v="517860"/>
  </r>
  <r>
    <s v="4000006878"/>
    <s v="76201342-8"/>
    <s v="KNAUF CHILE SPA"/>
    <s v="6508711559"/>
    <s v="ZPMC"/>
    <s v="3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2-12T00:00:00"/>
    <n v="12"/>
    <d v="2025-12-24T00:00:00"/>
    <d v="2025-12-17T00:00:00"/>
    <x v="11"/>
    <n v="2025"/>
    <n v="732480"/>
    <n v="732480"/>
  </r>
  <r>
    <s v="4000006878"/>
    <s v="76201342-8"/>
    <s v="KNAUF CHILE SPA"/>
    <s v="6508711559"/>
    <s v="ZPMC"/>
    <s v="4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2-12T00:00:00"/>
    <n v="12"/>
    <d v="2025-12-24T00:00:00"/>
    <d v="2025-12-17T00:00:00"/>
    <x v="11"/>
    <n v="2025"/>
    <n v="1405320"/>
    <n v="1405320"/>
  </r>
  <r>
    <s v="4000006878"/>
    <s v="76201342-8"/>
    <s v="KNAUF CHILE SPA"/>
    <s v="6701381875"/>
    <s v="ZPCD"/>
    <s v="10"/>
    <x v="0"/>
    <s v="101"/>
    <s v="C004"/>
    <s v="E522"/>
    <n v="1"/>
    <s v="Local"/>
    <x v="0"/>
    <s v="Construccion"/>
    <x v="0"/>
    <s v="430503002"/>
    <s v="940908"/>
    <s v="VE PL SAFEBOARD 12.5MM GFK 0625X2500MM"/>
    <n v="30"/>
    <n v="30"/>
    <s v="UN"/>
    <d v="2025-12-02T00:00:00"/>
    <n v="12"/>
    <d v="2025-12-02T00:00:00"/>
    <d v="2025-12-11T00:00:00"/>
    <x v="11"/>
    <n v="2025"/>
    <n v="3261450"/>
    <n v="3261450"/>
  </r>
  <r>
    <s v="4000006878"/>
    <s v="76201342-8"/>
    <s v="KNAUF CHILE SPA"/>
    <s v="6701381875"/>
    <s v="ZPCD"/>
    <s v="20"/>
    <x v="0"/>
    <s v="101"/>
    <s v="C004"/>
    <s v="E522"/>
    <n v="1"/>
    <s v="Local"/>
    <x v="0"/>
    <s v="Construccion"/>
    <x v="0"/>
    <s v="430506002"/>
    <s v="1495303"/>
    <s v="PASTA SAFEBOARD 5 KG KNAUF"/>
    <n v="4"/>
    <n v="4"/>
    <s v="UN"/>
    <d v="2025-12-02T00:00:00"/>
    <n v="12"/>
    <d v="2025-12-02T00:00:00"/>
    <d v="2025-12-11T00:00:00"/>
    <x v="11"/>
    <n v="2025"/>
    <n v="121820"/>
    <n v="121820"/>
  </r>
  <r>
    <s v="4000006878"/>
    <s v="76201342-8"/>
    <s v="KNAUF CHILE SPA"/>
    <s v="6701381875"/>
    <s v="ZPCD"/>
    <s v="30"/>
    <x v="0"/>
    <s v="101"/>
    <s v="C004"/>
    <s v="E522"/>
    <n v="1"/>
    <s v="Local"/>
    <x v="0"/>
    <s v="Construccion"/>
    <x v="0"/>
    <s v="430507002"/>
    <s v="938731"/>
    <s v="SERVICIO FLETE"/>
    <n v="1"/>
    <n v="1"/>
    <s v="UN"/>
    <d v="2025-12-02T00:00:00"/>
    <n v="12"/>
    <d v="2025-12-02T00:00:00"/>
    <d v="2025-12-11T00:00:00"/>
    <x v="11"/>
    <n v="2025"/>
    <n v="58000"/>
    <n v="58000"/>
  </r>
  <r>
    <s v="4000006878"/>
    <s v="76201342-8"/>
    <s v="KNAUF CHILE SPA"/>
    <s v="6701382356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12-02T00:00:00"/>
    <n v="12"/>
    <d v="2025-12-03T00:00:00"/>
    <d v="2025-12-02T00:00:00"/>
    <x v="11"/>
    <n v="2025"/>
    <n v="2692500"/>
    <n v="2692500"/>
  </r>
  <r>
    <s v="4000006878"/>
    <s v="76201342-8"/>
    <s v="KNAUF CHILE SPA"/>
    <s v="6701382356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12-02T00:00:00"/>
    <n v="12"/>
    <d v="2025-12-03T00:00:00"/>
    <d v="2025-12-02T00:00:00"/>
    <x v="11"/>
    <n v="2025"/>
    <n v="51900"/>
    <n v="51900"/>
  </r>
  <r>
    <s v="4000006878"/>
    <s v="76201342-8"/>
    <s v="KNAUF CHILE SPA"/>
    <s v="6701382483"/>
    <s v="ZPCD"/>
    <s v="10"/>
    <x v="0"/>
    <s v="101"/>
    <s v="C004"/>
    <s v="E874"/>
    <n v="1"/>
    <s v="Local"/>
    <x v="0"/>
    <s v="Construccion"/>
    <x v="0"/>
    <s v="430401007"/>
    <s v="1246707"/>
    <s v="AQUAPANEL MORTERO SUP. BLANCO 25KG"/>
    <n v="93"/>
    <n v="93"/>
    <s v="UN"/>
    <d v="2025-12-02T00:00:00"/>
    <n v="12"/>
    <d v="2025-12-03T00:00:00"/>
    <d v="2025-12-02T00:00:00"/>
    <x v="11"/>
    <n v="2025"/>
    <n v="1381236"/>
    <n v="1381236"/>
  </r>
  <r>
    <s v="4000006878"/>
    <s v="76201342-8"/>
    <s v="KNAUF CHILE SPA"/>
    <s v="6701382483"/>
    <s v="ZPCD"/>
    <s v="20"/>
    <x v="0"/>
    <s v="101"/>
    <s v="C004"/>
    <s v="E874"/>
    <n v="1"/>
    <s v="Local"/>
    <x v="0"/>
    <s v="Construccion"/>
    <x v="0"/>
    <s v="430507002"/>
    <s v="938731"/>
    <s v="SERVICIO FLETE"/>
    <n v="93"/>
    <n v="93"/>
    <s v="UN"/>
    <d v="2025-12-02T00:00:00"/>
    <n v="12"/>
    <d v="2025-12-03T00:00:00"/>
    <d v="2025-12-02T00:00:00"/>
    <x v="11"/>
    <n v="2025"/>
    <n v="9300"/>
    <n v="9300"/>
  </r>
  <r>
    <s v="4000006878"/>
    <s v="76201342-8"/>
    <s v="KNAUF CHILE SPA"/>
    <s v="6701384518"/>
    <s v="ZPCD"/>
    <s v="10"/>
    <x v="0"/>
    <s v="101"/>
    <s v="C004"/>
    <s v="E652"/>
    <n v="1"/>
    <s v="Local"/>
    <x v="0"/>
    <s v="Construccion"/>
    <x v="0"/>
    <s v="430201001"/>
    <s v="1246708"/>
    <s v="AQUAPANEL MALLA SUP. OUT /IND 1X50"/>
    <n v="11"/>
    <n v="11"/>
    <s v="UN"/>
    <d v="2025-12-03T00:00:00"/>
    <n v="12"/>
    <d v="2026-02-27T00:00:00"/>
    <d v="2025-12-19T00:00:00"/>
    <x v="11"/>
    <n v="2025"/>
    <n v="836990"/>
    <n v="836990"/>
  </r>
  <r>
    <s v="4000006878"/>
    <s v="76201342-8"/>
    <s v="KNAUF CHILE SPA"/>
    <s v="670138455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6"/>
    <n v="6"/>
    <s v="UN"/>
    <d v="2025-12-03T00:00:00"/>
    <n v="12"/>
    <d v="2025-12-03T00:00:00"/>
    <d v="2025-12-16T00:00:00"/>
    <x v="11"/>
    <n v="2025"/>
    <n v="282054"/>
    <n v="282054"/>
  </r>
  <r>
    <s v="4000006878"/>
    <s v="76201342-8"/>
    <s v="KNAUF CHILE SPA"/>
    <s v="6701391360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466"/>
    <n v="280"/>
    <s v="UN"/>
    <d v="2025-12-15T00:00:00"/>
    <n v="12"/>
    <d v="2026-03-31T00:00:00"/>
    <d v="2026-01-12T00:00:00"/>
    <x v="0"/>
    <n v="2026"/>
    <n v="13747000"/>
    <n v="8260000"/>
  </r>
  <r>
    <s v="4000006878"/>
    <s v="76201342-8"/>
    <s v="KNAUF CHILE SPA"/>
    <s v="6701391360"/>
    <s v="ZPCD"/>
    <s v="20"/>
    <x v="0"/>
    <s v="101"/>
    <s v="C004"/>
    <s v="E652"/>
    <n v="1"/>
    <s v="Local"/>
    <x v="0"/>
    <s v="Construccion"/>
    <x v="0"/>
    <s v="430502003"/>
    <s v="1239233"/>
    <s v="PLACA IMPACT 15MM 120X240"/>
    <n v="31"/>
    <n v="31"/>
    <s v="UN"/>
    <d v="2025-12-15T00:00:00"/>
    <n v="12"/>
    <d v="2026-03-31T00:00:00"/>
    <d v="2026-01-12T00:00:00"/>
    <x v="0"/>
    <n v="2026"/>
    <n v="341589"/>
    <n v="341589"/>
  </r>
  <r>
    <s v="4000006878"/>
    <s v="76201342-8"/>
    <s v="KNAUF CHILE SPA"/>
    <s v="6701357970"/>
    <s v="ZPCD"/>
    <s v="10"/>
    <x v="0"/>
    <s v="101"/>
    <s v="C004"/>
    <s v="E652"/>
    <n v="1"/>
    <s v="Local"/>
    <x v="0"/>
    <s v="Construccion"/>
    <x v="0"/>
    <s v="430209001"/>
    <s v="1301779"/>
    <s v="F47 MAESTRA F 47/17/05 4000"/>
    <n v="930"/>
    <n v="930"/>
    <s v="UN"/>
    <d v="2025-11-12T00:00:00"/>
    <n v="11"/>
    <d v="2026-01-31T00:00:00"/>
    <d v="2026-01-06T00:00:00"/>
    <x v="0"/>
    <n v="2026"/>
    <n v="4300320"/>
    <n v="4300320"/>
  </r>
  <r>
    <s v="4000006878"/>
    <s v="76201342-8"/>
    <s v="KNAUF CHILE SPA"/>
    <s v="6701357970"/>
    <s v="ZPCD"/>
    <s v="20"/>
    <x v="0"/>
    <s v="101"/>
    <s v="C004"/>
    <s v="E652"/>
    <n v="1"/>
    <s v="Local"/>
    <x v="0"/>
    <s v="Construccion"/>
    <x v="0"/>
    <s v="430209001"/>
    <s v="1301781"/>
    <s v="F47 ANCLAJE DIRECTO 100 UNID"/>
    <n v="24"/>
    <n v="24"/>
    <s v="UN"/>
    <d v="2025-11-12T00:00:00"/>
    <n v="11"/>
    <d v="2026-01-31T00:00:00"/>
    <d v="2026-01-06T00:00:00"/>
    <x v="0"/>
    <n v="2026"/>
    <n v="1289208"/>
    <n v="1289208"/>
  </r>
  <r>
    <s v="4000006878"/>
    <s v="76201342-8"/>
    <s v="KNAUF CHILE SPA"/>
    <s v="6701357970"/>
    <s v="ZPCD"/>
    <s v="30"/>
    <x v="0"/>
    <s v="101"/>
    <s v="C004"/>
    <s v="E652"/>
    <n v="1"/>
    <s v="Local"/>
    <x v="0"/>
    <s v="Construccion"/>
    <x v="0"/>
    <s v="430209001"/>
    <s v="1301782"/>
    <s v="F47 CABALLETE MAESTRA 100 UNID"/>
    <n v="32"/>
    <n v="32"/>
    <s v="UN"/>
    <d v="2025-11-12T00:00:00"/>
    <n v="11"/>
    <d v="2026-01-31T00:00:00"/>
    <d v="2026-01-06T00:00:00"/>
    <x v="0"/>
    <n v="2026"/>
    <n v="1987520"/>
    <n v="1987520"/>
  </r>
  <r>
    <s v="4000006878"/>
    <s v="76201342-8"/>
    <s v="KNAUF CHILE SPA"/>
    <s v="6701357970"/>
    <s v="ZPCD"/>
    <s v="40"/>
    <x v="0"/>
    <s v="101"/>
    <s v="C004"/>
    <s v="E652"/>
    <n v="1"/>
    <s v="Local"/>
    <x v="0"/>
    <s v="Construccion"/>
    <x v="0"/>
    <s v="430106004"/>
    <s v="1301780"/>
    <s v="F47 PERFIL U 25/20/05 3000"/>
    <n v="121"/>
    <n v="121"/>
    <s v="UN"/>
    <d v="2025-11-12T00:00:00"/>
    <n v="11"/>
    <d v="2026-01-31T00:00:00"/>
    <d v="2026-01-06T00:00:00"/>
    <x v="0"/>
    <n v="2026"/>
    <n v="369534"/>
    <n v="369534"/>
  </r>
  <r>
    <s v="4000006878"/>
    <s v="76201342-8"/>
    <s v="KNAUF CHILE SPA"/>
    <s v="6701357970"/>
    <s v="ZPCD"/>
    <s v="50"/>
    <x v="0"/>
    <s v="101"/>
    <s v="C004"/>
    <s v="E652"/>
    <n v="1"/>
    <s v="Local"/>
    <x v="0"/>
    <s v="Construccion"/>
    <x v="0"/>
    <s v="430209001"/>
    <s v="1301783"/>
    <s v="F47 EMPALME PARA MAESTRA F47 .50 UNID"/>
    <n v="11"/>
    <n v="11"/>
    <s v="UN"/>
    <d v="2025-11-12T00:00:00"/>
    <n v="11"/>
    <d v="2026-01-31T00:00:00"/>
    <d v="2026-01-06T00:00:00"/>
    <x v="0"/>
    <n v="2026"/>
    <n v="129261"/>
    <n v="129261"/>
  </r>
  <r>
    <s v="4000006878"/>
    <s v="76201342-8"/>
    <s v="KNAUF CHILE SPA"/>
    <s v="6701395563"/>
    <s v="ZPCD"/>
    <s v="30"/>
    <x v="0"/>
    <s v="101"/>
    <s v="C004"/>
    <s v="E652"/>
    <n v="1"/>
    <s v="Local"/>
    <x v="0"/>
    <s v="Construccion"/>
    <x v="0"/>
    <s v="430506002"/>
    <s v="1249225"/>
    <s v="PEGAMENTO PERLFIX 25 KGS"/>
    <n v="523"/>
    <n v="100"/>
    <s v="UN"/>
    <d v="2025-12-22T00:00:00"/>
    <n v="12"/>
    <d v="2026-04-30T00:00:00"/>
    <d v="2026-01-15T00:00:00"/>
    <x v="0"/>
    <n v="2026"/>
    <n v="4808462"/>
    <n v="919400"/>
  </r>
  <r>
    <s v="4000006878"/>
    <s v="76201342-8"/>
    <s v="KNAUF CHILE SPA"/>
    <s v="6701395563"/>
    <s v="ZPCD"/>
    <s v="40"/>
    <x v="0"/>
    <s v="101"/>
    <s v="C004"/>
    <s v="E652"/>
    <n v="1"/>
    <s v="Local"/>
    <x v="0"/>
    <s v="Construccion"/>
    <x v="0"/>
    <s v="430503006"/>
    <s v="1441557"/>
    <s v="PLACA AQUAPANEL RESIDENCIAL 8 1200X2400"/>
    <n v="402"/>
    <n v="280"/>
    <s v="UN"/>
    <d v="2025-12-22T00:00:00"/>
    <n v="12"/>
    <d v="2026-04-30T00:00:00"/>
    <d v="2026-01-15T00:00:00"/>
    <x v="0"/>
    <n v="2026"/>
    <n v="6119244"/>
    <n v="4262160"/>
  </r>
  <r>
    <s v="4000006878"/>
    <s v="76201342-8"/>
    <s v="KNAUF CHILE SPA"/>
    <s v="6701395937"/>
    <s v="ZPCD"/>
    <s v="10"/>
    <x v="0"/>
    <s v="101"/>
    <s v="C004"/>
    <s v="E507"/>
    <n v="1"/>
    <s v="Local"/>
    <x v="0"/>
    <s v="Construccion"/>
    <x v="0"/>
    <s v="430503006"/>
    <s v="1309100"/>
    <s v="PLACA DIAMANT GKFI 15 1200 2400 BR"/>
    <n v="37"/>
    <n v="37"/>
    <s v="UN"/>
    <d v="2025-12-26T00:00:00"/>
    <n v="12"/>
    <d v="2026-01-07T00:00:00"/>
    <d v="2026-01-05T00:00:00"/>
    <x v="0"/>
    <n v="2026"/>
    <n v="701927"/>
    <n v="701927"/>
  </r>
  <r>
    <s v="4000006878"/>
    <s v="76201342-8"/>
    <s v="KNAUF CHILE SPA"/>
    <s v="6701395937"/>
    <s v="ZPCD"/>
    <s v="20"/>
    <x v="0"/>
    <s v="101"/>
    <s v="C004"/>
    <s v="E507"/>
    <n v="1"/>
    <s v="Local"/>
    <x v="0"/>
    <s v="Construccion"/>
    <x v="0"/>
    <s v="430503006"/>
    <s v="1504855"/>
    <s v="PLACA DE YESO TORRO 28 599X624 60"/>
    <n v="145"/>
    <n v="145"/>
    <s v="UN"/>
    <d v="2025-12-26T00:00:00"/>
    <n v="12"/>
    <d v="2026-01-07T00:00:00"/>
    <d v="2026-01-05T00:00:00"/>
    <x v="0"/>
    <n v="2026"/>
    <n v="4119160"/>
    <n v="4119160"/>
  </r>
  <r>
    <s v="4000006878"/>
    <s v="76201342-8"/>
    <s v="KNAUF CHILE SPA"/>
    <s v="6701393336"/>
    <s v="ZPCD"/>
    <s v="30"/>
    <x v="0"/>
    <s v="101"/>
    <s v="C004"/>
    <s v="E652"/>
    <n v="1"/>
    <s v="Local"/>
    <x v="0"/>
    <s v="Construccion"/>
    <x v="0"/>
    <s v="430507002"/>
    <s v="938731"/>
    <s v="SERVICIO FLETE"/>
    <n v="2"/>
    <n v="2"/>
    <s v="UN"/>
    <d v="2025-12-17T00:00:00"/>
    <n v="12"/>
    <d v="2026-04-30T00:00:00"/>
    <d v="2026-01-14T00:00:00"/>
    <x v="0"/>
    <n v="2026"/>
    <n v="130000"/>
    <n v="130000"/>
  </r>
  <r>
    <s v="4000006878"/>
    <s v="76201342-8"/>
    <s v="KNAUF CHILE SPA"/>
    <s v="6701392684"/>
    <s v="ZPCD"/>
    <s v="60"/>
    <x v="0"/>
    <s v="101"/>
    <s v="C004"/>
    <s v="E652"/>
    <n v="1"/>
    <s v="Local"/>
    <x v="0"/>
    <s v="Construccion"/>
    <x v="0"/>
    <s v="430503006"/>
    <s v="1236053"/>
    <s v="PL YESO CARTON ST 10X1200X3000MM KNAUF"/>
    <n v="344"/>
    <n v="344"/>
    <s v="UN"/>
    <d v="2025-12-17T00:00:00"/>
    <n v="12"/>
    <d v="2026-02-19T00:00:00"/>
    <d v="2026-01-14T00:00:00"/>
    <x v="0"/>
    <n v="2026"/>
    <n v="1414528"/>
    <n v="1414528"/>
  </r>
  <r>
    <s v="4000006878"/>
    <s v="76201342-8"/>
    <s v="KNAUF CHILE SPA"/>
    <s v="6701392684"/>
    <s v="ZPCD"/>
    <s v="70"/>
    <x v="0"/>
    <s v="101"/>
    <s v="C004"/>
    <s v="E652"/>
    <n v="1"/>
    <s v="Local"/>
    <x v="0"/>
    <s v="Construccion"/>
    <x v="0"/>
    <s v="430203001"/>
    <s v="1236055"/>
    <s v="ROLLO LIBRE HR 50MM 1200X12000MM KNAUF"/>
    <n v="469"/>
    <n v="390"/>
    <s v="UN"/>
    <d v="2025-12-17T00:00:00"/>
    <n v="12"/>
    <d v="2026-02-19T00:00:00"/>
    <d v="2026-01-30T00:00:00"/>
    <x v="0"/>
    <n v="2026"/>
    <n v="11655119"/>
    <n v="9691890"/>
  </r>
  <r>
    <s v="4000006878"/>
    <s v="76201342-8"/>
    <s v="KNAUF CHILE SPA"/>
    <s v="6701351925"/>
    <s v="ZPCD"/>
    <s v="20"/>
    <x v="0"/>
    <s v="101"/>
    <s v="C004"/>
    <s v="E652"/>
    <n v="1"/>
    <s v="Local"/>
    <x v="0"/>
    <s v="Construccion"/>
    <x v="0"/>
    <s v="430502003"/>
    <s v="1232499"/>
    <s v="PLACA CLEANEO PLUS 8/15/20 12.5MM 1200X2"/>
    <n v="432"/>
    <n v="307"/>
    <s v="M2"/>
    <d v="2025-10-30T00:00:00"/>
    <n v="10"/>
    <d v="2026-01-31T00:00:00"/>
    <d v="2026-01-12T00:00:00"/>
    <x v="0"/>
    <n v="2026"/>
    <n v="8957520"/>
    <n v="6365645"/>
  </r>
  <r>
    <s v="4000006878"/>
    <s v="76201342-8"/>
    <s v="KNAUF CHILE SPA"/>
    <s v="6701342003"/>
    <s v="ZPCD"/>
    <s v="10"/>
    <x v="0"/>
    <s v=""/>
    <s v="C004"/>
    <s v="E652"/>
    <n v="1"/>
    <s v="Local"/>
    <x v="0"/>
    <s v="Construccion"/>
    <x v="0"/>
    <s v="430503006"/>
    <s v="1460002"/>
    <s v="AQUAPANEL PLACA R. 8MM 1200X2400"/>
    <n v="36"/>
    <n v="0"/>
    <s v="UN"/>
    <d v="2025-10-10T00:00:00"/>
    <n v="10"/>
    <d v="2026-01-31T00:00:00"/>
    <m/>
    <x v="0"/>
    <n v="2026"/>
    <n v="547992"/>
    <n v="0"/>
  </r>
  <r>
    <s v="4000006878"/>
    <s v="76201342-8"/>
    <s v="KNAUF CHILE SPA"/>
    <s v="6701342003"/>
    <s v="ZPCD"/>
    <s v="20"/>
    <x v="0"/>
    <s v=""/>
    <s v="C004"/>
    <s v="E652"/>
    <n v="1"/>
    <s v="Local"/>
    <x v="0"/>
    <s v="Construccion"/>
    <x v="0"/>
    <s v="430503006"/>
    <s v="1232377"/>
    <s v="PLANCHA YESO CARTON RH 12.5X1200X2400MM"/>
    <n v="31"/>
    <n v="0"/>
    <s v="UN"/>
    <d v="2025-10-10T00:00:00"/>
    <n v="10"/>
    <d v="2026-01-31T00:00:00"/>
    <m/>
    <x v="0"/>
    <n v="2026"/>
    <n v="251503"/>
    <n v="0"/>
  </r>
  <r>
    <s v="4000006878"/>
    <s v="76201342-8"/>
    <s v="KNAUF CHILE SPA"/>
    <s v="6701342003"/>
    <s v="ZPCD"/>
    <s v="30"/>
    <x v="0"/>
    <s v=""/>
    <s v="C004"/>
    <s v="E652"/>
    <n v="1"/>
    <s v="Local"/>
    <x v="0"/>
    <s v="Construccion"/>
    <x v="0"/>
    <s v="430503006"/>
    <s v="1232378"/>
    <s v="PLANCHA YESO CARTON ST BR 10MMX1.2X2.4M"/>
    <n v="6"/>
    <n v="0"/>
    <s v="UN"/>
    <d v="2025-10-10T00:00:00"/>
    <n v="10"/>
    <d v="2026-01-31T00:00:00"/>
    <m/>
    <x v="0"/>
    <n v="2026"/>
    <n v="22560"/>
    <n v="0"/>
  </r>
  <r>
    <s v="4000006878"/>
    <s v="76201342-8"/>
    <s v="KNAUF CHILE SPA"/>
    <s v="6701342003"/>
    <s v="ZPCD"/>
    <s v="40"/>
    <x v="0"/>
    <s v=""/>
    <s v="C004"/>
    <s v="E652"/>
    <n v="1"/>
    <s v="Local"/>
    <x v="0"/>
    <s v="Construccion"/>
    <x v="0"/>
    <s v="430503006"/>
    <s v="1230794"/>
    <s v="PL YESO CARTON ST BR 15X1200X2400MM KNAU"/>
    <n v="53"/>
    <n v="0"/>
    <s v="M2"/>
    <d v="2025-10-10T00:00:00"/>
    <n v="10"/>
    <d v="2026-01-31T00:00:00"/>
    <m/>
    <x v="0"/>
    <n v="2026"/>
    <n v="296482"/>
    <n v="0"/>
  </r>
  <r>
    <s v="4000006878"/>
    <s v="76201342-8"/>
    <s v="KNAUF CHILE SPA"/>
    <s v="6701342003"/>
    <s v="ZPCD"/>
    <s v="50"/>
    <x v="0"/>
    <s v=""/>
    <s v="C004"/>
    <s v="E652"/>
    <n v="1"/>
    <s v="Local"/>
    <x v="0"/>
    <s v="Construccion"/>
    <x v="0"/>
    <s v="430507002"/>
    <s v="938731"/>
    <s v="SERVICIO FLETE"/>
    <n v="1"/>
    <n v="0"/>
    <s v="UN"/>
    <d v="2025-10-10T00:00:00"/>
    <n v="10"/>
    <d v="2026-01-31T00:00:00"/>
    <m/>
    <x v="0"/>
    <n v="2026"/>
    <n v="58000"/>
    <n v="0"/>
  </r>
  <r>
    <s v="4000006878"/>
    <s v="76201342-8"/>
    <s v="KNAUF CHILE SPA"/>
    <s v="6508729332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6"/>
    <n v="6"/>
    <s v="PAL"/>
    <d v="2025-12-30T00:00:00"/>
    <n v="12"/>
    <d v="2026-01-12T00:00:00"/>
    <d v="2026-01-12T00:00:00"/>
    <x v="0"/>
    <n v="2026"/>
    <n v="2107980"/>
    <n v="2107980"/>
  </r>
  <r>
    <s v="4000006878"/>
    <s v="76201342-8"/>
    <s v="KNAUF CHILE SPA"/>
    <s v="6508733619"/>
    <s v="ZPMC"/>
    <s v="10"/>
    <x v="1"/>
    <s v=""/>
    <s v="C004"/>
    <s v="E517"/>
    <n v="1"/>
    <s v="Local"/>
    <x v="0"/>
    <s v="Construccion"/>
    <x v="0"/>
    <s v="430503004"/>
    <s v="1230790"/>
    <s v="MASILLA BASE KNAUF 20KG"/>
    <n v="200"/>
    <n v="0"/>
    <s v="UN"/>
    <d v="2025-12-31T00:00:00"/>
    <n v="12"/>
    <d v="2026-01-13T00:00:00"/>
    <m/>
    <x v="0"/>
    <n v="2026"/>
    <n v="1739200"/>
    <n v="0"/>
  </r>
  <r>
    <s v="4000006878"/>
    <s v="76201342-8"/>
    <s v="KNAUF CHILE SPA"/>
    <s v="6508733620"/>
    <s v="ZPMC"/>
    <s v="10"/>
    <x v="1"/>
    <s v="101"/>
    <s v="C004"/>
    <s v="E521"/>
    <n v="1"/>
    <s v="Local"/>
    <x v="0"/>
    <s v="Construccion"/>
    <x v="0"/>
    <s v="430503006"/>
    <s v="1232378"/>
    <s v="PLANCHA YESO CARTON ST BR 10MMX1.2X2.4M"/>
    <n v="6"/>
    <n v="6"/>
    <s v="PAL"/>
    <d v="2025-12-31T00:00:00"/>
    <n v="12"/>
    <d v="2026-01-13T00:00:00"/>
    <d v="2026-01-08T00:00:00"/>
    <x v="0"/>
    <n v="2026"/>
    <n v="2107980"/>
    <n v="2107980"/>
  </r>
  <r>
    <s v="4000006878"/>
    <s v="76201342-8"/>
    <s v="KNAUF CHILE SPA"/>
    <s v="650873362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12-31T00:00:00"/>
    <n v="12"/>
    <d v="2026-01-13T00:00:00"/>
    <d v="2026-01-08T00:00:00"/>
    <x v="0"/>
    <n v="2026"/>
    <n v="702660"/>
    <n v="702660"/>
  </r>
  <r>
    <s v="4000006878"/>
    <s v="76201342-8"/>
    <s v="KNAUF CHILE SPA"/>
    <s v="650873362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2-31T00:00:00"/>
    <n v="12"/>
    <d v="2026-01-13T00:00:00"/>
    <d v="2026-01-08T00:00:00"/>
    <x v="0"/>
    <n v="2026"/>
    <n v="703000"/>
    <n v="703000"/>
  </r>
  <r>
    <s v="4000006878"/>
    <s v="76201342-8"/>
    <s v="KNAUF CHILE SPA"/>
    <s v="6701351673"/>
    <s v="ZPCD"/>
    <s v="10"/>
    <x v="0"/>
    <s v=""/>
    <s v="C004"/>
    <s v="E652"/>
    <n v="1"/>
    <s v="Local"/>
    <x v="0"/>
    <s v="Construccion"/>
    <x v="0"/>
    <s v="430209001"/>
    <s v="1301779"/>
    <s v="F47 MAESTRA F 47/17/05 4000"/>
    <n v="930"/>
    <n v="0"/>
    <s v="UN"/>
    <d v="2025-10-30T00:00:00"/>
    <n v="10"/>
    <d v="2026-01-31T00:00:00"/>
    <m/>
    <x v="0"/>
    <n v="2026"/>
    <n v="1089030"/>
    <n v="0"/>
  </r>
  <r>
    <s v="4000006878"/>
    <s v="76201342-8"/>
    <s v="KNAUF CHILE SPA"/>
    <s v="6701351673"/>
    <s v="ZPCD"/>
    <s v="20"/>
    <x v="0"/>
    <s v=""/>
    <s v="C004"/>
    <s v="E652"/>
    <n v="1"/>
    <s v="Local"/>
    <x v="0"/>
    <s v="Construccion"/>
    <x v="0"/>
    <s v="430209001"/>
    <s v="1301781"/>
    <s v="F47 ANCLAJE DIRECTO 100 UNID"/>
    <n v="24"/>
    <n v="0"/>
    <s v="UN"/>
    <d v="2025-10-30T00:00:00"/>
    <n v="10"/>
    <d v="2026-01-31T00:00:00"/>
    <m/>
    <x v="0"/>
    <n v="2026"/>
    <n v="1305120"/>
    <n v="0"/>
  </r>
  <r>
    <s v="4000006878"/>
    <s v="76201342-8"/>
    <s v="KNAUF CHILE SPA"/>
    <s v="6701351673"/>
    <s v="ZPCD"/>
    <s v="30"/>
    <x v="0"/>
    <s v=""/>
    <s v="C004"/>
    <s v="E652"/>
    <n v="1"/>
    <s v="Local"/>
    <x v="0"/>
    <s v="Construccion"/>
    <x v="0"/>
    <s v="430209001"/>
    <s v="1301782"/>
    <s v="F47 CABALLETE MAESTRA 100 UNID"/>
    <n v="32"/>
    <n v="0"/>
    <s v="UN"/>
    <d v="2025-10-30T00:00:00"/>
    <n v="10"/>
    <d v="2026-01-31T00:00:00"/>
    <m/>
    <x v="0"/>
    <n v="2026"/>
    <n v="2012064"/>
    <n v="0"/>
  </r>
  <r>
    <s v="4000006878"/>
    <s v="76201342-8"/>
    <s v="KNAUF CHILE SPA"/>
    <s v="6701351673"/>
    <s v="ZPCD"/>
    <s v="40"/>
    <x v="0"/>
    <s v=""/>
    <s v="C004"/>
    <s v="E652"/>
    <n v="1"/>
    <s v="Local"/>
    <x v="0"/>
    <s v="Construccion"/>
    <x v="0"/>
    <s v="430106004"/>
    <s v="1301780"/>
    <s v="F47 PERFIL U 25/20/05 3000"/>
    <n v="121"/>
    <n v="0"/>
    <s v="UN"/>
    <d v="2025-10-30T00:00:00"/>
    <n v="10"/>
    <d v="2026-01-31T00:00:00"/>
    <m/>
    <x v="0"/>
    <n v="2026"/>
    <n v="124630"/>
    <n v="0"/>
  </r>
  <r>
    <s v="4000006878"/>
    <s v="76201342-8"/>
    <s v="KNAUF CHILE SPA"/>
    <s v="6701351673"/>
    <s v="ZPCD"/>
    <s v="50"/>
    <x v="0"/>
    <s v=""/>
    <s v="C004"/>
    <s v="E652"/>
    <n v="1"/>
    <s v="Local"/>
    <x v="0"/>
    <s v="Construccion"/>
    <x v="0"/>
    <s v="430209001"/>
    <s v="1301783"/>
    <s v="F47 EMPALME PARA MAESTRA F47 .50 UNID"/>
    <n v="11"/>
    <n v="0"/>
    <s v="UN"/>
    <d v="2025-10-30T00:00:00"/>
    <n v="10"/>
    <d v="2026-01-31T00:00:00"/>
    <m/>
    <x v="0"/>
    <n v="2026"/>
    <n v="130856"/>
    <n v="0"/>
  </r>
  <r>
    <s v="4000006878"/>
    <s v="76201342-8"/>
    <s v="KNAUF CHILE SPA"/>
    <s v="6701395563"/>
    <s v="ZPCD"/>
    <s v="60"/>
    <x v="0"/>
    <s v="101"/>
    <s v="C004"/>
    <s v="E652"/>
    <n v="1"/>
    <s v="Local"/>
    <x v="0"/>
    <s v="Construccion"/>
    <x v="0"/>
    <s v="430507002"/>
    <s v="938731"/>
    <s v="SERVICIO FLETE"/>
    <n v="7"/>
    <n v="7"/>
    <s v="UN"/>
    <d v="2025-12-22T00:00:00"/>
    <n v="12"/>
    <d v="2026-04-30T00:00:00"/>
    <d v="2026-02-05T00:00:00"/>
    <x v="1"/>
    <n v="2026"/>
    <n v="2170000"/>
    <n v="2170000"/>
  </r>
  <r>
    <s v="4000006878"/>
    <s v="76201342-8"/>
    <s v="KNAUF CHILE SPA"/>
    <s v="6701395563"/>
    <s v="ZPCD"/>
    <s v="50"/>
    <x v="0"/>
    <s v="101"/>
    <s v="C004"/>
    <s v="E652"/>
    <n v="1"/>
    <s v="Local"/>
    <x v="0"/>
    <s v="Construccion"/>
    <x v="0"/>
    <s v="430503006"/>
    <s v="1232378"/>
    <s v="PLANCHA YESO CARTON ST BR 10MMX1.2X2.4M"/>
    <n v="7464"/>
    <n v="3570"/>
    <s v="UN"/>
    <d v="2025-12-22T00:00:00"/>
    <n v="12"/>
    <d v="2026-04-30T00:00:00"/>
    <d v="2026-03-18T00:00:00"/>
    <x v="2"/>
    <n v="2026"/>
    <n v="28064640"/>
    <n v="13423200"/>
  </r>
  <r>
    <s v="4000006878"/>
    <s v="76201342-8"/>
    <s v="KNAUF CHILE SPA"/>
    <s v="6701395563"/>
    <s v="ZPCD"/>
    <s v="10"/>
    <x v="0"/>
    <s v="101"/>
    <s v="C004"/>
    <s v="E652"/>
    <n v="1"/>
    <s v="Local"/>
    <x v="0"/>
    <s v="Construccion"/>
    <x v="0"/>
    <s v="430503006"/>
    <s v="1232377"/>
    <s v="PLANCHA YESO CARTON RH 12.5X1200X2400MM"/>
    <n v="301"/>
    <n v="150"/>
    <s v="UN"/>
    <d v="2025-12-22T00:00:00"/>
    <n v="12"/>
    <d v="2026-04-30T00:00:00"/>
    <d v="2026-03-12T00:00:00"/>
    <x v="2"/>
    <n v="2026"/>
    <n v="2442013"/>
    <n v="1216950"/>
  </r>
  <r>
    <s v="4000006878"/>
    <s v="76201342-8"/>
    <s v="KNAUF CHILE SPA"/>
    <s v="6701395563"/>
    <s v="ZPCD"/>
    <s v="20"/>
    <x v="0"/>
    <s v="101"/>
    <s v="C004"/>
    <s v="E652"/>
    <n v="1"/>
    <s v="Local"/>
    <x v="0"/>
    <s v="Construccion"/>
    <x v="0"/>
    <s v="430503006"/>
    <s v="1232496"/>
    <s v="PL YESO CARTON RH 15X1200X2400MM KNAUF"/>
    <n v="1713"/>
    <n v="860"/>
    <s v="UN"/>
    <d v="2025-12-22T00:00:00"/>
    <n v="12"/>
    <d v="2026-04-30T00:00:00"/>
    <d v="2026-03-12T00:00:00"/>
    <x v="2"/>
    <n v="2026"/>
    <n v="15074400"/>
    <n v="7568000"/>
  </r>
  <r>
    <s v="4000006878"/>
    <s v="76201342-8"/>
    <s v="KNAUF CHILE SPA"/>
    <s v="6701392684"/>
    <s v="ZPCD"/>
    <s v="50"/>
    <x v="0"/>
    <s v="101"/>
    <s v="C004"/>
    <s v="E652"/>
    <n v="1"/>
    <s v="Local"/>
    <x v="0"/>
    <s v="Construccion"/>
    <x v="0"/>
    <s v="430507002"/>
    <s v="938731"/>
    <s v="SERVICIO FLETE"/>
    <n v="18"/>
    <n v="18"/>
    <s v="UN"/>
    <d v="2025-12-17T00:00:00"/>
    <n v="12"/>
    <d v="2026-02-19T00:00:00"/>
    <d v="2026-03-04T00:00:00"/>
    <x v="2"/>
    <n v="2026"/>
    <n v="1620000"/>
    <n v="1620000"/>
  </r>
  <r>
    <s v="4000006878"/>
    <s v="76201342-8"/>
    <s v="KNAUF CHILE SPA"/>
    <s v="6701351925"/>
    <s v="ZPCD"/>
    <s v="10"/>
    <x v="0"/>
    <s v="101"/>
    <s v="C004"/>
    <s v="E652"/>
    <n v="1"/>
    <s v="Local"/>
    <x v="0"/>
    <s v="Construccion"/>
    <x v="0"/>
    <s v="430502003"/>
    <s v="1232499"/>
    <s v="PLACA CLEANEO PLUS 8/15/20 12.5MM 1200X2"/>
    <n v="864"/>
    <n v="180"/>
    <s v="M2"/>
    <d v="2025-10-30T00:00:00"/>
    <n v="10"/>
    <d v="2026-01-31T00:00:00"/>
    <d v="2026-03-06T00:00:00"/>
    <x v="2"/>
    <n v="2026"/>
    <n v="17915040"/>
    <n v="3732300"/>
  </r>
  <r>
    <s v="4000006878"/>
    <s v="76201342-8"/>
    <s v="KNAUF CHILE SPA"/>
    <s v="6701350876"/>
    <s v="ZPCD"/>
    <s v="80"/>
    <x v="0"/>
    <s v="101"/>
    <s v="C004"/>
    <s v="E652"/>
    <n v="1"/>
    <s v="Local"/>
    <x v="0"/>
    <s v="Construccion"/>
    <x v="0"/>
    <s v="430507002"/>
    <s v="938731"/>
    <s v="SERVICIO FLETE"/>
    <n v="212"/>
    <n v="212"/>
    <s v="UN"/>
    <d v="2025-10-28T00:00:00"/>
    <n v="10"/>
    <d v="2026-03-31T00:00:00"/>
    <d v="2026-03-27T00:00:00"/>
    <x v="2"/>
    <n v="2026"/>
    <n v="46004"/>
    <n v="46004"/>
  </r>
  <r>
    <s v="4000006878"/>
    <s v="76201342-8"/>
    <s v="KNAUF CHILE SPA"/>
    <s v="6701392684"/>
    <s v="ZPCD"/>
    <s v="30"/>
    <x v="0"/>
    <s v="101"/>
    <s v="C004"/>
    <s v="E652"/>
    <n v="1"/>
    <s v="Local"/>
    <x v="0"/>
    <s v="Construccion"/>
    <x v="0"/>
    <s v="430503006"/>
    <s v="1236050"/>
    <s v="PL YESO CARTON ST 15X1200X3000MM KNAUF"/>
    <n v="4925"/>
    <n v="4400"/>
    <s v="UN"/>
    <d v="2025-12-17T00:00:00"/>
    <n v="12"/>
    <d v="2026-02-19T00:00:00"/>
    <d v="2026-03-04T00:00:00"/>
    <x v="2"/>
    <n v="2026"/>
    <n v="30052350"/>
    <n v="26848800"/>
  </r>
  <r>
    <s v="4000006878"/>
    <s v="76201342-8"/>
    <s v="KNAUF CHILE SPA"/>
    <s v="6701350876"/>
    <s v="ZPCD"/>
    <s v="100"/>
    <x v="0"/>
    <s v="101"/>
    <s v="C004"/>
    <s v="E652"/>
    <n v="1"/>
    <s v="Local"/>
    <x v="0"/>
    <s v="Construccion"/>
    <x v="0"/>
    <s v="430507002"/>
    <s v="938731"/>
    <s v="SERVICIO FLETE"/>
    <n v="1032"/>
    <n v="1032"/>
    <s v="UN"/>
    <d v="2025-10-28T00:00:00"/>
    <n v="10"/>
    <d v="2026-03-31T00:00:00"/>
    <d v="2026-03-27T00:00:00"/>
    <x v="2"/>
    <n v="2026"/>
    <n v="221880"/>
    <n v="221880"/>
  </r>
  <r>
    <s v="4000006878"/>
    <s v="76201342-8"/>
    <s v="KNAUF CHILE SPA"/>
    <s v="6701350876"/>
    <s v="ZPCD"/>
    <s v="110"/>
    <x v="0"/>
    <s v="101"/>
    <s v="C004"/>
    <s v="E652"/>
    <n v="1"/>
    <s v="Local"/>
    <x v="0"/>
    <s v="Construccion"/>
    <x v="0"/>
    <s v="430503006"/>
    <s v="1232496"/>
    <s v="PL YESO CARTON RH 15X1200X2400MM KNAUF"/>
    <n v="385"/>
    <n v="385"/>
    <s v="UN"/>
    <d v="2025-10-28T00:00:00"/>
    <n v="10"/>
    <d v="2026-03-31T00:00:00"/>
    <d v="2026-03-27T00:00:00"/>
    <x v="2"/>
    <n v="2026"/>
    <n v="3388000"/>
    <n v="3388000"/>
  </r>
  <r>
    <s v="4000006878"/>
    <s v="76201342-8"/>
    <s v="KNAUF CHILE SPA"/>
    <s v="6701350876"/>
    <s v="ZPCD"/>
    <s v="130"/>
    <x v="0"/>
    <s v="101"/>
    <s v="C004"/>
    <s v="E652"/>
    <n v="1"/>
    <s v="Local"/>
    <x v="0"/>
    <s v="Construccion"/>
    <x v="0"/>
    <s v="430503006"/>
    <s v="1232378"/>
    <s v="PLANCHA YESO CARTON ST BR 10MMX1.2X2.4M"/>
    <n v="3493"/>
    <n v="3493"/>
    <s v="UN"/>
    <d v="2025-10-28T00:00:00"/>
    <n v="10"/>
    <d v="2026-03-31T00:00:00"/>
    <d v="2026-03-06T00:00:00"/>
    <x v="2"/>
    <n v="2026"/>
    <n v="13133680"/>
    <n v="13133680"/>
  </r>
  <r>
    <s v="4000006878"/>
    <s v="76201342-8"/>
    <s v="KNAUF CHILE SPA"/>
    <s v="6701308383"/>
    <s v="ZPCD"/>
    <s v="30"/>
    <x v="0"/>
    <s v="101"/>
    <s v="C004"/>
    <s v="E874"/>
    <n v="1"/>
    <s v="Local"/>
    <x v="0"/>
    <s v="Construccion"/>
    <x v="0"/>
    <s v="430401007"/>
    <s v="1246707"/>
    <s v="AQUAPANEL MORTERO SUP. BLANCO 25KG"/>
    <n v="450"/>
    <n v="246"/>
    <s v="UN"/>
    <d v="2025-09-24T00:00:00"/>
    <n v="9"/>
    <d v="2025-12-01T00:00:00"/>
    <d v="2026-03-18T00:00:00"/>
    <x v="2"/>
    <n v="2026"/>
    <n v="6683400"/>
    <n v="3653592"/>
  </r>
  <r>
    <s v="4000006878"/>
    <s v="76201342-8"/>
    <s v="KNAUF CHILE SPA"/>
    <s v="6701276519"/>
    <s v="ZPCD"/>
    <s v="40"/>
    <x v="0"/>
    <s v="101"/>
    <s v="C004"/>
    <s v="E652"/>
    <n v="1"/>
    <s v="Local"/>
    <x v="0"/>
    <s v="Construccion"/>
    <x v="0"/>
    <s v="430503006"/>
    <s v="1296892"/>
    <s v="PLACA IMPACT 12.5X1200X2400 BR FR"/>
    <n v="6777"/>
    <n v="5975"/>
    <s v="UN"/>
    <d v="2025-07-29T00:00:00"/>
    <n v="7"/>
    <d v="2025-10-30T00:00:00"/>
    <d v="2026-03-09T00:00:00"/>
    <x v="2"/>
    <n v="2026"/>
    <n v="83831490"/>
    <n v="73910750"/>
  </r>
  <r>
    <s v="4000006878"/>
    <s v="76201342-8"/>
    <s v="KNAUF CHILE SPA"/>
    <s v="6701359199"/>
    <s v="ZPCD"/>
    <s v="10"/>
    <x v="0"/>
    <s v="101"/>
    <s v="C004"/>
    <s v="E874"/>
    <n v="1"/>
    <s v="Local"/>
    <x v="0"/>
    <s v="Construccion"/>
    <x v="0"/>
    <s v="430503006"/>
    <s v="1427783"/>
    <s v="PL KNAUF IMPACT RH ST 12.5 MM 1200X2400"/>
    <n v="3668"/>
    <n v="3668"/>
    <s v="UN"/>
    <d v="2025-11-14T00:00:00"/>
    <n v="11"/>
    <d v="2026-02-28T00:00:00"/>
    <d v="2026-03-23T00:00:00"/>
    <x v="2"/>
    <n v="2026"/>
    <n v="26336240"/>
    <n v="26336240"/>
  </r>
  <r>
    <s v="4000006878"/>
    <s v="76201342-8"/>
    <s v="KNAUF CHILE SPA"/>
    <s v="6701212910"/>
    <s v="ZPCD"/>
    <s v="80"/>
    <x v="0"/>
    <s v="101"/>
    <s v="C004"/>
    <s v="E652"/>
    <n v="1"/>
    <s v="Local"/>
    <x v="0"/>
    <s v="Construccion"/>
    <x v="0"/>
    <s v="430507002"/>
    <s v="938731"/>
    <s v="SERVICIO FLETE"/>
    <n v="12"/>
    <n v="10"/>
    <s v="UN"/>
    <d v="2025-05-14T00:00:00"/>
    <n v="5"/>
    <d v="2025-08-14T00:00:00"/>
    <d v="2026-03-24T00:00:00"/>
    <x v="2"/>
    <n v="2026"/>
    <n v="2825016"/>
    <n v="2354180"/>
  </r>
  <r>
    <s v="4000006878"/>
    <s v="76201342-8"/>
    <s v="KNAUF CHILE SPA"/>
    <s v="6701205933"/>
    <s v="ZPCD"/>
    <s v="110"/>
    <x v="0"/>
    <s v="101"/>
    <s v="C004"/>
    <s v="E652"/>
    <n v="1"/>
    <s v="Local"/>
    <x v="0"/>
    <s v="Construccion"/>
    <x v="0"/>
    <s v="430506002"/>
    <s v="1249225"/>
    <s v="PEGAMENTO PERLFIX 25 KGS"/>
    <n v="75"/>
    <n v="10"/>
    <s v="UN"/>
    <d v="2025-04-29T00:00:00"/>
    <n v="4"/>
    <d v="2025-07-30T00:00:00"/>
    <d v="2026-03-27T00:00:00"/>
    <x v="2"/>
    <n v="2026"/>
    <n v="679125"/>
    <n v="90550"/>
  </r>
  <r>
    <s v="4000006878"/>
    <s v="76201342-8"/>
    <s v="KNAUF CHILE SPA"/>
    <s v="6701205933"/>
    <s v="ZPCD"/>
    <s v="120"/>
    <x v="0"/>
    <s v="101"/>
    <s v="C004"/>
    <s v="E652"/>
    <n v="1"/>
    <s v="Local"/>
    <x v="0"/>
    <s v="Construccion"/>
    <x v="0"/>
    <s v="430507002"/>
    <s v="938731"/>
    <s v="SERVICIO FLETE"/>
    <n v="75"/>
    <n v="10"/>
    <s v="UN"/>
    <d v="2025-04-29T00:00:00"/>
    <n v="4"/>
    <d v="2025-07-30T00:00:00"/>
    <d v="2026-03-27T00:00:00"/>
    <x v="2"/>
    <n v="2026"/>
    <n v="14100"/>
    <n v="1880"/>
  </r>
  <r>
    <s v="4000006878"/>
    <s v="76201342-8"/>
    <s v="KNAUF CHILE SPA"/>
    <s v="6701255879"/>
    <s v="ZPCD"/>
    <s v="30"/>
    <x v="0"/>
    <s v="101"/>
    <s v="C004"/>
    <s v="E652"/>
    <n v="1"/>
    <s v="Local"/>
    <x v="0"/>
    <s v="Construccion"/>
    <x v="0"/>
    <s v="430503006"/>
    <s v="1441557"/>
    <s v="PLACA AQUAPANEL RESIDENCIAL 8 1200X2400"/>
    <n v="896"/>
    <n v="230"/>
    <s v="UN"/>
    <d v="2025-06-26T00:00:00"/>
    <n v="6"/>
    <d v="2025-09-26T00:00:00"/>
    <d v="2026-03-27T00:00:00"/>
    <x v="2"/>
    <n v="2026"/>
    <n v="17810688"/>
    <n v="4571940"/>
  </r>
  <r>
    <s v="4000006878"/>
    <s v="76201342-8"/>
    <s v="KNAUF CHILE SPA"/>
    <s v="6701255879"/>
    <s v="ZPCD"/>
    <s v="40"/>
    <x v="0"/>
    <s v="101"/>
    <s v="C004"/>
    <s v="E652"/>
    <n v="1"/>
    <s v="Local"/>
    <x v="0"/>
    <s v="Construccion"/>
    <x v="0"/>
    <s v="430507002"/>
    <s v="938731"/>
    <s v="SERVICIO FLETE"/>
    <n v="896"/>
    <n v="230"/>
    <s v="UN"/>
    <d v="2025-06-26T00:00:00"/>
    <n v="6"/>
    <d v="2025-09-26T00:00:00"/>
    <d v="2026-03-27T00:00:00"/>
    <x v="2"/>
    <n v="2026"/>
    <n v="203392"/>
    <n v="52210"/>
  </r>
  <r>
    <s v="4000006878"/>
    <s v="76201342-8"/>
    <s v="KNAUF CHILE SPA"/>
    <s v="6701255879"/>
    <s v="ZPCD"/>
    <s v="50"/>
    <x v="0"/>
    <s v="101"/>
    <s v="C004"/>
    <s v="E652"/>
    <n v="1"/>
    <s v="Local"/>
    <x v="0"/>
    <s v="Construccion"/>
    <x v="0"/>
    <s v="430503001"/>
    <s v="1309477"/>
    <s v="CINTA PARA JUNTAS AQUAPANEL 10CM  50M"/>
    <n v="83"/>
    <n v="21"/>
    <s v="UN"/>
    <d v="2025-06-26T00:00:00"/>
    <n v="6"/>
    <d v="2025-09-26T00:00:00"/>
    <d v="2026-03-27T00:00:00"/>
    <x v="2"/>
    <n v="2026"/>
    <n v="1192627"/>
    <n v="301749"/>
  </r>
  <r>
    <s v="4000006878"/>
    <s v="76201342-8"/>
    <s v="KNAUF CHILE SPA"/>
    <s v="6701255879"/>
    <s v="ZPCD"/>
    <s v="60"/>
    <x v="0"/>
    <s v="101"/>
    <s v="C004"/>
    <s v="E652"/>
    <n v="1"/>
    <s v="Local"/>
    <x v="0"/>
    <s v="Construccion"/>
    <x v="0"/>
    <s v="430507002"/>
    <s v="938731"/>
    <s v="SERVICIO FLETE"/>
    <n v="83"/>
    <n v="21"/>
    <s v="UN"/>
    <d v="2025-06-26T00:00:00"/>
    <n v="6"/>
    <d v="2025-09-26T00:00:00"/>
    <d v="2026-03-27T00:00:00"/>
    <x v="2"/>
    <n v="2026"/>
    <n v="1245"/>
    <n v="315"/>
  </r>
  <r>
    <s v="4000006878"/>
    <s v="76201342-8"/>
    <s v="KNAUF CHILE SPA"/>
    <s v="6701255879"/>
    <s v="ZPCD"/>
    <s v="70"/>
    <x v="0"/>
    <s v="101"/>
    <s v="C004"/>
    <s v="E652"/>
    <n v="1"/>
    <s v="Local"/>
    <x v="0"/>
    <s v="Construccion"/>
    <x v="0"/>
    <s v="430401007"/>
    <s v="1485103"/>
    <s v="AQUAPANEL JOINT FILLER SKIM WHITE 15KL"/>
    <n v="413"/>
    <n v="51"/>
    <s v="UN"/>
    <d v="2025-06-26T00:00:00"/>
    <n v="6"/>
    <d v="2025-09-26T00:00:00"/>
    <d v="2026-03-27T00:00:00"/>
    <x v="2"/>
    <n v="2026"/>
    <n v="32565050"/>
    <n v="4021350"/>
  </r>
  <r>
    <s v="4000006878"/>
    <s v="76201342-8"/>
    <s v="KNAUF CHILE SPA"/>
    <s v="6701255879"/>
    <s v="ZPCD"/>
    <s v="80"/>
    <x v="0"/>
    <s v="101"/>
    <s v="C004"/>
    <s v="E652"/>
    <n v="1"/>
    <s v="Local"/>
    <x v="0"/>
    <s v="Construccion"/>
    <x v="0"/>
    <s v="430507002"/>
    <s v="938731"/>
    <s v="SERVICIO FLETE"/>
    <n v="413"/>
    <n v="51"/>
    <s v="UN"/>
    <d v="2025-06-26T00:00:00"/>
    <n v="6"/>
    <d v="2025-09-26T00:00:00"/>
    <d v="2026-03-27T00:00:00"/>
    <x v="2"/>
    <n v="2026"/>
    <n v="46669"/>
    <n v="5763"/>
  </r>
  <r>
    <s v="4000006878"/>
    <s v="76201342-8"/>
    <s v="KNAUF CHILE SPA"/>
    <s v="6701255879"/>
    <s v="ZPCD"/>
    <s v="100"/>
    <x v="0"/>
    <s v="101"/>
    <s v="C004"/>
    <s v="E652"/>
    <n v="1"/>
    <s v="Local"/>
    <x v="0"/>
    <s v="Construccion"/>
    <x v="0"/>
    <s v="430507002"/>
    <s v="938731"/>
    <s v="SERVICIO FLETE"/>
    <n v="57"/>
    <n v="15"/>
    <s v="UN"/>
    <d v="2025-06-26T00:00:00"/>
    <n v="6"/>
    <d v="2025-09-26T00:00:00"/>
    <d v="2026-03-27T00:00:00"/>
    <x v="2"/>
    <n v="2026"/>
    <n v="4275"/>
    <n v="1125"/>
  </r>
  <r>
    <s v="4000006878"/>
    <s v="76201342-8"/>
    <s v="KNAUF CHILE SPA"/>
    <s v="6701255879"/>
    <s v="ZPCD"/>
    <s v="110"/>
    <x v="0"/>
    <s v="101"/>
    <s v="C004"/>
    <s v="E652"/>
    <n v="1"/>
    <s v="Local"/>
    <x v="0"/>
    <s v="Construccion"/>
    <x v="0"/>
    <s v="130211005"/>
    <s v="1366503"/>
    <s v="AQUAPANEL TORNILLO MAXI TB 25MM"/>
    <n v="258"/>
    <n v="65"/>
    <s v="UN"/>
    <d v="2025-06-26T00:00:00"/>
    <n v="6"/>
    <d v="2025-09-26T00:00:00"/>
    <d v="2026-03-27T00:00:00"/>
    <x v="2"/>
    <n v="2026"/>
    <n v="2909982"/>
    <n v="733135"/>
  </r>
  <r>
    <s v="4000006878"/>
    <s v="76201342-8"/>
    <s v="KNAUF CHILE SPA"/>
    <s v="6701388606"/>
    <s v="ZPCD"/>
    <s v="90"/>
    <x v="0"/>
    <s v="101"/>
    <s v="C004"/>
    <s v="E652"/>
    <n v="1"/>
    <s v="Local"/>
    <x v="0"/>
    <s v="Construccion"/>
    <x v="0"/>
    <s v="430507002"/>
    <s v="938731"/>
    <s v="SERVICIO FLETE"/>
    <n v="1"/>
    <n v="0"/>
    <s v="UN"/>
    <d v="2025-12-09T00:00:00"/>
    <n v="12"/>
    <d v="2026-03-31T00:00:00"/>
    <m/>
    <x v="2"/>
    <n v="2026"/>
    <n v="70000"/>
    <n v="0"/>
  </r>
  <r>
    <s v="4000006878"/>
    <s v="76201342-8"/>
    <s v="KNAUF CHILE SPA"/>
    <s v="6701388606"/>
    <s v="ZPCD"/>
    <s v="10"/>
    <x v="0"/>
    <s v=""/>
    <s v="C004"/>
    <s v="E652"/>
    <n v="1"/>
    <s v="Local"/>
    <x v="0"/>
    <s v="Construccion"/>
    <x v="0"/>
    <s v="430506002"/>
    <s v="1413158"/>
    <s v="MASILLA JOINTFILLER 20 KG"/>
    <n v="14"/>
    <n v="0"/>
    <s v="UN"/>
    <d v="2025-12-09T00:00:00"/>
    <n v="12"/>
    <d v="2026-03-31T00:00:00"/>
    <m/>
    <x v="2"/>
    <n v="2026"/>
    <n v="120316"/>
    <n v="0"/>
  </r>
  <r>
    <s v="4000006878"/>
    <s v="76201342-8"/>
    <s v="KNAUF CHILE SPA"/>
    <s v="6701388606"/>
    <s v="ZPCD"/>
    <s v="20"/>
    <x v="0"/>
    <s v=""/>
    <s v="C004"/>
    <s v="E652"/>
    <n v="1"/>
    <s v="Local"/>
    <x v="0"/>
    <s v="Construccion"/>
    <x v="0"/>
    <s v="430102005"/>
    <s v="1315155"/>
    <s v="CINTA MALLA 48 MM X 45 M"/>
    <n v="4"/>
    <n v="0"/>
    <s v="UN"/>
    <d v="2025-12-09T00:00:00"/>
    <n v="12"/>
    <d v="2026-03-31T00:00:00"/>
    <m/>
    <x v="2"/>
    <n v="2026"/>
    <n v="5096"/>
    <n v="0"/>
  </r>
  <r>
    <s v="4000006878"/>
    <s v="76201342-8"/>
    <s v="KNAUF CHILE SPA"/>
    <s v="6701196056"/>
    <s v="ZPCD"/>
    <s v="10"/>
    <x v="0"/>
    <s v=""/>
    <s v="C004"/>
    <s v="E652"/>
    <n v="1"/>
    <s v="Local"/>
    <x v="0"/>
    <s v="Construccion"/>
    <x v="0"/>
    <s v="430201001"/>
    <s v="1246708"/>
    <s v="AQUAPANEL MALLA SUP. OUT /IND 1X50"/>
    <n v="5"/>
    <n v="0"/>
    <s v="UN"/>
    <d v="2025-04-08T00:00:00"/>
    <n v="4"/>
    <d v="2026-04-07T00:00:00"/>
    <m/>
    <x v="3"/>
    <n v="2026"/>
    <n v="372815"/>
    <n v="0"/>
  </r>
  <r>
    <s v="4000006878"/>
    <s v="76201342-8"/>
    <s v="KNAUF CHILE SPA"/>
    <s v="6701395563"/>
    <s v="ZPCD"/>
    <s v="70"/>
    <x v="0"/>
    <s v="101"/>
    <s v="C004"/>
    <s v="E652"/>
    <n v="1"/>
    <s v="Local"/>
    <x v="0"/>
    <s v="Construccion"/>
    <x v="0"/>
    <s v="430507002"/>
    <s v="938731"/>
    <s v="SERVICIO FLETE"/>
    <n v="2"/>
    <n v="1"/>
    <s v="UN"/>
    <d v="2025-12-22T00:00:00"/>
    <n v="12"/>
    <d v="2026-04-30T00:00:00"/>
    <d v="2026-04-15T00:00:00"/>
    <x v="3"/>
    <n v="2026"/>
    <n v="500000"/>
    <n v="25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-392626"/>
    <n v="-392626"/>
  </r>
  <r>
    <x v="0"/>
    <x v="0"/>
    <x v="1"/>
    <x v="0"/>
    <n v="0"/>
    <n v="0"/>
    <n v="0"/>
    <n v="0"/>
    <n v="0"/>
    <n v="0"/>
    <n v="0"/>
    <n v="0"/>
    <n v="0"/>
    <n v="0"/>
    <n v="0"/>
    <n v="0"/>
    <n v="0"/>
  </r>
  <r>
    <x v="0"/>
    <x v="0"/>
    <x v="1"/>
    <x v="1"/>
    <n v="0"/>
    <n v="0"/>
    <n v="0"/>
    <n v="0"/>
    <n v="0"/>
    <n v="0"/>
    <n v="0"/>
    <n v="0"/>
    <n v="0"/>
    <n v="0"/>
    <n v="0"/>
    <n v="0"/>
    <n v="0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0"/>
    <n v="0"/>
    <n v="0"/>
    <n v="0"/>
    <n v="0"/>
    <n v="0"/>
    <n v="0"/>
    <n v="0"/>
    <n v="0"/>
    <n v="0"/>
    <n v="0"/>
    <n v="0"/>
    <n v="0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0"/>
    <n v="0"/>
    <n v="0"/>
    <n v="0"/>
    <n v="0"/>
    <n v="0"/>
    <n v="0"/>
    <n v="0"/>
    <n v="0"/>
    <n v="0"/>
    <n v="0"/>
    <n v="0"/>
    <n v="0"/>
  </r>
  <r>
    <x v="0"/>
    <x v="0"/>
    <x v="6"/>
    <x v="1"/>
    <n v="0"/>
    <n v="0"/>
    <n v="0"/>
    <n v="0"/>
    <n v="0"/>
    <n v="0"/>
    <n v="0"/>
    <n v="0"/>
    <n v="0"/>
    <n v="0"/>
    <n v="0"/>
    <n v="0"/>
    <n v="0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0"/>
    <n v="0"/>
    <n v="0"/>
    <n v="0"/>
    <n v="0"/>
    <n v="0"/>
    <n v="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0"/>
    <n v="0"/>
    <n v="0"/>
    <n v="0"/>
    <n v="0"/>
    <n v="0"/>
    <n v="-4"/>
    <n v="0"/>
    <n v="0"/>
    <n v="0"/>
    <n v="-4"/>
  </r>
  <r>
    <x v="0"/>
    <x v="1"/>
    <x v="1"/>
    <x v="0"/>
    <n v="0"/>
    <n v="0"/>
    <n v="0"/>
    <n v="0"/>
    <n v="0"/>
    <n v="0"/>
    <n v="0"/>
    <n v="0"/>
    <n v="0"/>
    <n v="0"/>
    <n v="0"/>
    <n v="0"/>
    <n v="0"/>
  </r>
  <r>
    <x v="0"/>
    <x v="1"/>
    <x v="1"/>
    <x v="1"/>
    <n v="0"/>
    <n v="0"/>
    <n v="0"/>
    <n v="0"/>
    <n v="0"/>
    <n v="0"/>
    <n v="0"/>
    <n v="0"/>
    <n v="0"/>
    <n v="0"/>
    <n v="0"/>
    <n v="0"/>
    <n v="0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0"/>
    <n v="0"/>
    <n v="0"/>
    <n v="0"/>
    <n v="0"/>
    <n v="0"/>
    <n v="0"/>
    <n v="0"/>
    <n v="0"/>
    <n v="0"/>
    <n v="0"/>
    <n v="0"/>
    <n v="0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0"/>
    <n v="0"/>
    <n v="0"/>
    <n v="0"/>
    <n v="0"/>
    <n v="0"/>
  </r>
  <r>
    <x v="0"/>
    <x v="1"/>
    <x v="6"/>
    <x v="1"/>
    <n v="0"/>
    <n v="0"/>
    <n v="0"/>
    <n v="0"/>
    <n v="0"/>
    <n v="0"/>
    <n v="0"/>
    <n v="0"/>
    <n v="0"/>
    <n v="0"/>
    <n v="0"/>
    <n v="0"/>
    <n v="0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0"/>
    <n v="0"/>
    <n v="0"/>
    <n v="0"/>
    <n v="0"/>
    <n v="0"/>
    <n v="0"/>
    <n v="0"/>
    <n v="0"/>
    <n v="0"/>
    <n v="0"/>
    <n v="0"/>
  </r>
  <r>
    <x v="0"/>
    <x v="2"/>
    <x v="0"/>
    <x v="0"/>
    <n v="6835884.5999999996"/>
    <n v="2071336.79"/>
    <n v="11981932.75"/>
    <n v="2234688.4000000004"/>
    <n v="1552013.4000000001"/>
    <n v="7117062.9100000011"/>
    <n v="7385473.71"/>
    <n v="17269664.09"/>
    <n v="11465658.380000001"/>
    <n v="11592969.4"/>
    <n v="12456669.26"/>
    <n v="7780906.2300000004"/>
    <n v="99744259.920000002"/>
  </r>
  <r>
    <x v="0"/>
    <x v="2"/>
    <x v="0"/>
    <x v="1"/>
    <n v="0"/>
    <n v="-9636530"/>
    <n v="0"/>
    <n v="-10538970"/>
    <n v="-12234236"/>
    <n v="-5277009"/>
    <n v="-7165158"/>
    <n v="0"/>
    <n v="-30215455"/>
    <n v="-19311242"/>
    <n v="-6855857"/>
    <n v="-15171249"/>
    <n v="-116405706"/>
  </r>
  <r>
    <x v="0"/>
    <x v="2"/>
    <x v="1"/>
    <x v="0"/>
    <n v="0"/>
    <n v="0"/>
    <n v="0"/>
    <n v="0"/>
    <n v="0"/>
    <n v="0"/>
    <n v="0"/>
    <n v="0"/>
    <n v="0"/>
    <n v="0"/>
    <n v="0"/>
    <n v="0"/>
    <n v="0"/>
  </r>
  <r>
    <x v="0"/>
    <x v="2"/>
    <x v="1"/>
    <x v="1"/>
    <n v="0"/>
    <n v="0"/>
    <n v="0"/>
    <n v="0"/>
    <n v="0"/>
    <n v="0"/>
    <n v="0"/>
    <n v="0"/>
    <n v="0"/>
    <n v="0"/>
    <n v="0"/>
    <n v="0"/>
    <n v="0"/>
  </r>
  <r>
    <x v="0"/>
    <x v="2"/>
    <x v="2"/>
    <x v="0"/>
    <n v="0"/>
    <n v="0"/>
    <n v="0"/>
    <n v="0"/>
    <n v="0"/>
    <n v="0"/>
    <n v="0"/>
    <n v="0"/>
    <n v="0"/>
    <n v="0"/>
    <n v="0"/>
    <n v="0"/>
    <n v="0"/>
  </r>
  <r>
    <x v="0"/>
    <x v="2"/>
    <x v="2"/>
    <x v="1"/>
    <n v="0"/>
    <n v="0"/>
    <n v="0"/>
    <n v="0"/>
    <n v="0"/>
    <n v="0"/>
    <n v="0"/>
    <n v="0"/>
    <n v="0"/>
    <n v="0"/>
    <n v="0"/>
    <n v="0"/>
    <n v="0"/>
  </r>
  <r>
    <x v="0"/>
    <x v="2"/>
    <x v="3"/>
    <x v="0"/>
    <n v="0"/>
    <n v="0"/>
    <n v="0"/>
    <n v="0"/>
    <n v="0"/>
    <n v="0"/>
    <n v="0"/>
    <n v="0"/>
    <n v="0"/>
    <n v="0"/>
    <n v="0"/>
    <n v="0"/>
    <n v="0"/>
  </r>
  <r>
    <x v="0"/>
    <x v="2"/>
    <x v="3"/>
    <x v="1"/>
    <n v="0"/>
    <n v="0"/>
    <n v="0"/>
    <n v="0"/>
    <n v="0"/>
    <n v="0"/>
    <n v="0"/>
    <n v="0"/>
    <n v="0"/>
    <n v="0"/>
    <n v="0"/>
    <n v="0"/>
    <n v="0"/>
  </r>
  <r>
    <x v="0"/>
    <x v="2"/>
    <x v="4"/>
    <x v="0"/>
    <n v="0"/>
    <n v="0"/>
    <n v="0"/>
    <n v="0"/>
    <n v="0"/>
    <n v="0"/>
    <n v="0"/>
    <n v="0"/>
    <n v="0"/>
    <n v="0"/>
    <n v="0"/>
    <n v="0"/>
    <n v="0"/>
  </r>
  <r>
    <x v="0"/>
    <x v="2"/>
    <x v="4"/>
    <x v="1"/>
    <n v="0"/>
    <n v="-2638466"/>
    <n v="0"/>
    <n v="-1608646"/>
    <n v="-5136871"/>
    <n v="-2216861"/>
    <n v="-1331508"/>
    <n v="0"/>
    <n v="-5761940"/>
    <n v="-2840667"/>
    <n v="-1556192"/>
    <n v="-3847445"/>
    <n v="-26938596"/>
  </r>
  <r>
    <x v="0"/>
    <x v="2"/>
    <x v="5"/>
    <x v="0"/>
    <n v="0"/>
    <n v="0"/>
    <n v="0"/>
    <n v="0"/>
    <n v="0"/>
    <n v="0"/>
    <n v="0"/>
    <n v="0"/>
    <n v="0"/>
    <n v="0"/>
    <n v="0"/>
    <n v="0"/>
    <n v="0"/>
  </r>
  <r>
    <x v="0"/>
    <x v="2"/>
    <x v="5"/>
    <x v="1"/>
    <n v="0"/>
    <n v="0"/>
    <n v="0"/>
    <n v="0"/>
    <n v="0"/>
    <n v="0"/>
    <n v="0"/>
    <n v="0"/>
    <n v="0"/>
    <n v="0"/>
    <n v="0"/>
    <n v="0"/>
    <n v="0"/>
  </r>
  <r>
    <x v="0"/>
    <x v="2"/>
    <x v="6"/>
    <x v="0"/>
    <n v="0"/>
    <n v="0"/>
    <n v="0"/>
    <n v="0"/>
    <n v="0"/>
    <n v="0"/>
    <n v="0"/>
    <n v="0"/>
    <n v="0"/>
    <n v="0"/>
    <n v="0"/>
    <n v="0"/>
    <n v="0"/>
  </r>
  <r>
    <x v="0"/>
    <x v="2"/>
    <x v="6"/>
    <x v="1"/>
    <n v="0"/>
    <n v="0"/>
    <n v="0"/>
    <n v="0"/>
    <n v="0"/>
    <n v="0"/>
    <n v="0"/>
    <n v="0"/>
    <n v="0"/>
    <n v="0"/>
    <n v="0"/>
    <n v="0"/>
    <n v="0"/>
  </r>
  <r>
    <x v="0"/>
    <x v="2"/>
    <x v="7"/>
    <x v="0"/>
    <n v="0"/>
    <n v="0"/>
    <n v="0"/>
    <n v="0"/>
    <n v="0"/>
    <n v="0"/>
    <n v="0"/>
    <n v="0"/>
    <n v="0"/>
    <n v="0"/>
    <n v="0"/>
    <n v="0"/>
    <n v="0"/>
  </r>
  <r>
    <x v="0"/>
    <x v="2"/>
    <x v="7"/>
    <x v="1"/>
    <n v="0"/>
    <n v="-424987"/>
    <n v="0"/>
    <n v="1475588"/>
    <n v="-167891"/>
    <n v="-425398"/>
    <n v="0"/>
    <n v="0"/>
    <n v="0"/>
    <n v="-374459"/>
    <n v="-82366"/>
    <n v="-5164103"/>
    <n v="-5163616"/>
  </r>
  <r>
    <x v="0"/>
    <x v="3"/>
    <x v="0"/>
    <x v="0"/>
    <n v="0"/>
    <n v="0"/>
    <n v="0"/>
    <n v="0"/>
    <n v="0"/>
    <n v="0"/>
    <n v="0"/>
    <n v="0"/>
    <n v="0"/>
    <n v="0"/>
    <n v="0"/>
    <n v="0"/>
    <n v="0"/>
  </r>
  <r>
    <x v="0"/>
    <x v="3"/>
    <x v="0"/>
    <x v="1"/>
    <n v="0"/>
    <n v="0"/>
    <n v="0"/>
    <n v="0"/>
    <n v="0"/>
    <n v="0"/>
    <n v="0"/>
    <n v="0"/>
    <n v="0"/>
    <n v="-1"/>
    <n v="0"/>
    <n v="0"/>
    <n v="-1"/>
  </r>
  <r>
    <x v="0"/>
    <x v="3"/>
    <x v="1"/>
    <x v="0"/>
    <n v="0"/>
    <n v="0"/>
    <n v="0"/>
    <n v="0"/>
    <n v="0"/>
    <n v="0"/>
    <n v="0"/>
    <n v="0"/>
    <n v="0"/>
    <n v="0"/>
    <n v="0"/>
    <n v="0"/>
    <n v="0"/>
  </r>
  <r>
    <x v="0"/>
    <x v="3"/>
    <x v="1"/>
    <x v="1"/>
    <n v="0"/>
    <n v="0"/>
    <n v="0"/>
    <n v="0"/>
    <n v="0"/>
    <n v="0"/>
    <n v="0"/>
    <n v="0"/>
    <n v="0"/>
    <n v="0"/>
    <n v="0"/>
    <n v="0"/>
    <n v="0"/>
  </r>
  <r>
    <x v="0"/>
    <x v="3"/>
    <x v="2"/>
    <x v="0"/>
    <n v="0"/>
    <n v="0"/>
    <n v="0"/>
    <n v="0"/>
    <n v="0"/>
    <n v="0"/>
    <n v="0"/>
    <n v="0"/>
    <n v="0"/>
    <n v="0"/>
    <n v="0"/>
    <n v="0"/>
    <n v="0"/>
  </r>
  <r>
    <x v="0"/>
    <x v="3"/>
    <x v="2"/>
    <x v="1"/>
    <n v="0"/>
    <n v="0"/>
    <n v="0"/>
    <n v="0"/>
    <n v="0"/>
    <n v="0"/>
    <n v="0"/>
    <n v="0"/>
    <n v="0"/>
    <n v="0"/>
    <n v="0"/>
    <n v="0"/>
    <n v="0"/>
  </r>
  <r>
    <x v="0"/>
    <x v="3"/>
    <x v="3"/>
    <x v="0"/>
    <n v="0"/>
    <n v="0"/>
    <n v="0"/>
    <n v="0"/>
    <n v="0"/>
    <n v="0"/>
    <n v="0"/>
    <n v="0"/>
    <n v="0"/>
    <n v="0"/>
    <n v="0"/>
    <n v="0"/>
    <n v="0"/>
  </r>
  <r>
    <x v="0"/>
    <x v="3"/>
    <x v="3"/>
    <x v="1"/>
    <n v="0"/>
    <n v="0"/>
    <n v="0"/>
    <n v="0"/>
    <n v="0"/>
    <n v="0"/>
    <n v="0"/>
    <n v="0"/>
    <n v="0"/>
    <n v="0"/>
    <n v="0"/>
    <n v="0"/>
    <n v="0"/>
  </r>
  <r>
    <x v="0"/>
    <x v="3"/>
    <x v="4"/>
    <x v="0"/>
    <n v="0"/>
    <n v="0"/>
    <n v="0"/>
    <n v="0"/>
    <n v="0"/>
    <n v="0"/>
    <n v="0"/>
    <n v="0"/>
    <n v="0"/>
    <n v="0"/>
    <n v="0"/>
    <n v="0"/>
    <n v="0"/>
  </r>
  <r>
    <x v="0"/>
    <x v="3"/>
    <x v="4"/>
    <x v="1"/>
    <n v="0"/>
    <n v="0"/>
    <n v="0"/>
    <n v="0"/>
    <n v="0"/>
    <n v="0"/>
    <n v="0"/>
    <n v="0"/>
    <n v="0"/>
    <n v="0"/>
    <n v="0"/>
    <n v="0"/>
    <n v="0"/>
  </r>
  <r>
    <x v="0"/>
    <x v="3"/>
    <x v="5"/>
    <x v="0"/>
    <n v="0"/>
    <n v="0"/>
    <n v="0"/>
    <n v="0"/>
    <n v="0"/>
    <n v="0"/>
    <n v="0"/>
    <n v="0"/>
    <n v="0"/>
    <n v="0"/>
    <n v="0"/>
    <n v="0"/>
    <n v="0"/>
  </r>
  <r>
    <x v="0"/>
    <x v="3"/>
    <x v="5"/>
    <x v="1"/>
    <n v="0"/>
    <n v="0"/>
    <n v="0"/>
    <n v="0"/>
    <n v="0"/>
    <n v="0"/>
    <n v="0"/>
    <n v="0"/>
    <n v="0"/>
    <n v="0"/>
    <n v="0"/>
    <n v="0"/>
    <n v="0"/>
  </r>
  <r>
    <x v="0"/>
    <x v="3"/>
    <x v="6"/>
    <x v="0"/>
    <n v="0"/>
    <n v="0"/>
    <n v="0"/>
    <n v="0"/>
    <n v="0"/>
    <n v="0"/>
    <n v="0"/>
    <n v="0"/>
    <n v="0"/>
    <n v="0"/>
    <n v="0"/>
    <n v="0"/>
    <n v="0"/>
  </r>
  <r>
    <x v="0"/>
    <x v="3"/>
    <x v="6"/>
    <x v="1"/>
    <n v="0"/>
    <n v="0"/>
    <n v="0"/>
    <n v="0"/>
    <n v="0"/>
    <n v="0"/>
    <n v="0"/>
    <n v="0"/>
    <n v="0"/>
    <n v="0"/>
    <n v="0"/>
    <n v="0"/>
    <n v="0"/>
  </r>
  <r>
    <x v="0"/>
    <x v="3"/>
    <x v="7"/>
    <x v="0"/>
    <n v="0"/>
    <n v="0"/>
    <n v="0"/>
    <n v="0"/>
    <n v="0"/>
    <n v="0"/>
    <n v="0"/>
    <n v="0"/>
    <n v="0"/>
    <n v="0"/>
    <n v="0"/>
    <n v="0"/>
    <n v="0"/>
  </r>
  <r>
    <x v="0"/>
    <x v="3"/>
    <x v="7"/>
    <x v="1"/>
    <n v="0"/>
    <n v="0"/>
    <n v="0"/>
    <n v="0"/>
    <n v="0"/>
    <n v="0"/>
    <n v="0"/>
    <n v="0"/>
    <n v="0"/>
    <n v="0"/>
    <n v="0"/>
    <n v="0"/>
    <n v="0"/>
  </r>
  <r>
    <x v="1"/>
    <x v="4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94063-E84D-4678-A2CB-19F874CBFC26}" name="TablaDinámica5" cacheId="10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N12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3" showAll="0"/>
    <pivotField dataField="1" numFmtId="3" showAll="0"/>
  </pivotFields>
  <rowFields count="3">
    <field x="6"/>
    <field x="14"/>
    <field x="12"/>
  </rowFields>
  <rowItems count="8">
    <i>
      <x/>
    </i>
    <i r="1">
      <x/>
    </i>
    <i r="2">
      <x v="1"/>
    </i>
    <i>
      <x v="1"/>
    </i>
    <i r="1">
      <x/>
    </i>
    <i r="2">
      <x/>
    </i>
    <i r="2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1100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37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6">
        <item x="4"/>
        <item x="0"/>
        <item x="1"/>
        <item x="2"/>
        <item x="3"/>
        <item t="default"/>
      </items>
    </pivotField>
    <pivotField axis="axisRow" compact="0" outline="0" showAll="0">
      <items count="10">
        <item h="1" x="8"/>
        <item x="0"/>
        <item x="1"/>
        <item x="2"/>
        <item x="3"/>
        <item x="4"/>
        <item x="5"/>
        <item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22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336">
      <pivotArea outline="0" collapsedLevelsAreSubtotals="1" fieldPosition="0"/>
    </format>
    <format dxfId="335">
      <pivotArea field="-2" type="button" dataOnly="0" labelOnly="1" outline="0" axis="axisCol" fieldPosition="0"/>
    </format>
    <format dxfId="334">
      <pivotArea type="topRight" dataOnly="0" labelOnly="1" outline="0" fieldPosition="0"/>
    </format>
    <format dxfId="333">
      <pivotArea dataOnly="0" outline="0" fieldPosition="0">
        <references count="1">
          <reference field="2" count="0" defaultSubtotal="1"/>
        </references>
      </pivotArea>
    </format>
    <format dxfId="332">
      <pivotArea type="all" dataOnly="0" outline="0" fieldPosition="0"/>
    </format>
    <format dxfId="331">
      <pivotArea outline="0" collapsedLevelsAreSubtotals="1" fieldPosition="0"/>
    </format>
    <format dxfId="330">
      <pivotArea dataOnly="0" labelOnly="1" grandRow="1" outline="0" fieldPosition="0"/>
    </format>
    <format dxfId="329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28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327">
      <pivotArea dataOnly="0" labelOnly="1" outline="0" fieldPosition="0">
        <references count="1">
          <reference field="0" count="0"/>
        </references>
      </pivotArea>
    </format>
    <format dxfId="326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25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324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23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322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321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320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319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18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17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59"/>
  <sheetViews>
    <sheetView showGridLines="0" showWhiteSpace="0" topLeftCell="A28" zoomScale="70" zoomScaleNormal="70" workbookViewId="0">
      <selection activeCell="B2" sqref="B2"/>
    </sheetView>
  </sheetViews>
  <sheetFormatPr baseColWidth="10" defaultColWidth="16.88671875" defaultRowHeight="14.4"/>
  <cols>
    <col min="1" max="1" width="2.6640625" style="65" customWidth="1"/>
    <col min="2" max="2" width="16.88671875" style="65" customWidth="1"/>
    <col min="3" max="3" width="11.109375" style="70" customWidth="1"/>
    <col min="4" max="4" width="8.5546875" style="62" hidden="1" customWidth="1"/>
    <col min="5" max="5" width="17.6640625" style="63" customWidth="1"/>
    <col min="6" max="6" width="17.6640625" style="64" customWidth="1"/>
    <col min="7" max="7" width="16.6640625" style="67" customWidth="1"/>
    <col min="8" max="10" width="16.6640625" style="66" customWidth="1"/>
    <col min="11" max="11" width="16.6640625" style="67" customWidth="1"/>
    <col min="12" max="14" width="16.6640625" style="66" customWidth="1"/>
    <col min="15" max="15" width="16.6640625" style="67" customWidth="1"/>
    <col min="16" max="16" width="16.6640625" style="66" customWidth="1"/>
    <col min="17" max="17" width="16.6640625" style="68" customWidth="1"/>
    <col min="18" max="18" width="16.6640625" style="66" customWidth="1"/>
    <col min="19" max="22" width="16.6640625" style="67" customWidth="1"/>
    <col min="23" max="36" width="16.88671875" style="67" customWidth="1"/>
    <col min="37" max="38" width="16.88671875" style="65" customWidth="1"/>
    <col min="39" max="39" width="2.5546875" style="65" customWidth="1"/>
    <col min="40" max="40" width="16.88671875" style="65" customWidth="1"/>
    <col min="41" max="16384" width="16.88671875" style="65"/>
  </cols>
  <sheetData>
    <row r="1" spans="2:42" ht="29.25" customHeight="1">
      <c r="B1" s="106" t="s">
        <v>741</v>
      </c>
      <c r="C1" s="61"/>
      <c r="E1" s="107"/>
      <c r="F1" s="65"/>
      <c r="G1" s="65"/>
      <c r="X1" s="69"/>
      <c r="Y1" s="69"/>
      <c r="Z1" s="69"/>
    </row>
    <row r="2" spans="2:42" ht="22.5" customHeight="1">
      <c r="B2" s="108">
        <v>2025</v>
      </c>
      <c r="E2" s="107"/>
      <c r="F2" s="65"/>
      <c r="G2" s="120" t="s">
        <v>742</v>
      </c>
      <c r="H2" s="120"/>
      <c r="I2" s="120"/>
      <c r="J2" s="120"/>
      <c r="K2" s="120" t="s">
        <v>743</v>
      </c>
      <c r="L2" s="120"/>
      <c r="M2" s="120"/>
      <c r="N2" s="120"/>
      <c r="O2" s="120" t="s">
        <v>744</v>
      </c>
      <c r="P2" s="120"/>
      <c r="Q2" s="120"/>
      <c r="R2" s="120"/>
      <c r="S2" s="120" t="s">
        <v>745</v>
      </c>
      <c r="T2" s="120"/>
      <c r="U2" s="120"/>
      <c r="V2" s="120"/>
      <c r="W2" s="120" t="s">
        <v>746</v>
      </c>
      <c r="X2" s="120"/>
      <c r="Y2" s="120"/>
      <c r="Z2" s="120"/>
      <c r="AA2" s="120" t="s">
        <v>747</v>
      </c>
      <c r="AB2" s="120"/>
      <c r="AC2" s="120"/>
      <c r="AD2" s="120"/>
      <c r="AE2" s="120" t="s">
        <v>748</v>
      </c>
      <c r="AF2" s="120"/>
      <c r="AG2" s="120"/>
      <c r="AH2" s="120"/>
      <c r="AI2" s="120" t="s">
        <v>749</v>
      </c>
      <c r="AJ2" s="120"/>
      <c r="AK2" s="120"/>
      <c r="AL2" s="120"/>
      <c r="AM2" s="71"/>
      <c r="AN2" s="120" t="s">
        <v>3</v>
      </c>
      <c r="AO2" s="120"/>
      <c r="AP2" s="120"/>
    </row>
    <row r="3" spans="2:42" s="81" customFormat="1" ht="31.5" customHeight="1">
      <c r="B3" s="72" t="s">
        <v>28</v>
      </c>
      <c r="C3" s="73" t="s">
        <v>750</v>
      </c>
      <c r="D3" s="73" t="s">
        <v>750</v>
      </c>
      <c r="E3" s="109" t="s">
        <v>751</v>
      </c>
      <c r="F3" s="110" t="s">
        <v>752</v>
      </c>
      <c r="G3" s="74" t="s">
        <v>753</v>
      </c>
      <c r="H3" s="75" t="s">
        <v>754</v>
      </c>
      <c r="I3" s="76" t="s">
        <v>755</v>
      </c>
      <c r="J3" s="77" t="s">
        <v>756</v>
      </c>
      <c r="K3" s="74" t="s">
        <v>753</v>
      </c>
      <c r="L3" s="77" t="s">
        <v>754</v>
      </c>
      <c r="M3" s="76" t="s">
        <v>755</v>
      </c>
      <c r="N3" s="77" t="s">
        <v>756</v>
      </c>
      <c r="O3" s="74" t="s">
        <v>753</v>
      </c>
      <c r="P3" s="77" t="s">
        <v>754</v>
      </c>
      <c r="Q3" s="78" t="s">
        <v>755</v>
      </c>
      <c r="R3" s="77" t="s">
        <v>756</v>
      </c>
      <c r="S3" s="74" t="s">
        <v>753</v>
      </c>
      <c r="T3" s="74" t="s">
        <v>754</v>
      </c>
      <c r="U3" s="76" t="s">
        <v>755</v>
      </c>
      <c r="V3" s="74" t="s">
        <v>756</v>
      </c>
      <c r="W3" s="74" t="s">
        <v>753</v>
      </c>
      <c r="X3" s="74" t="s">
        <v>754</v>
      </c>
      <c r="Y3" s="76" t="s">
        <v>755</v>
      </c>
      <c r="Z3" s="74" t="s">
        <v>756</v>
      </c>
      <c r="AA3" s="74" t="s">
        <v>753</v>
      </c>
      <c r="AB3" s="74" t="s">
        <v>754</v>
      </c>
      <c r="AC3" s="76" t="s">
        <v>755</v>
      </c>
      <c r="AD3" s="74" t="s">
        <v>756</v>
      </c>
      <c r="AE3" s="74" t="s">
        <v>753</v>
      </c>
      <c r="AF3" s="74" t="s">
        <v>754</v>
      </c>
      <c r="AG3" s="76" t="s">
        <v>755</v>
      </c>
      <c r="AH3" s="74" t="s">
        <v>756</v>
      </c>
      <c r="AI3" s="74" t="s">
        <v>753</v>
      </c>
      <c r="AJ3" s="74" t="s">
        <v>754</v>
      </c>
      <c r="AK3" s="76" t="s">
        <v>755</v>
      </c>
      <c r="AL3" s="76" t="s">
        <v>756</v>
      </c>
      <c r="AM3" s="79"/>
      <c r="AN3" s="80" t="s">
        <v>754</v>
      </c>
      <c r="AO3" s="80" t="s">
        <v>755</v>
      </c>
      <c r="AP3" s="80" t="s">
        <v>756</v>
      </c>
    </row>
    <row r="4" spans="2:42">
      <c r="B4" s="121" t="s">
        <v>84</v>
      </c>
      <c r="C4" s="82">
        <f>DATE($B$2,1,1)</f>
        <v>45658</v>
      </c>
      <c r="D4" s="83" t="str">
        <f>TEXT(C4,"YYYYMM")</f>
        <v>202501</v>
      </c>
      <c r="E4" s="84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0</v>
      </c>
      <c r="F4" s="84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0</v>
      </c>
      <c r="G4" s="85">
        <f ca="1">INDIRECT("Condiciones!"&amp;ADDRESS(VLOOKUP(G$2,Saltos,2,FALSE)+8*QUOTIENT((ROW()-3),13),MOD(ROW()-3,13)+COLUMN(Condiciones!$F$1)))</f>
        <v>0</v>
      </c>
      <c r="H4" s="86">
        <f ca="1">IF($E4="",0,G4*$E4)</f>
        <v>0</v>
      </c>
      <c r="I4" s="87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87">
        <f t="shared" ref="J4:J15" ca="1" si="0">H4+I4</f>
        <v>0</v>
      </c>
      <c r="K4" s="85">
        <f ca="1">INDIRECT("Condiciones!"&amp;ADDRESS(VLOOKUP(K$2,Saltos,2,FALSE)+8*QUOTIENT((ROW()-3),13),MOD(ROW()-3,13)+COLUMN(Condiciones!$F$1)))</f>
        <v>0</v>
      </c>
      <c r="L4" s="88">
        <f ca="1">IF($F4="",0,K4*$F4)</f>
        <v>0</v>
      </c>
      <c r="M4" s="87">
        <f>IF(ISERROR(INDEX(PAGADO!$F$2:$R$321,MATCH(CONCATENATE($B$4,"Logistica"),PAGADO!$E$2:$E$321,0),MATCH($D4,PAGADO!$F$1:$Q$1,0))),0,INDEX(PAGADO!$F$2:$R$321,MATCH(CONCATENATE($B$4,"Logistica"),PAGADO!$E$2:$E$321,0),MATCH($D4,PAGADO!$F$1:$Q$1,0)))</f>
        <v>0</v>
      </c>
      <c r="N4" s="87">
        <f t="shared" ref="N4:N15" ca="1" si="1">L4+M4</f>
        <v>0</v>
      </c>
      <c r="O4" s="85">
        <f ca="1">INDIRECT("Condiciones!"&amp;ADDRESS(VLOOKUP(O$2,Saltos,2,FALSE)+8*QUOTIENT((ROW()-3),13),MOD(ROW()-3,13)+COLUMN(Condiciones!$F$1)))</f>
        <v>0</v>
      </c>
      <c r="P4" s="87">
        <f ca="1">IF($E4="",0,O4*$E4)</f>
        <v>0</v>
      </c>
      <c r="Q4" s="87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87">
        <f t="shared" ref="R4:R15" ca="1" si="2">P4+Q4</f>
        <v>0</v>
      </c>
      <c r="S4" s="85">
        <f ca="1">INDIRECT("Condiciones!"&amp;ADDRESS(VLOOKUP(S$2,Saltos,2,FALSE)+8*QUOTIENT((ROW()-3),13),MOD(ROW()-3,13)+COLUMN(Condiciones!$F$1)))</f>
        <v>0</v>
      </c>
      <c r="T4" s="87">
        <f ca="1">IF($E4="",0,S4*$E4)</f>
        <v>0</v>
      </c>
      <c r="U4" s="87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87">
        <f t="shared" ref="V4:V15" ca="1" si="3">T4+U4</f>
        <v>0</v>
      </c>
      <c r="W4" s="85">
        <f ca="1">INDIRECT("Condiciones!"&amp;ADDRESS(VLOOKUP(W$2,Saltos,2,FALSE)+8*QUOTIENT((ROW()-3),13),MOD(ROW()-3,13)+COLUMN(Condiciones!$F$1)))</f>
        <v>0</v>
      </c>
      <c r="X4" s="87">
        <f ca="1">IF($E4="",0,W4*$E4)</f>
        <v>0</v>
      </c>
      <c r="Y4" s="87">
        <f>IF(ISERROR(INDEX(PAGADO!$F$2:$R$321,MATCH(CONCATENATE($B$4,"Escala Fija"),PAGADO!$E$2:$E$321,0),MATCH($D4,PAGADO!$F$1:$Q$1,0))),0,INDEX(PAGADO!$F$2:$R$321,MATCH(CONCATENATE($B$4,"Escala Fija"),PAGADO!$E$2:$E$321,0),MATCH($D4,PAGADO!$F$1:$Q$1,0)))</f>
        <v>0</v>
      </c>
      <c r="Z4" s="87">
        <f t="shared" ref="Z4:Z15" ca="1" si="4">X4+Y4</f>
        <v>0</v>
      </c>
      <c r="AA4" s="85">
        <f ca="1">INDIRECT("Condiciones!"&amp;ADDRESS(VLOOKUP(AA$2,Saltos,2,FALSE)+8*QUOTIENT((ROW()-3),13),MOD(ROW()-3,13)+COLUMN(Condiciones!$F$1)))</f>
        <v>0</v>
      </c>
      <c r="AB4" s="87">
        <f ca="1">IF($E4="",0,AA4*$E4)</f>
        <v>0</v>
      </c>
      <c r="AC4" s="87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87">
        <f t="shared" ref="AD4:AD15" ca="1" si="5">AB4+AC4</f>
        <v>0</v>
      </c>
      <c r="AE4" s="85">
        <f ca="1">INDIRECT("Condiciones!"&amp;ADDRESS(VLOOKUP(AE$2,Saltos,2,FALSE)+8*QUOTIENT((ROW()-3),13),MOD(ROW()-3,13)+COLUMN(Condiciones!$F$1)))</f>
        <v>0</v>
      </c>
      <c r="AF4" s="87">
        <f ca="1">IF($E4="",0,AE4*$E4)</f>
        <v>0</v>
      </c>
      <c r="AG4" s="87">
        <f>IF(ISERROR(INDEX(PAGADO!$F$2:$R$321,MATCH(CONCATENATE($B$4,"Otros"),PAGADO!$E$2:$E$321,0),MATCH($D4,PAGADO!$F$1:$Q$1,0))),0,INDEX(PAGADO!$F$2:$R$321,MATCH(CONCATENATE($B$4,"Otros"),PAGADO!$E$2:$E$321,0),MATCH($D4,PAGADO!$F$1:$Q$1,0)))</f>
        <v>0</v>
      </c>
      <c r="AH4" s="87">
        <f t="shared" ref="AH4:AH15" ca="1" si="6">AF4+AG4</f>
        <v>0</v>
      </c>
      <c r="AI4" s="85">
        <f ca="1">INDIRECT("Condiciones!"&amp;ADDRESS(VLOOKUP(AI$2,Saltos,2,FALSE)+8*QUOTIENT((ROW()-3),13),MOD(ROW()-3,13)+COLUMN(Condiciones!$F$1)))</f>
        <v>0</v>
      </c>
      <c r="AJ4" s="87">
        <f ca="1">IF($E4="",0,AI4*$E4)</f>
        <v>0</v>
      </c>
      <c r="AK4" s="87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87">
        <f t="shared" ref="AL4:AL15" ca="1" si="7">AJ4+AK4</f>
        <v>0</v>
      </c>
      <c r="AM4" s="68"/>
      <c r="AN4" s="87">
        <f t="shared" ref="AN4:AN15" ca="1" si="8">H4+L4+P4+T4+X4+AB4+AF4+AJ4</f>
        <v>0</v>
      </c>
      <c r="AO4" s="87">
        <f t="shared" ref="AO4:AO15" si="9">I4+M4+Q4+U4+Y4+AC4+AG4+AK4</f>
        <v>0</v>
      </c>
      <c r="AP4" s="87">
        <f t="shared" ref="AP4:AP15" ca="1" si="10">AN4+AO4</f>
        <v>0</v>
      </c>
    </row>
    <row r="5" spans="2:42">
      <c r="B5" s="122"/>
      <c r="C5" s="82">
        <f>DATE($B$2,2,1)</f>
        <v>45689</v>
      </c>
      <c r="D5" s="83" t="str">
        <f t="shared" ref="D5:D15" si="11">TEXT(C5,"YYYYMM")</f>
        <v>202502</v>
      </c>
      <c r="E5" s="84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0</v>
      </c>
      <c r="F5" s="84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0</v>
      </c>
      <c r="G5" s="85">
        <f ca="1">INDIRECT("Condiciones!"&amp;ADDRESS(VLOOKUP(G$2,Saltos,2,FALSE)+8*QUOTIENT((ROW()-3),13),MOD(ROW()-3,13)+COLUMN(Condiciones!$F$1)))</f>
        <v>0</v>
      </c>
      <c r="H5" s="86">
        <f t="shared" ref="H5:H15" ca="1" si="12">IF($E5="",0,G5*$E5)</f>
        <v>0</v>
      </c>
      <c r="I5" s="87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87">
        <f t="shared" ca="1" si="0"/>
        <v>0</v>
      </c>
      <c r="K5" s="85">
        <f ca="1">INDIRECT("Condiciones!"&amp;ADDRESS(VLOOKUP(K$2,Saltos,2,FALSE)+8*QUOTIENT((ROW()-3),13),MOD(ROW()-3,13)+COLUMN(Condiciones!$F$1)))</f>
        <v>0</v>
      </c>
      <c r="L5" s="88">
        <f t="shared" ref="L5:L15" ca="1" si="13">IF($F5="",0,K5*$F5)</f>
        <v>0</v>
      </c>
      <c r="M5" s="87">
        <f>IF(ISERROR(INDEX(PAGADO!$F$2:$R$321,MATCH(CONCATENATE($B$4,"Logistica"),PAGADO!$E$2:$E$321,0),MATCH($D5,PAGADO!$F$1:$Q$1,0))),0,INDEX(PAGADO!$F$2:$R$321,MATCH(CONCATENATE($B$4,"Logistica"),PAGADO!$E$2:$E$321,0),MATCH($D5,PAGADO!$F$1:$Q$1,0)))</f>
        <v>0</v>
      </c>
      <c r="N5" s="87">
        <f t="shared" ca="1" si="1"/>
        <v>0</v>
      </c>
      <c r="O5" s="85">
        <f ca="1">INDIRECT("Condiciones!"&amp;ADDRESS(VLOOKUP(O$2,Saltos,2,FALSE)+8*QUOTIENT((ROW()-3),13),MOD(ROW()-3,13)+COLUMN(Condiciones!$F$1)))</f>
        <v>0</v>
      </c>
      <c r="P5" s="87">
        <f t="shared" ref="P5:P15" ca="1" si="14">IF($E5="",0,O5*$E5)</f>
        <v>0</v>
      </c>
      <c r="Q5" s="87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87">
        <f t="shared" ca="1" si="2"/>
        <v>0</v>
      </c>
      <c r="S5" s="85">
        <f ca="1">INDIRECT("Condiciones!"&amp;ADDRESS(VLOOKUP(S$2,Saltos,2,FALSE)+8*QUOTIENT((ROW()-3),13),MOD(ROW()-3,13)+COLUMN(Condiciones!$F$1)))</f>
        <v>0</v>
      </c>
      <c r="T5" s="87">
        <f t="shared" ref="T5:T15" ca="1" si="15">IF($E5="",0,S5*$E5)</f>
        <v>0</v>
      </c>
      <c r="U5" s="87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87">
        <f t="shared" ca="1" si="3"/>
        <v>0</v>
      </c>
      <c r="W5" s="85">
        <f ca="1">INDIRECT("Condiciones!"&amp;ADDRESS(VLOOKUP(W$2,Saltos,2,FALSE)+8*QUOTIENT((ROW()-3),13),MOD(ROW()-3,13)+COLUMN(Condiciones!$F$1)))</f>
        <v>0</v>
      </c>
      <c r="X5" s="87">
        <f t="shared" ref="X5:X15" ca="1" si="16">IF($E5="",0,W5*$E5)</f>
        <v>0</v>
      </c>
      <c r="Y5" s="87">
        <f>IF(ISERROR(INDEX(PAGADO!$F$2:$R$321,MATCH(CONCATENATE($B$4,"Escala Fija"),PAGADO!$E$2:$E$321,0),MATCH($D5,PAGADO!$F$1:$Q$1,0))),0,INDEX(PAGADO!$F$2:$R$321,MATCH(CONCATENATE($B$4,"Escala Fija"),PAGADO!$E$2:$E$321,0),MATCH($D5,PAGADO!$F$1:$Q$1,0)))</f>
        <v>0</v>
      </c>
      <c r="Z5" s="87">
        <f t="shared" ca="1" si="4"/>
        <v>0</v>
      </c>
      <c r="AA5" s="85">
        <f ca="1">INDIRECT("Condiciones!"&amp;ADDRESS(VLOOKUP(AA$2,Saltos,2,FALSE)+8*QUOTIENT((ROW()-3),13),MOD(ROW()-3,13)+COLUMN(Condiciones!$F$1)))</f>
        <v>0</v>
      </c>
      <c r="AB5" s="87">
        <f t="shared" ref="AB5:AB15" ca="1" si="17">IF($E5="",0,AA5*$E5)</f>
        <v>0</v>
      </c>
      <c r="AC5" s="87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87">
        <f t="shared" ca="1" si="5"/>
        <v>0</v>
      </c>
      <c r="AE5" s="85">
        <f ca="1">INDIRECT("Condiciones!"&amp;ADDRESS(VLOOKUP(AE$2,Saltos,2,FALSE)+8*QUOTIENT((ROW()-3),13),MOD(ROW()-3,13)+COLUMN(Condiciones!$F$1)))</f>
        <v>0</v>
      </c>
      <c r="AF5" s="87">
        <f t="shared" ref="AF5:AF15" ca="1" si="18">IF($E5="",0,AE5*$E5)</f>
        <v>0</v>
      </c>
      <c r="AG5" s="87">
        <f>IF(ISERROR(INDEX(PAGADO!$F$2:$R$321,MATCH(CONCATENATE($B$4,"Otros"),PAGADO!$E$2:$E$321,0),MATCH($D5,PAGADO!$F$1:$Q$1,0))),0,INDEX(PAGADO!$F$2:$R$321,MATCH(CONCATENATE($B$4,"Otros"),PAGADO!$E$2:$E$321,0),MATCH($D5,PAGADO!$F$1:$Q$1,0)))</f>
        <v>0</v>
      </c>
      <c r="AH5" s="87">
        <f t="shared" ca="1" si="6"/>
        <v>0</v>
      </c>
      <c r="AI5" s="85">
        <f ca="1">INDIRECT("Condiciones!"&amp;ADDRESS(VLOOKUP(AI$2,Saltos,2,FALSE)+8*QUOTIENT((ROW()-3),13),MOD(ROW()-3,13)+COLUMN(Condiciones!$F$1)))</f>
        <v>0</v>
      </c>
      <c r="AJ5" s="87">
        <f t="shared" ref="AJ5:AJ15" ca="1" si="19">IF($E5="",0,AI5*$E5)</f>
        <v>0</v>
      </c>
      <c r="AK5" s="87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87">
        <f t="shared" ca="1" si="7"/>
        <v>0</v>
      </c>
      <c r="AM5" s="68"/>
      <c r="AN5" s="87">
        <f t="shared" ca="1" si="8"/>
        <v>0</v>
      </c>
      <c r="AO5" s="87">
        <f t="shared" si="9"/>
        <v>0</v>
      </c>
      <c r="AP5" s="87">
        <f t="shared" ca="1" si="10"/>
        <v>0</v>
      </c>
    </row>
    <row r="6" spans="2:42">
      <c r="B6" s="122"/>
      <c r="C6" s="82">
        <f>DATE($B$2,3,1)</f>
        <v>45717</v>
      </c>
      <c r="D6" s="83" t="str">
        <f t="shared" si="11"/>
        <v>202503</v>
      </c>
      <c r="E6" s="84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0</v>
      </c>
      <c r="F6" s="84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0</v>
      </c>
      <c r="G6" s="85">
        <f ca="1">INDIRECT("Condiciones!"&amp;ADDRESS(VLOOKUP(G$2,Saltos,2,FALSE)+8*QUOTIENT((ROW()-3),13),MOD(ROW()-3,13)+COLUMN(Condiciones!$F$1)))</f>
        <v>0</v>
      </c>
      <c r="H6" s="86">
        <f t="shared" ca="1" si="12"/>
        <v>0</v>
      </c>
      <c r="I6" s="87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87">
        <f t="shared" ca="1" si="0"/>
        <v>0</v>
      </c>
      <c r="K6" s="85">
        <f ca="1">INDIRECT("Condiciones!"&amp;ADDRESS(VLOOKUP(K$2,Saltos,2,FALSE)+8*QUOTIENT((ROW()-3),13),MOD(ROW()-3,13)+COLUMN(Condiciones!$F$1)))</f>
        <v>0</v>
      </c>
      <c r="L6" s="88">
        <f t="shared" ca="1" si="13"/>
        <v>0</v>
      </c>
      <c r="M6" s="87">
        <f>IF(ISERROR(INDEX(PAGADO!$F$2:$R$321,MATCH(CONCATENATE($B$4,"Logistica"),PAGADO!$E$2:$E$321,0),MATCH($D6,PAGADO!$F$1:$Q$1,0))),0,INDEX(PAGADO!$F$2:$R$321,MATCH(CONCATENATE($B$4,"Logistica"),PAGADO!$E$2:$E$321,0),MATCH($D6,PAGADO!$F$1:$Q$1,0)))</f>
        <v>0</v>
      </c>
      <c r="N6" s="87">
        <f t="shared" ca="1" si="1"/>
        <v>0</v>
      </c>
      <c r="O6" s="85">
        <f ca="1">INDIRECT("Condiciones!"&amp;ADDRESS(VLOOKUP(O$2,Saltos,2,FALSE)+8*QUOTIENT((ROW()-3),13),MOD(ROW()-3,13)+COLUMN(Condiciones!$F$1)))</f>
        <v>0</v>
      </c>
      <c r="P6" s="87">
        <f t="shared" ca="1" si="14"/>
        <v>0</v>
      </c>
      <c r="Q6" s="87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87">
        <f t="shared" ca="1" si="2"/>
        <v>0</v>
      </c>
      <c r="S6" s="85">
        <f ca="1">INDIRECT("Condiciones!"&amp;ADDRESS(VLOOKUP(S$2,Saltos,2,FALSE)+8*QUOTIENT((ROW()-3),13),MOD(ROW()-3,13)+COLUMN(Condiciones!$F$1)))</f>
        <v>0</v>
      </c>
      <c r="T6" s="87">
        <f t="shared" ca="1" si="15"/>
        <v>0</v>
      </c>
      <c r="U6" s="87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87">
        <f t="shared" ca="1" si="3"/>
        <v>0</v>
      </c>
      <c r="W6" s="85">
        <f ca="1">INDIRECT("Condiciones!"&amp;ADDRESS(VLOOKUP(W$2,Saltos,2,FALSE)+8*QUOTIENT((ROW()-3),13),MOD(ROW()-3,13)+COLUMN(Condiciones!$F$1)))</f>
        <v>0</v>
      </c>
      <c r="X6" s="87">
        <f t="shared" ca="1" si="16"/>
        <v>0</v>
      </c>
      <c r="Y6" s="87">
        <f>IF(ISERROR(INDEX(PAGADO!$F$2:$R$321,MATCH(CONCATENATE($B$4,"Escala Fija"),PAGADO!$E$2:$E$321,0),MATCH($D6,PAGADO!$F$1:$Q$1,0))),0,INDEX(PAGADO!$F$2:$R$321,MATCH(CONCATENATE($B$4,"Escala Fija"),PAGADO!$E$2:$E$321,0),MATCH($D6,PAGADO!$F$1:$Q$1,0)))</f>
        <v>0</v>
      </c>
      <c r="Z6" s="87">
        <f t="shared" ca="1" si="4"/>
        <v>0</v>
      </c>
      <c r="AA6" s="85">
        <f ca="1">INDIRECT("Condiciones!"&amp;ADDRESS(VLOOKUP(AA$2,Saltos,2,FALSE)+8*QUOTIENT((ROW()-3),13),MOD(ROW()-3,13)+COLUMN(Condiciones!$F$1)))</f>
        <v>0</v>
      </c>
      <c r="AB6" s="87">
        <f t="shared" ca="1" si="17"/>
        <v>0</v>
      </c>
      <c r="AC6" s="87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87">
        <f t="shared" ca="1" si="5"/>
        <v>0</v>
      </c>
      <c r="AE6" s="85">
        <f ca="1">INDIRECT("Condiciones!"&amp;ADDRESS(VLOOKUP(AE$2,Saltos,2,FALSE)+8*QUOTIENT((ROW()-3),13),MOD(ROW()-3,13)+COLUMN(Condiciones!$F$1)))</f>
        <v>0</v>
      </c>
      <c r="AF6" s="87">
        <f t="shared" ca="1" si="18"/>
        <v>0</v>
      </c>
      <c r="AG6" s="87">
        <f>IF(ISERROR(INDEX(PAGADO!$F$2:$R$321,MATCH(CONCATENATE($B$4,"Otros"),PAGADO!$E$2:$E$321,0),MATCH($D6,PAGADO!$F$1:$Q$1,0))),0,INDEX(PAGADO!$F$2:$R$321,MATCH(CONCATENATE($B$4,"Otros"),PAGADO!$E$2:$E$321,0),MATCH($D6,PAGADO!$F$1:$Q$1,0)))</f>
        <v>0</v>
      </c>
      <c r="AH6" s="87">
        <f t="shared" ca="1" si="6"/>
        <v>0</v>
      </c>
      <c r="AI6" s="85">
        <f ca="1">INDIRECT("Condiciones!"&amp;ADDRESS(VLOOKUP(AI$2,Saltos,2,FALSE)+8*QUOTIENT((ROW()-3),13),MOD(ROW()-3,13)+COLUMN(Condiciones!$F$1)))</f>
        <v>0</v>
      </c>
      <c r="AJ6" s="87">
        <f t="shared" ca="1" si="19"/>
        <v>0</v>
      </c>
      <c r="AK6" s="87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87">
        <f t="shared" ca="1" si="7"/>
        <v>0</v>
      </c>
      <c r="AM6" s="68"/>
      <c r="AN6" s="87">
        <f t="shared" ca="1" si="8"/>
        <v>0</v>
      </c>
      <c r="AO6" s="87">
        <f t="shared" si="9"/>
        <v>0</v>
      </c>
      <c r="AP6" s="87">
        <f t="shared" ca="1" si="10"/>
        <v>0</v>
      </c>
    </row>
    <row r="7" spans="2:42">
      <c r="B7" s="122"/>
      <c r="C7" s="82">
        <f>DATE($B$2,4,1)</f>
        <v>45748</v>
      </c>
      <c r="D7" s="83" t="str">
        <f t="shared" si="11"/>
        <v>202504</v>
      </c>
      <c r="E7" s="84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0</v>
      </c>
      <c r="F7" s="84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0</v>
      </c>
      <c r="G7" s="85">
        <f ca="1">INDIRECT("Condiciones!"&amp;ADDRESS(VLOOKUP(G$2,Saltos,2,FALSE)+8*QUOTIENT((ROW()-3),13),MOD(ROW()-3,13)+COLUMN(Condiciones!$F$1)))</f>
        <v>0</v>
      </c>
      <c r="H7" s="86">
        <f t="shared" ca="1" si="12"/>
        <v>0</v>
      </c>
      <c r="I7" s="87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87">
        <f t="shared" ca="1" si="0"/>
        <v>0</v>
      </c>
      <c r="K7" s="85">
        <f ca="1">INDIRECT("Condiciones!"&amp;ADDRESS(VLOOKUP(K$2,Saltos,2,FALSE)+8*QUOTIENT((ROW()-3),13),MOD(ROW()-3,13)+COLUMN(Condiciones!$F$1)))</f>
        <v>0</v>
      </c>
      <c r="L7" s="88">
        <f t="shared" ca="1" si="13"/>
        <v>0</v>
      </c>
      <c r="M7" s="87">
        <f>IF(ISERROR(INDEX(PAGADO!$F$2:$R$321,MATCH(CONCATENATE($B$4,"Logistica"),PAGADO!$E$2:$E$321,0),MATCH($D7,PAGADO!$F$1:$Q$1,0))),0,INDEX(PAGADO!$F$2:$R$321,MATCH(CONCATENATE($B$4,"Logistica"),PAGADO!$E$2:$E$321,0),MATCH($D7,PAGADO!$F$1:$Q$1,0)))</f>
        <v>0</v>
      </c>
      <c r="N7" s="87">
        <f t="shared" ca="1" si="1"/>
        <v>0</v>
      </c>
      <c r="O7" s="85">
        <f ca="1">INDIRECT("Condiciones!"&amp;ADDRESS(VLOOKUP(O$2,Saltos,2,FALSE)+8*QUOTIENT((ROW()-3),13),MOD(ROW()-3,13)+COLUMN(Condiciones!$F$1)))</f>
        <v>0</v>
      </c>
      <c r="P7" s="87">
        <f t="shared" ca="1" si="14"/>
        <v>0</v>
      </c>
      <c r="Q7" s="87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87">
        <f t="shared" ca="1" si="2"/>
        <v>0</v>
      </c>
      <c r="S7" s="85">
        <f ca="1">INDIRECT("Condiciones!"&amp;ADDRESS(VLOOKUP(S$2,Saltos,2,FALSE)+8*QUOTIENT((ROW()-3),13),MOD(ROW()-3,13)+COLUMN(Condiciones!$F$1)))</f>
        <v>0</v>
      </c>
      <c r="T7" s="87">
        <f t="shared" ca="1" si="15"/>
        <v>0</v>
      </c>
      <c r="U7" s="87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87">
        <f t="shared" ca="1" si="3"/>
        <v>0</v>
      </c>
      <c r="W7" s="85">
        <f ca="1">INDIRECT("Condiciones!"&amp;ADDRESS(VLOOKUP(W$2,Saltos,2,FALSE)+8*QUOTIENT((ROW()-3),13),MOD(ROW()-3,13)+COLUMN(Condiciones!$F$1)))</f>
        <v>0</v>
      </c>
      <c r="X7" s="87">
        <f t="shared" ca="1" si="16"/>
        <v>0</v>
      </c>
      <c r="Y7" s="87">
        <f>IF(ISERROR(INDEX(PAGADO!$F$2:$R$321,MATCH(CONCATENATE($B$4,"Escala Fija"),PAGADO!$E$2:$E$321,0),MATCH($D7,PAGADO!$F$1:$Q$1,0))),0,INDEX(PAGADO!$F$2:$R$321,MATCH(CONCATENATE($B$4,"Escala Fija"),PAGADO!$E$2:$E$321,0),MATCH($D7,PAGADO!$F$1:$Q$1,0)))</f>
        <v>0</v>
      </c>
      <c r="Z7" s="87">
        <f t="shared" ca="1" si="4"/>
        <v>0</v>
      </c>
      <c r="AA7" s="85">
        <f ca="1">INDIRECT("Condiciones!"&amp;ADDRESS(VLOOKUP(AA$2,Saltos,2,FALSE)+8*QUOTIENT((ROW()-3),13),MOD(ROW()-3,13)+COLUMN(Condiciones!$F$1)))</f>
        <v>0</v>
      </c>
      <c r="AB7" s="87">
        <f t="shared" ca="1" si="17"/>
        <v>0</v>
      </c>
      <c r="AC7" s="87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87">
        <f t="shared" ca="1" si="5"/>
        <v>0</v>
      </c>
      <c r="AE7" s="85">
        <f ca="1">INDIRECT("Condiciones!"&amp;ADDRESS(VLOOKUP(AE$2,Saltos,2,FALSE)+8*QUOTIENT((ROW()-3),13),MOD(ROW()-3,13)+COLUMN(Condiciones!$F$1)))</f>
        <v>0</v>
      </c>
      <c r="AF7" s="87">
        <f t="shared" ca="1" si="18"/>
        <v>0</v>
      </c>
      <c r="AG7" s="87">
        <f>IF(ISERROR(INDEX(PAGADO!$F$2:$R$321,MATCH(CONCATENATE($B$4,"Otros"),PAGADO!$E$2:$E$321,0),MATCH($D7,PAGADO!$F$1:$Q$1,0))),0,INDEX(PAGADO!$F$2:$R$321,MATCH(CONCATENATE($B$4,"Otros"),PAGADO!$E$2:$E$321,0),MATCH($D7,PAGADO!$F$1:$Q$1,0)))</f>
        <v>0</v>
      </c>
      <c r="AH7" s="87">
        <f t="shared" ca="1" si="6"/>
        <v>0</v>
      </c>
      <c r="AI7" s="85">
        <f ca="1">INDIRECT("Condiciones!"&amp;ADDRESS(VLOOKUP(AI$2,Saltos,2,FALSE)+8*QUOTIENT((ROW()-3),13),MOD(ROW()-3,13)+COLUMN(Condiciones!$F$1)))</f>
        <v>0</v>
      </c>
      <c r="AJ7" s="87">
        <f t="shared" ca="1" si="19"/>
        <v>0</v>
      </c>
      <c r="AK7" s="87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87">
        <f t="shared" ca="1" si="7"/>
        <v>0</v>
      </c>
      <c r="AM7" s="68"/>
      <c r="AN7" s="87">
        <f t="shared" ca="1" si="8"/>
        <v>0</v>
      </c>
      <c r="AO7" s="87">
        <f t="shared" si="9"/>
        <v>0</v>
      </c>
      <c r="AP7" s="87">
        <f t="shared" ca="1" si="10"/>
        <v>0</v>
      </c>
    </row>
    <row r="8" spans="2:42">
      <c r="B8" s="122"/>
      <c r="C8" s="82">
        <f>DATE($B$2,6,)</f>
        <v>45808</v>
      </c>
      <c r="D8" s="83" t="str">
        <f t="shared" si="11"/>
        <v>202505</v>
      </c>
      <c r="E8" s="84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0</v>
      </c>
      <c r="F8" s="84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0</v>
      </c>
      <c r="G8" s="85">
        <f ca="1">INDIRECT("Condiciones!"&amp;ADDRESS(VLOOKUP(G$2,Saltos,2,FALSE)+8*QUOTIENT((ROW()-3),13),MOD(ROW()-3,13)+COLUMN(Condiciones!$F$1)))</f>
        <v>0</v>
      </c>
      <c r="H8" s="86">
        <f t="shared" ca="1" si="12"/>
        <v>0</v>
      </c>
      <c r="I8" s="87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87">
        <f t="shared" ca="1" si="0"/>
        <v>0</v>
      </c>
      <c r="K8" s="85">
        <f ca="1">INDIRECT("Condiciones!"&amp;ADDRESS(VLOOKUP(K$2,Saltos,2,FALSE)+8*QUOTIENT((ROW()-3),13),MOD(ROW()-3,13)+COLUMN(Condiciones!$F$1)))</f>
        <v>0</v>
      </c>
      <c r="L8" s="88">
        <f t="shared" ca="1" si="13"/>
        <v>0</v>
      </c>
      <c r="M8" s="87">
        <f>IF(ISERROR(INDEX(PAGADO!$F$2:$R$321,MATCH(CONCATENATE($B$4,"Logistica"),PAGADO!$E$2:$E$321,0),MATCH($D8,PAGADO!$F$1:$Q$1,0))),0,INDEX(PAGADO!$F$2:$R$321,MATCH(CONCATENATE($B$4,"Logistica"),PAGADO!$E$2:$E$321,0),MATCH($D8,PAGADO!$F$1:$Q$1,0)))</f>
        <v>0</v>
      </c>
      <c r="N8" s="87">
        <f t="shared" ca="1" si="1"/>
        <v>0</v>
      </c>
      <c r="O8" s="85">
        <f ca="1">INDIRECT("Condiciones!"&amp;ADDRESS(VLOOKUP(O$2,Saltos,2,FALSE)+8*QUOTIENT((ROW()-3),13),MOD(ROW()-3,13)+COLUMN(Condiciones!$F$1)))</f>
        <v>0</v>
      </c>
      <c r="P8" s="87">
        <f t="shared" ca="1" si="14"/>
        <v>0</v>
      </c>
      <c r="Q8" s="87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87">
        <f t="shared" ca="1" si="2"/>
        <v>0</v>
      </c>
      <c r="S8" s="85">
        <f ca="1">INDIRECT("Condiciones!"&amp;ADDRESS(VLOOKUP(S$2,Saltos,2,FALSE)+8*QUOTIENT((ROW()-3),13),MOD(ROW()-3,13)+COLUMN(Condiciones!$F$1)))</f>
        <v>0</v>
      </c>
      <c r="T8" s="87">
        <f t="shared" ca="1" si="15"/>
        <v>0</v>
      </c>
      <c r="U8" s="87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87">
        <f t="shared" ca="1" si="3"/>
        <v>0</v>
      </c>
      <c r="W8" s="85">
        <f ca="1">INDIRECT("Condiciones!"&amp;ADDRESS(VLOOKUP(W$2,Saltos,2,FALSE)+8*QUOTIENT((ROW()-3),13),MOD(ROW()-3,13)+COLUMN(Condiciones!$F$1)))</f>
        <v>0</v>
      </c>
      <c r="X8" s="87">
        <f t="shared" ca="1" si="16"/>
        <v>0</v>
      </c>
      <c r="Y8" s="87">
        <f>IF(ISERROR(INDEX(PAGADO!$F$2:$R$321,MATCH(CONCATENATE($B$4,"Escala Fija"),PAGADO!$E$2:$E$321,0),MATCH($D8,PAGADO!$F$1:$Q$1,0))),0,INDEX(PAGADO!$F$2:$R$321,MATCH(CONCATENATE($B$4,"Escala Fija"),PAGADO!$E$2:$E$321,0),MATCH($D8,PAGADO!$F$1:$Q$1,0)))</f>
        <v>0</v>
      </c>
      <c r="Z8" s="87">
        <f t="shared" ca="1" si="4"/>
        <v>0</v>
      </c>
      <c r="AA8" s="85">
        <f ca="1">INDIRECT("Condiciones!"&amp;ADDRESS(VLOOKUP(AA$2,Saltos,2,FALSE)+8*QUOTIENT((ROW()-3),13),MOD(ROW()-3,13)+COLUMN(Condiciones!$F$1)))</f>
        <v>0</v>
      </c>
      <c r="AB8" s="87">
        <f t="shared" ca="1" si="17"/>
        <v>0</v>
      </c>
      <c r="AC8" s="87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87">
        <f t="shared" ca="1" si="5"/>
        <v>0</v>
      </c>
      <c r="AE8" s="85">
        <f ca="1">INDIRECT("Condiciones!"&amp;ADDRESS(VLOOKUP(AE$2,Saltos,2,FALSE)+8*QUOTIENT((ROW()-3),13),MOD(ROW()-3,13)+COLUMN(Condiciones!$F$1)))</f>
        <v>0</v>
      </c>
      <c r="AF8" s="87">
        <f t="shared" ca="1" si="18"/>
        <v>0</v>
      </c>
      <c r="AG8" s="87">
        <f>IF(ISERROR(INDEX(PAGADO!$F$2:$R$321,MATCH(CONCATENATE($B$4,"Otros"),PAGADO!$E$2:$E$321,0),MATCH($D8,PAGADO!$F$1:$Q$1,0))),0,INDEX(PAGADO!$F$2:$R$321,MATCH(CONCATENATE($B$4,"Otros"),PAGADO!$E$2:$E$321,0),MATCH($D8,PAGADO!$F$1:$Q$1,0)))</f>
        <v>0</v>
      </c>
      <c r="AH8" s="87">
        <f t="shared" ca="1" si="6"/>
        <v>0</v>
      </c>
      <c r="AI8" s="85">
        <f ca="1">INDIRECT("Condiciones!"&amp;ADDRESS(VLOOKUP(AI$2,Saltos,2,FALSE)+8*QUOTIENT((ROW()-3),13),MOD(ROW()-3,13)+COLUMN(Condiciones!$F$1)))</f>
        <v>0</v>
      </c>
      <c r="AJ8" s="87">
        <f t="shared" ca="1" si="19"/>
        <v>0</v>
      </c>
      <c r="AK8" s="87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87">
        <f t="shared" ca="1" si="7"/>
        <v>0</v>
      </c>
      <c r="AM8" s="68"/>
      <c r="AN8" s="87">
        <f t="shared" ca="1" si="8"/>
        <v>0</v>
      </c>
      <c r="AO8" s="87">
        <f t="shared" si="9"/>
        <v>0</v>
      </c>
      <c r="AP8" s="87">
        <f t="shared" ca="1" si="10"/>
        <v>0</v>
      </c>
    </row>
    <row r="9" spans="2:42">
      <c r="B9" s="122"/>
      <c r="C9" s="82">
        <f>DATE($B$2,6,1)</f>
        <v>45809</v>
      </c>
      <c r="D9" s="83" t="str">
        <f t="shared" si="11"/>
        <v>202506</v>
      </c>
      <c r="E9" s="84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0</v>
      </c>
      <c r="F9" s="84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0</v>
      </c>
      <c r="G9" s="85">
        <f ca="1">INDIRECT("Condiciones!"&amp;ADDRESS(VLOOKUP(G$2,Saltos,2,FALSE)+8*QUOTIENT((ROW()-3),13),MOD(ROW()-3,13)+COLUMN(Condiciones!$F$1)))</f>
        <v>0</v>
      </c>
      <c r="H9" s="86">
        <f t="shared" ca="1" si="12"/>
        <v>0</v>
      </c>
      <c r="I9" s="87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87">
        <f t="shared" ca="1" si="0"/>
        <v>0</v>
      </c>
      <c r="K9" s="85">
        <f ca="1">INDIRECT("Condiciones!"&amp;ADDRESS(VLOOKUP(K$2,Saltos,2,FALSE)+8*QUOTIENT((ROW()-3),13),MOD(ROW()-3,13)+COLUMN(Condiciones!$F$1)))</f>
        <v>0</v>
      </c>
      <c r="L9" s="88">
        <f t="shared" ca="1" si="13"/>
        <v>0</v>
      </c>
      <c r="M9" s="87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87">
        <f t="shared" ca="1" si="1"/>
        <v>0</v>
      </c>
      <c r="O9" s="85">
        <f ca="1">INDIRECT("Condiciones!"&amp;ADDRESS(VLOOKUP(O$2,Saltos,2,FALSE)+8*QUOTIENT((ROW()-3),13),MOD(ROW()-3,13)+COLUMN(Condiciones!$F$1)))</f>
        <v>0</v>
      </c>
      <c r="P9" s="87">
        <f t="shared" ca="1" si="14"/>
        <v>0</v>
      </c>
      <c r="Q9" s="87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87">
        <f t="shared" ca="1" si="2"/>
        <v>0</v>
      </c>
      <c r="S9" s="85">
        <f ca="1">INDIRECT("Condiciones!"&amp;ADDRESS(VLOOKUP(S$2,Saltos,2,FALSE)+8*QUOTIENT((ROW()-3),13),MOD(ROW()-3,13)+COLUMN(Condiciones!$F$1)))</f>
        <v>0</v>
      </c>
      <c r="T9" s="87">
        <f t="shared" ca="1" si="15"/>
        <v>0</v>
      </c>
      <c r="U9" s="87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87">
        <f t="shared" ca="1" si="3"/>
        <v>0</v>
      </c>
      <c r="W9" s="85">
        <f ca="1">INDIRECT("Condiciones!"&amp;ADDRESS(VLOOKUP(W$2,Saltos,2,FALSE)+8*QUOTIENT((ROW()-3),13),MOD(ROW()-3,13)+COLUMN(Condiciones!$F$1)))</f>
        <v>0</v>
      </c>
      <c r="X9" s="87">
        <f t="shared" ca="1" si="16"/>
        <v>0</v>
      </c>
      <c r="Y9" s="87">
        <f>IF(ISERROR(INDEX(PAGADO!$F$2:$R$321,MATCH(CONCATENATE($B$4,"Escala Fija"),PAGADO!$E$2:$E$321,0),MATCH($D9,PAGADO!$F$1:$Q$1,0))),0,INDEX(PAGADO!$F$2:$R$321,MATCH(CONCATENATE($B$4,"Escala Fija"),PAGADO!$E$2:$E$321,0),MATCH($D9,PAGADO!$F$1:$Q$1,0)))</f>
        <v>0</v>
      </c>
      <c r="Z9" s="87">
        <f t="shared" ca="1" si="4"/>
        <v>0</v>
      </c>
      <c r="AA9" s="85">
        <f ca="1">INDIRECT("Condiciones!"&amp;ADDRESS(VLOOKUP(AA$2,Saltos,2,FALSE)+8*QUOTIENT((ROW()-3),13),MOD(ROW()-3,13)+COLUMN(Condiciones!$F$1)))</f>
        <v>0</v>
      </c>
      <c r="AB9" s="87">
        <f t="shared" ca="1" si="17"/>
        <v>0</v>
      </c>
      <c r="AC9" s="87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87">
        <f t="shared" ca="1" si="5"/>
        <v>0</v>
      </c>
      <c r="AE9" s="85">
        <f ca="1">INDIRECT("Condiciones!"&amp;ADDRESS(VLOOKUP(AE$2,Saltos,2,FALSE)+8*QUOTIENT((ROW()-3),13),MOD(ROW()-3,13)+COLUMN(Condiciones!$F$1)))</f>
        <v>0</v>
      </c>
      <c r="AF9" s="87">
        <f t="shared" ca="1" si="18"/>
        <v>0</v>
      </c>
      <c r="AG9" s="87">
        <f>IF(ISERROR(INDEX(PAGADO!$F$2:$R$321,MATCH(CONCATENATE($B$4,"Otros"),PAGADO!$E$2:$E$321,0),MATCH($D9,PAGADO!$F$1:$Q$1,0))),0,INDEX(PAGADO!$F$2:$R$321,MATCH(CONCATENATE($B$4,"Otros"),PAGADO!$E$2:$E$321,0),MATCH($D9,PAGADO!$F$1:$Q$1,0)))</f>
        <v>0</v>
      </c>
      <c r="AH9" s="87">
        <f t="shared" ca="1" si="6"/>
        <v>0</v>
      </c>
      <c r="AI9" s="85">
        <f ca="1">INDIRECT("Condiciones!"&amp;ADDRESS(VLOOKUP(AI$2,Saltos,2,FALSE)+8*QUOTIENT((ROW()-3),13),MOD(ROW()-3,13)+COLUMN(Condiciones!$F$1)))</f>
        <v>0</v>
      </c>
      <c r="AJ9" s="87">
        <f t="shared" ca="1" si="19"/>
        <v>0</v>
      </c>
      <c r="AK9" s="87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87">
        <f t="shared" ca="1" si="7"/>
        <v>0</v>
      </c>
      <c r="AM9" s="68"/>
      <c r="AN9" s="87">
        <f t="shared" ca="1" si="8"/>
        <v>0</v>
      </c>
      <c r="AO9" s="87">
        <f t="shared" si="9"/>
        <v>0</v>
      </c>
      <c r="AP9" s="87">
        <f t="shared" ca="1" si="10"/>
        <v>0</v>
      </c>
    </row>
    <row r="10" spans="2:42">
      <c r="B10" s="122"/>
      <c r="C10" s="82">
        <f>DATE($B$2,7,1)</f>
        <v>45839</v>
      </c>
      <c r="D10" s="83" t="str">
        <f t="shared" si="11"/>
        <v>202507</v>
      </c>
      <c r="E10" s="84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0</v>
      </c>
      <c r="F10" s="84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0</v>
      </c>
      <c r="G10" s="85">
        <f ca="1">INDIRECT("Condiciones!"&amp;ADDRESS(VLOOKUP(G$2,Saltos,2,FALSE)+8*QUOTIENT((ROW()-3),13),MOD(ROW()-3,13)+COLUMN(Condiciones!$F$1)))</f>
        <v>0</v>
      </c>
      <c r="H10" s="86">
        <f t="shared" ca="1" si="12"/>
        <v>0</v>
      </c>
      <c r="I10" s="87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87">
        <f t="shared" ca="1" si="0"/>
        <v>0</v>
      </c>
      <c r="K10" s="85">
        <f ca="1">INDIRECT("Condiciones!"&amp;ADDRESS(VLOOKUP(K$2,Saltos,2,FALSE)+8*QUOTIENT((ROW()-3),13),MOD(ROW()-3,13)+COLUMN(Condiciones!$F$1)))</f>
        <v>0</v>
      </c>
      <c r="L10" s="88">
        <f t="shared" ca="1" si="13"/>
        <v>0</v>
      </c>
      <c r="M10" s="87">
        <f>IF(ISERROR(INDEX(PAGADO!$F$2:$R$321,MATCH(CONCATENATE($B$4,"Logistica"),PAGADO!$E$2:$E$321,0),MATCH($D10,PAGADO!$F$1:$Q$1,0))),0,INDEX(PAGADO!$F$2:$R$321,MATCH(CONCATENATE($B$4,"Logistica"),PAGADO!$E$2:$E$321,0),MATCH($D10,PAGADO!$F$1:$Q$1,0)))</f>
        <v>0</v>
      </c>
      <c r="N10" s="87">
        <f t="shared" ca="1" si="1"/>
        <v>0</v>
      </c>
      <c r="O10" s="85">
        <f ca="1">INDIRECT("Condiciones!"&amp;ADDRESS(VLOOKUP(O$2,Saltos,2,FALSE)+8*QUOTIENT((ROW()-3),13),MOD(ROW()-3,13)+COLUMN(Condiciones!$F$1)))</f>
        <v>0</v>
      </c>
      <c r="P10" s="87">
        <f t="shared" ca="1" si="14"/>
        <v>0</v>
      </c>
      <c r="Q10" s="87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87">
        <f t="shared" ca="1" si="2"/>
        <v>0</v>
      </c>
      <c r="S10" s="85">
        <f ca="1">INDIRECT("Condiciones!"&amp;ADDRESS(VLOOKUP(S$2,Saltos,2,FALSE)+8*QUOTIENT((ROW()-3),13),MOD(ROW()-3,13)+COLUMN(Condiciones!$F$1)))</f>
        <v>0</v>
      </c>
      <c r="T10" s="87">
        <f t="shared" ca="1" si="15"/>
        <v>0</v>
      </c>
      <c r="U10" s="87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87">
        <f t="shared" ca="1" si="3"/>
        <v>0</v>
      </c>
      <c r="W10" s="85">
        <f ca="1">INDIRECT("Condiciones!"&amp;ADDRESS(VLOOKUP(W$2,Saltos,2,FALSE)+8*QUOTIENT((ROW()-3),13),MOD(ROW()-3,13)+COLUMN(Condiciones!$F$1)))</f>
        <v>0</v>
      </c>
      <c r="X10" s="87">
        <f t="shared" ca="1" si="16"/>
        <v>0</v>
      </c>
      <c r="Y10" s="87">
        <f>IF(ISERROR(INDEX(PAGADO!$F$2:$R$321,MATCH(CONCATENATE($B$4,"Escala Fija"),PAGADO!$E$2:$E$321,0),MATCH($D10,PAGADO!$F$1:$Q$1,0))),0,INDEX(PAGADO!$F$2:$R$321,MATCH(CONCATENATE($B$4,"Escala Fija"),PAGADO!$E$2:$E$321,0),MATCH($D10,PAGADO!$F$1:$Q$1,0)))</f>
        <v>0</v>
      </c>
      <c r="Z10" s="87">
        <f t="shared" ca="1" si="4"/>
        <v>0</v>
      </c>
      <c r="AA10" s="85">
        <f ca="1">INDIRECT("Condiciones!"&amp;ADDRESS(VLOOKUP(AA$2,Saltos,2,FALSE)+8*QUOTIENT((ROW()-3),13),MOD(ROW()-3,13)+COLUMN(Condiciones!$F$1)))</f>
        <v>0</v>
      </c>
      <c r="AB10" s="87">
        <f t="shared" ca="1" si="17"/>
        <v>0</v>
      </c>
      <c r="AC10" s="87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87">
        <f t="shared" ca="1" si="5"/>
        <v>0</v>
      </c>
      <c r="AE10" s="85">
        <f ca="1">INDIRECT("Condiciones!"&amp;ADDRESS(VLOOKUP(AE$2,Saltos,2,FALSE)+8*QUOTIENT((ROW()-3),13),MOD(ROW()-3,13)+COLUMN(Condiciones!$F$1)))</f>
        <v>0</v>
      </c>
      <c r="AF10" s="87">
        <f t="shared" ca="1" si="18"/>
        <v>0</v>
      </c>
      <c r="AG10" s="87">
        <f>IF(ISERROR(INDEX(PAGADO!$F$2:$R$321,MATCH(CONCATENATE($B$4,"Otros"),PAGADO!$E$2:$E$321,0),MATCH($D10,PAGADO!$F$1:$Q$1,0))),0,INDEX(PAGADO!$F$2:$R$321,MATCH(CONCATENATE($B$4,"Otros"),PAGADO!$E$2:$E$321,0),MATCH($D10,PAGADO!$F$1:$Q$1,0)))</f>
        <v>0</v>
      </c>
      <c r="AH10" s="87">
        <f t="shared" ca="1" si="6"/>
        <v>0</v>
      </c>
      <c r="AI10" s="85">
        <f ca="1">INDIRECT("Condiciones!"&amp;ADDRESS(VLOOKUP(AI$2,Saltos,2,FALSE)+8*QUOTIENT((ROW()-3),13),MOD(ROW()-3,13)+COLUMN(Condiciones!$F$1)))</f>
        <v>0</v>
      </c>
      <c r="AJ10" s="87">
        <f t="shared" ca="1" si="19"/>
        <v>0</v>
      </c>
      <c r="AK10" s="87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0</v>
      </c>
      <c r="AL10" s="87">
        <f t="shared" ca="1" si="7"/>
        <v>0</v>
      </c>
      <c r="AM10" s="68"/>
      <c r="AN10" s="87">
        <f t="shared" ca="1" si="8"/>
        <v>0</v>
      </c>
      <c r="AO10" s="87">
        <f t="shared" si="9"/>
        <v>0</v>
      </c>
      <c r="AP10" s="87">
        <f t="shared" ca="1" si="10"/>
        <v>0</v>
      </c>
    </row>
    <row r="11" spans="2:42">
      <c r="B11" s="122"/>
      <c r="C11" s="82">
        <f>DATE($B$2,8,1)</f>
        <v>45870</v>
      </c>
      <c r="D11" s="83" t="str">
        <f t="shared" si="11"/>
        <v>202508</v>
      </c>
      <c r="E11" s="84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0</v>
      </c>
      <c r="F11" s="84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0</v>
      </c>
      <c r="G11" s="85">
        <f ca="1">INDIRECT("Condiciones!"&amp;ADDRESS(VLOOKUP(G$2,Saltos,2,FALSE)+8*QUOTIENT((ROW()-3),13),MOD(ROW()-3,13)+COLUMN(Condiciones!$F$1)))</f>
        <v>0</v>
      </c>
      <c r="H11" s="86">
        <f t="shared" ca="1" si="12"/>
        <v>0</v>
      </c>
      <c r="I11" s="87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87">
        <f t="shared" ca="1" si="0"/>
        <v>0</v>
      </c>
      <c r="K11" s="85">
        <f ca="1">INDIRECT("Condiciones!"&amp;ADDRESS(VLOOKUP(K$2,Saltos,2,FALSE)+8*QUOTIENT((ROW()-3),13),MOD(ROW()-3,13)+COLUMN(Condiciones!$F$1)))</f>
        <v>0</v>
      </c>
      <c r="L11" s="88">
        <f t="shared" ca="1" si="13"/>
        <v>0</v>
      </c>
      <c r="M11" s="87">
        <f>IF(ISERROR(INDEX(PAGADO!$F$2:$R$321,MATCH(CONCATENATE($B$4,"Logistica"),PAGADO!$E$2:$E$321,0),MATCH($D11,PAGADO!$F$1:$Q$1,0))),0,INDEX(PAGADO!$F$2:$R$321,MATCH(CONCATENATE($B$4,"Logistica"),PAGADO!$E$2:$E$321,0),MATCH($D11,PAGADO!$F$1:$Q$1,0)))</f>
        <v>0</v>
      </c>
      <c r="N11" s="87">
        <f t="shared" ca="1" si="1"/>
        <v>0</v>
      </c>
      <c r="O11" s="85">
        <f ca="1">INDIRECT("Condiciones!"&amp;ADDRESS(VLOOKUP(O$2,Saltos,2,FALSE)+8*QUOTIENT((ROW()-3),13),MOD(ROW()-3,13)+COLUMN(Condiciones!$F$1)))</f>
        <v>0</v>
      </c>
      <c r="P11" s="87">
        <f t="shared" ca="1" si="14"/>
        <v>0</v>
      </c>
      <c r="Q11" s="87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87">
        <f t="shared" ca="1" si="2"/>
        <v>0</v>
      </c>
      <c r="S11" s="85">
        <f ca="1">INDIRECT("Condiciones!"&amp;ADDRESS(VLOOKUP(S$2,Saltos,2,FALSE)+8*QUOTIENT((ROW()-3),13),MOD(ROW()-3,13)+COLUMN(Condiciones!$F$1)))</f>
        <v>0</v>
      </c>
      <c r="T11" s="87">
        <f t="shared" ca="1" si="15"/>
        <v>0</v>
      </c>
      <c r="U11" s="87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87">
        <f t="shared" ca="1" si="3"/>
        <v>0</v>
      </c>
      <c r="W11" s="85">
        <f ca="1">INDIRECT("Condiciones!"&amp;ADDRESS(VLOOKUP(W$2,Saltos,2,FALSE)+8*QUOTIENT((ROW()-3),13),MOD(ROW()-3,13)+COLUMN(Condiciones!$F$1)))</f>
        <v>0</v>
      </c>
      <c r="X11" s="87">
        <f t="shared" ca="1" si="16"/>
        <v>0</v>
      </c>
      <c r="Y11" s="87">
        <f>IF(ISERROR(INDEX(PAGADO!$F$2:$R$321,MATCH(CONCATENATE($B$4,"Escala Fija"),PAGADO!$E$2:$E$321,0),MATCH($D11,PAGADO!$F$1:$Q$1,0))),0,INDEX(PAGADO!$F$2:$R$321,MATCH(CONCATENATE($B$4,"Escala Fija"),PAGADO!$E$2:$E$321,0),MATCH($D11,PAGADO!$F$1:$Q$1,0)))</f>
        <v>0</v>
      </c>
      <c r="Z11" s="87">
        <f t="shared" ca="1" si="4"/>
        <v>0</v>
      </c>
      <c r="AA11" s="85">
        <f ca="1">INDIRECT("Condiciones!"&amp;ADDRESS(VLOOKUP(AA$2,Saltos,2,FALSE)+8*QUOTIENT((ROW()-3),13),MOD(ROW()-3,13)+COLUMN(Condiciones!$F$1)))</f>
        <v>0</v>
      </c>
      <c r="AB11" s="87">
        <f t="shared" ca="1" si="17"/>
        <v>0</v>
      </c>
      <c r="AC11" s="87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87">
        <f t="shared" ca="1" si="5"/>
        <v>0</v>
      </c>
      <c r="AE11" s="85">
        <f ca="1">INDIRECT("Condiciones!"&amp;ADDRESS(VLOOKUP(AE$2,Saltos,2,FALSE)+8*QUOTIENT((ROW()-3),13),MOD(ROW()-3,13)+COLUMN(Condiciones!$F$1)))</f>
        <v>0</v>
      </c>
      <c r="AF11" s="87">
        <f t="shared" ca="1" si="18"/>
        <v>0</v>
      </c>
      <c r="AG11" s="87">
        <f>IF(ISERROR(INDEX(PAGADO!$F$2:$R$321,MATCH(CONCATENATE($B$4,"Otros"),PAGADO!$E$2:$E$321,0),MATCH($D11,PAGADO!$F$1:$Q$1,0))),0,INDEX(PAGADO!$F$2:$R$321,MATCH(CONCATENATE($B$4,"Otros"),PAGADO!$E$2:$E$321,0),MATCH($D11,PAGADO!$F$1:$Q$1,0)))</f>
        <v>0</v>
      </c>
      <c r="AH11" s="87">
        <f t="shared" ca="1" si="6"/>
        <v>0</v>
      </c>
      <c r="AI11" s="85">
        <f ca="1">INDIRECT("Condiciones!"&amp;ADDRESS(VLOOKUP(AI$2,Saltos,2,FALSE)+8*QUOTIENT((ROW()-3),13),MOD(ROW()-3,13)+COLUMN(Condiciones!$F$1)))</f>
        <v>0</v>
      </c>
      <c r="AJ11" s="87">
        <f t="shared" ca="1" si="19"/>
        <v>0</v>
      </c>
      <c r="AK11" s="87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0</v>
      </c>
      <c r="AL11" s="87">
        <f t="shared" ca="1" si="7"/>
        <v>0</v>
      </c>
      <c r="AM11" s="68"/>
      <c r="AN11" s="87">
        <f t="shared" ca="1" si="8"/>
        <v>0</v>
      </c>
      <c r="AO11" s="87">
        <f t="shared" si="9"/>
        <v>0</v>
      </c>
      <c r="AP11" s="87">
        <f t="shared" ca="1" si="10"/>
        <v>0</v>
      </c>
    </row>
    <row r="12" spans="2:42">
      <c r="B12" s="122"/>
      <c r="C12" s="82">
        <f>DATE($B$2,9,1)</f>
        <v>45901</v>
      </c>
      <c r="D12" s="83" t="str">
        <f t="shared" si="11"/>
        <v>202509</v>
      </c>
      <c r="E12" s="84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1431300</v>
      </c>
      <c r="F12" s="84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0</v>
      </c>
      <c r="G12" s="85">
        <f ca="1">INDIRECT("Condiciones!"&amp;ADDRESS(VLOOKUP(G$2,Saltos,2,FALSE)+8*QUOTIENT((ROW()-3),13),MOD(ROW()-3,13)+COLUMN(Condiciones!$F$1)))</f>
        <v>0</v>
      </c>
      <c r="H12" s="86">
        <f t="shared" ca="1" si="12"/>
        <v>0</v>
      </c>
      <c r="I12" s="87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87">
        <f t="shared" ca="1" si="0"/>
        <v>0</v>
      </c>
      <c r="K12" s="85">
        <f ca="1">INDIRECT("Condiciones!"&amp;ADDRESS(VLOOKUP(K$2,Saltos,2,FALSE)+8*QUOTIENT((ROW()-3),13),MOD(ROW()-3,13)+COLUMN(Condiciones!$F$1)))</f>
        <v>0</v>
      </c>
      <c r="L12" s="88">
        <f t="shared" ca="1" si="13"/>
        <v>0</v>
      </c>
      <c r="M12" s="87">
        <f>IF(ISERROR(INDEX(PAGADO!$F$2:$R$321,MATCH(CONCATENATE($B$4,"Logistica"),PAGADO!$E$2:$E$321,0),MATCH($D12,PAGADO!$F$1:$Q$1,0))),0,INDEX(PAGADO!$F$2:$R$321,MATCH(CONCATENATE($B$4,"Logistica"),PAGADO!$E$2:$E$321,0),MATCH($D12,PAGADO!$F$1:$Q$1,0)))</f>
        <v>0</v>
      </c>
      <c r="N12" s="87">
        <f t="shared" ca="1" si="1"/>
        <v>0</v>
      </c>
      <c r="O12" s="85">
        <f ca="1">INDIRECT("Condiciones!"&amp;ADDRESS(VLOOKUP(O$2,Saltos,2,FALSE)+8*QUOTIENT((ROW()-3),13),MOD(ROW()-3,13)+COLUMN(Condiciones!$F$1)))</f>
        <v>0</v>
      </c>
      <c r="P12" s="87">
        <f t="shared" ca="1" si="14"/>
        <v>0</v>
      </c>
      <c r="Q12" s="87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87">
        <f t="shared" ca="1" si="2"/>
        <v>0</v>
      </c>
      <c r="S12" s="85">
        <f ca="1">INDIRECT("Condiciones!"&amp;ADDRESS(VLOOKUP(S$2,Saltos,2,FALSE)+8*QUOTIENT((ROW()-3),13),MOD(ROW()-3,13)+COLUMN(Condiciones!$F$1)))</f>
        <v>0</v>
      </c>
      <c r="T12" s="87">
        <f t="shared" ca="1" si="15"/>
        <v>0</v>
      </c>
      <c r="U12" s="87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87">
        <f t="shared" ca="1" si="3"/>
        <v>0</v>
      </c>
      <c r="W12" s="85">
        <f ca="1">INDIRECT("Condiciones!"&amp;ADDRESS(VLOOKUP(W$2,Saltos,2,FALSE)+8*QUOTIENT((ROW()-3),13),MOD(ROW()-3,13)+COLUMN(Condiciones!$F$1)))</f>
        <v>0</v>
      </c>
      <c r="X12" s="87">
        <f t="shared" ca="1" si="16"/>
        <v>0</v>
      </c>
      <c r="Y12" s="87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87">
        <f t="shared" ca="1" si="4"/>
        <v>0</v>
      </c>
      <c r="AA12" s="85">
        <f ca="1">INDIRECT("Condiciones!"&amp;ADDRESS(VLOOKUP(AA$2,Saltos,2,FALSE)+8*QUOTIENT((ROW()-3),13),MOD(ROW()-3,13)+COLUMN(Condiciones!$F$1)))</f>
        <v>0</v>
      </c>
      <c r="AB12" s="87">
        <f t="shared" ca="1" si="17"/>
        <v>0</v>
      </c>
      <c r="AC12" s="87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87">
        <f t="shared" ca="1" si="5"/>
        <v>0</v>
      </c>
      <c r="AE12" s="85">
        <f ca="1">INDIRECT("Condiciones!"&amp;ADDRESS(VLOOKUP(AE$2,Saltos,2,FALSE)+8*QUOTIENT((ROW()-3),13),MOD(ROW()-3,13)+COLUMN(Condiciones!$F$1)))</f>
        <v>0</v>
      </c>
      <c r="AF12" s="87">
        <f t="shared" ca="1" si="18"/>
        <v>0</v>
      </c>
      <c r="AG12" s="87">
        <f>IF(ISERROR(INDEX(PAGADO!$F$2:$R$321,MATCH(CONCATENATE($B$4,"Otros"),PAGADO!$E$2:$E$321,0),MATCH($D12,PAGADO!$F$1:$Q$1,0))),0,INDEX(PAGADO!$F$2:$R$321,MATCH(CONCATENATE($B$4,"Otros"),PAGADO!$E$2:$E$321,0),MATCH($D12,PAGADO!$F$1:$Q$1,0)))</f>
        <v>0</v>
      </c>
      <c r="AH12" s="87">
        <f t="shared" ca="1" si="6"/>
        <v>0</v>
      </c>
      <c r="AI12" s="85">
        <f ca="1">INDIRECT("Condiciones!"&amp;ADDRESS(VLOOKUP(AI$2,Saltos,2,FALSE)+8*QUOTIENT((ROW()-3),13),MOD(ROW()-3,13)+COLUMN(Condiciones!$F$1)))</f>
        <v>0</v>
      </c>
      <c r="AJ12" s="87">
        <f t="shared" ca="1" si="19"/>
        <v>0</v>
      </c>
      <c r="AK12" s="87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0</v>
      </c>
      <c r="AL12" s="87">
        <f t="shared" ca="1" si="7"/>
        <v>0</v>
      </c>
      <c r="AM12" s="68"/>
      <c r="AN12" s="87">
        <f t="shared" ca="1" si="8"/>
        <v>0</v>
      </c>
      <c r="AO12" s="87">
        <f t="shared" si="9"/>
        <v>0</v>
      </c>
      <c r="AP12" s="87">
        <f t="shared" ca="1" si="10"/>
        <v>0</v>
      </c>
    </row>
    <row r="13" spans="2:42">
      <c r="B13" s="122"/>
      <c r="C13" s="82">
        <f>DATE($B$2,10,1)</f>
        <v>45931</v>
      </c>
      <c r="D13" s="83" t="str">
        <f t="shared" si="11"/>
        <v>202510</v>
      </c>
      <c r="E13" s="84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6462339</v>
      </c>
      <c r="F13" s="84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0</v>
      </c>
      <c r="G13" s="85">
        <f ca="1">INDIRECT("Condiciones!"&amp;ADDRESS(VLOOKUP(G$2,Saltos,2,FALSE)+8*QUOTIENT((ROW()-3),13),MOD(ROW()-3,13)+COLUMN(Condiciones!$F$1)))</f>
        <v>0</v>
      </c>
      <c r="H13" s="86">
        <f t="shared" ca="1" si="12"/>
        <v>0</v>
      </c>
      <c r="I13" s="87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87">
        <f t="shared" ca="1" si="0"/>
        <v>0</v>
      </c>
      <c r="K13" s="85">
        <f ca="1">INDIRECT("Condiciones!"&amp;ADDRESS(VLOOKUP(K$2,Saltos,2,FALSE)+8*QUOTIENT((ROW()-3),13),MOD(ROW()-3,13)+COLUMN(Condiciones!$F$1)))</f>
        <v>0</v>
      </c>
      <c r="L13" s="88">
        <f t="shared" ca="1" si="13"/>
        <v>0</v>
      </c>
      <c r="M13" s="87">
        <f>IF(ISERROR(INDEX(PAGADO!$F$2:$R$321,MATCH(CONCATENATE($B$4,"Logistica"),PAGADO!$E$2:$E$321,0),MATCH($D13,PAGADO!$F$1:$Q$1,0))),0,INDEX(PAGADO!$F$2:$R$321,MATCH(CONCATENATE($B$4,"Logistica"),PAGADO!$E$2:$E$321,0),MATCH($D13,PAGADO!$F$1:$Q$1,0)))</f>
        <v>0</v>
      </c>
      <c r="N13" s="87">
        <f t="shared" ca="1" si="1"/>
        <v>0</v>
      </c>
      <c r="O13" s="85">
        <f ca="1">INDIRECT("Condiciones!"&amp;ADDRESS(VLOOKUP(O$2,Saltos,2,FALSE)+8*QUOTIENT((ROW()-3),13),MOD(ROW()-3,13)+COLUMN(Condiciones!$F$1)))</f>
        <v>0</v>
      </c>
      <c r="P13" s="87">
        <f t="shared" ca="1" si="14"/>
        <v>0</v>
      </c>
      <c r="Q13" s="87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87">
        <f t="shared" ca="1" si="2"/>
        <v>0</v>
      </c>
      <c r="S13" s="85">
        <f ca="1">INDIRECT("Condiciones!"&amp;ADDRESS(VLOOKUP(S$2,Saltos,2,FALSE)+8*QUOTIENT((ROW()-3),13),MOD(ROW()-3,13)+COLUMN(Condiciones!$F$1)))</f>
        <v>0</v>
      </c>
      <c r="T13" s="87">
        <f t="shared" ca="1" si="15"/>
        <v>0</v>
      </c>
      <c r="U13" s="87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87">
        <f t="shared" ca="1" si="3"/>
        <v>0</v>
      </c>
      <c r="W13" s="85">
        <f ca="1">INDIRECT("Condiciones!"&amp;ADDRESS(VLOOKUP(W$2,Saltos,2,FALSE)+8*QUOTIENT((ROW()-3),13),MOD(ROW()-3,13)+COLUMN(Condiciones!$F$1)))</f>
        <v>0</v>
      </c>
      <c r="X13" s="87">
        <f t="shared" ca="1" si="16"/>
        <v>0</v>
      </c>
      <c r="Y13" s="87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87">
        <f t="shared" ca="1" si="4"/>
        <v>0</v>
      </c>
      <c r="AA13" s="85">
        <f ca="1">INDIRECT("Condiciones!"&amp;ADDRESS(VLOOKUP(AA$2,Saltos,2,FALSE)+8*QUOTIENT((ROW()-3),13),MOD(ROW()-3,13)+COLUMN(Condiciones!$F$1)))</f>
        <v>0</v>
      </c>
      <c r="AB13" s="87">
        <f t="shared" ca="1" si="17"/>
        <v>0</v>
      </c>
      <c r="AC13" s="87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87">
        <f t="shared" ca="1" si="5"/>
        <v>0</v>
      </c>
      <c r="AE13" s="85">
        <f ca="1">INDIRECT("Condiciones!"&amp;ADDRESS(VLOOKUP(AE$2,Saltos,2,FALSE)+8*QUOTIENT((ROW()-3),13),MOD(ROW()-3,13)+COLUMN(Condiciones!$F$1)))</f>
        <v>0</v>
      </c>
      <c r="AF13" s="87">
        <f t="shared" ca="1" si="18"/>
        <v>0</v>
      </c>
      <c r="AG13" s="87">
        <f>IF(ISERROR(INDEX(PAGADO!$F$2:$R$321,MATCH(CONCATENATE($B$4,"Otros"),PAGADO!$E$2:$E$321,0),MATCH($D13,PAGADO!$F$1:$Q$1,0))),0,INDEX(PAGADO!$F$2:$R$321,MATCH(CONCATENATE($B$4,"Otros"),PAGADO!$E$2:$E$321,0),MATCH($D13,PAGADO!$F$1:$Q$1,0)))</f>
        <v>0</v>
      </c>
      <c r="AH13" s="87">
        <f t="shared" ca="1" si="6"/>
        <v>0</v>
      </c>
      <c r="AI13" s="85">
        <f ca="1">INDIRECT("Condiciones!"&amp;ADDRESS(VLOOKUP(AI$2,Saltos,2,FALSE)+8*QUOTIENT((ROW()-3),13),MOD(ROW()-3,13)+COLUMN(Condiciones!$F$1)))</f>
        <v>0</v>
      </c>
      <c r="AJ13" s="87">
        <f t="shared" ca="1" si="19"/>
        <v>0</v>
      </c>
      <c r="AK13" s="87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0</v>
      </c>
      <c r="AL13" s="87">
        <f t="shared" ca="1" si="7"/>
        <v>0</v>
      </c>
      <c r="AM13" s="68"/>
      <c r="AN13" s="87">
        <f t="shared" ca="1" si="8"/>
        <v>0</v>
      </c>
      <c r="AO13" s="87">
        <f t="shared" si="9"/>
        <v>0</v>
      </c>
      <c r="AP13" s="87">
        <f t="shared" ca="1" si="10"/>
        <v>0</v>
      </c>
    </row>
    <row r="14" spans="2:42">
      <c r="B14" s="122"/>
      <c r="C14" s="82">
        <f>DATE($B$2,11,1)</f>
        <v>45962</v>
      </c>
      <c r="D14" s="83" t="str">
        <f t="shared" si="11"/>
        <v>202511</v>
      </c>
      <c r="E14" s="84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0</v>
      </c>
      <c r="F14" s="84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0</v>
      </c>
      <c r="G14" s="85">
        <f ca="1">INDIRECT("Condiciones!"&amp;ADDRESS(VLOOKUP(G$2,Saltos,2,FALSE)+8*QUOTIENT((ROW()-3),13),MOD(ROW()-3,13)+COLUMN(Condiciones!$F$1)))</f>
        <v>0</v>
      </c>
      <c r="H14" s="86">
        <f t="shared" ca="1" si="12"/>
        <v>0</v>
      </c>
      <c r="I14" s="87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87">
        <f t="shared" ca="1" si="0"/>
        <v>0</v>
      </c>
      <c r="K14" s="85">
        <f ca="1">INDIRECT("Condiciones!"&amp;ADDRESS(VLOOKUP(K$2,Saltos,2,FALSE)+8*QUOTIENT((ROW()-3),13),MOD(ROW()-3,13)+COLUMN(Condiciones!$F$1)))</f>
        <v>0</v>
      </c>
      <c r="L14" s="88">
        <f t="shared" ca="1" si="13"/>
        <v>0</v>
      </c>
      <c r="M14" s="87">
        <f>IF(ISERROR(INDEX(PAGADO!$F$2:$R$321,MATCH(CONCATENATE($B$4,"Logistica"),PAGADO!$E$2:$E$321,0),MATCH($D14,PAGADO!$F$1:$Q$1,0))),0,INDEX(PAGADO!$F$2:$R$321,MATCH(CONCATENATE($B$4,"Logistica"),PAGADO!$E$2:$E$321,0),MATCH($D14,PAGADO!$F$1:$Q$1,0)))</f>
        <v>0</v>
      </c>
      <c r="N14" s="87">
        <f t="shared" ca="1" si="1"/>
        <v>0</v>
      </c>
      <c r="O14" s="85">
        <f ca="1">INDIRECT("Condiciones!"&amp;ADDRESS(VLOOKUP(O$2,Saltos,2,FALSE)+8*QUOTIENT((ROW()-3),13),MOD(ROW()-3,13)+COLUMN(Condiciones!$F$1)))</f>
        <v>0</v>
      </c>
      <c r="P14" s="87">
        <f t="shared" ca="1" si="14"/>
        <v>0</v>
      </c>
      <c r="Q14" s="87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87">
        <f t="shared" ca="1" si="2"/>
        <v>0</v>
      </c>
      <c r="S14" s="85">
        <f ca="1">INDIRECT("Condiciones!"&amp;ADDRESS(VLOOKUP(S$2,Saltos,2,FALSE)+8*QUOTIENT((ROW()-3),13),MOD(ROW()-3,13)+COLUMN(Condiciones!$F$1)))</f>
        <v>0</v>
      </c>
      <c r="T14" s="87">
        <f t="shared" ca="1" si="15"/>
        <v>0</v>
      </c>
      <c r="U14" s="87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87">
        <f t="shared" ca="1" si="3"/>
        <v>0</v>
      </c>
      <c r="W14" s="85">
        <f ca="1">INDIRECT("Condiciones!"&amp;ADDRESS(VLOOKUP(W$2,Saltos,2,FALSE)+8*QUOTIENT((ROW()-3),13),MOD(ROW()-3,13)+COLUMN(Condiciones!$F$1)))</f>
        <v>0</v>
      </c>
      <c r="X14" s="87">
        <f t="shared" ca="1" si="16"/>
        <v>0</v>
      </c>
      <c r="Y14" s="87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87">
        <f t="shared" ca="1" si="4"/>
        <v>0</v>
      </c>
      <c r="AA14" s="85">
        <f ca="1">INDIRECT("Condiciones!"&amp;ADDRESS(VLOOKUP(AA$2,Saltos,2,FALSE)+8*QUOTIENT((ROW()-3),13),MOD(ROW()-3,13)+COLUMN(Condiciones!$F$1)))</f>
        <v>0</v>
      </c>
      <c r="AB14" s="87">
        <f t="shared" ca="1" si="17"/>
        <v>0</v>
      </c>
      <c r="AC14" s="87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87">
        <f t="shared" ca="1" si="5"/>
        <v>0</v>
      </c>
      <c r="AE14" s="85">
        <f ca="1">INDIRECT("Condiciones!"&amp;ADDRESS(VLOOKUP(AE$2,Saltos,2,FALSE)+8*QUOTIENT((ROW()-3),13),MOD(ROW()-3,13)+COLUMN(Condiciones!$F$1)))</f>
        <v>0</v>
      </c>
      <c r="AF14" s="87">
        <f t="shared" ca="1" si="18"/>
        <v>0</v>
      </c>
      <c r="AG14" s="87">
        <f>IF(ISERROR(INDEX(PAGADO!$F$2:$R$321,MATCH(CONCATENATE($B$4,"Otros"),PAGADO!$E$2:$E$321,0),MATCH($D14,PAGADO!$F$1:$Q$1,0))),0,INDEX(PAGADO!$F$2:$R$321,MATCH(CONCATENATE($B$4,"Otros"),PAGADO!$E$2:$E$321,0),MATCH($D14,PAGADO!$F$1:$Q$1,0)))</f>
        <v>0</v>
      </c>
      <c r="AH14" s="87">
        <f t="shared" ca="1" si="6"/>
        <v>0</v>
      </c>
      <c r="AI14" s="85">
        <f ca="1">INDIRECT("Condiciones!"&amp;ADDRESS(VLOOKUP(AI$2,Saltos,2,FALSE)+8*QUOTIENT((ROW()-3),13),MOD(ROW()-3,13)+COLUMN(Condiciones!$F$1)))</f>
        <v>0</v>
      </c>
      <c r="AJ14" s="87">
        <f t="shared" ca="1" si="19"/>
        <v>0</v>
      </c>
      <c r="AK14" s="87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87">
        <f t="shared" ca="1" si="7"/>
        <v>0</v>
      </c>
      <c r="AM14" s="68"/>
      <c r="AN14" s="87">
        <f t="shared" ca="1" si="8"/>
        <v>0</v>
      </c>
      <c r="AO14" s="87">
        <f t="shared" si="9"/>
        <v>0</v>
      </c>
      <c r="AP14" s="87">
        <f t="shared" ca="1" si="10"/>
        <v>0</v>
      </c>
    </row>
    <row r="15" spans="2:42">
      <c r="B15" s="123"/>
      <c r="C15" s="82">
        <f>DATE($B$2,12,1)</f>
        <v>45992</v>
      </c>
      <c r="D15" s="83" t="str">
        <f t="shared" si="11"/>
        <v>202512</v>
      </c>
      <c r="E15" s="84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2068371</v>
      </c>
      <c r="F15" s="84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0</v>
      </c>
      <c r="G15" s="85">
        <f ca="1">INDIRECT("Condiciones!"&amp;ADDRESS(VLOOKUP(G$2,Saltos,2,FALSE)+8*QUOTIENT((ROW()-3),13),MOD(ROW()-3,13)+COLUMN(Condiciones!$F$1)))</f>
        <v>0</v>
      </c>
      <c r="H15" s="86">
        <f t="shared" ca="1" si="12"/>
        <v>0</v>
      </c>
      <c r="I15" s="87">
        <f>IF(ISERROR(INDEX(PAGADO!$F$2:$R$321,MATCH(CONCATENATE($B$4,"Publicidad"),PAGADO!$E$2:$E$321,0),MATCH($D15,PAGADO!$F$1:$Q$1,0))),0,INDEX(PAGADO!$F$2:$R$321,MATCH(CONCATENATE($B$4,"Publicidad"),PAGADO!$E$2:$E$321,0),MATCH($D15,PAGADO!$F$1:$Q$1,0)))</f>
        <v>-392626</v>
      </c>
      <c r="J15" s="87">
        <f t="shared" ca="1" si="0"/>
        <v>-392626</v>
      </c>
      <c r="K15" s="85">
        <f ca="1">INDIRECT("Condiciones!"&amp;ADDRESS(VLOOKUP(K$2,Saltos,2,FALSE)+8*QUOTIENT((ROW()-3),13),MOD(ROW()-3,13)+COLUMN(Condiciones!$F$1)))</f>
        <v>0</v>
      </c>
      <c r="L15" s="88">
        <f t="shared" ca="1" si="13"/>
        <v>0</v>
      </c>
      <c r="M15" s="87">
        <f>IF(ISERROR(INDEX(PAGADO!$F$2:$R$321,MATCH(CONCATENATE($B$4,"Logistica"),PAGADO!$E$2:$E$321,0),MATCH($D15,PAGADO!$F$1:$Q$1,0))),0,INDEX(PAGADO!$F$2:$R$321,MATCH(CONCATENATE($B$4,"Logistica"),PAGADO!$E$2:$E$321,0),MATCH($D15,PAGADO!$F$1:$Q$1,0)))</f>
        <v>0</v>
      </c>
      <c r="N15" s="87">
        <f t="shared" ca="1" si="1"/>
        <v>0</v>
      </c>
      <c r="O15" s="85">
        <f ca="1">INDIRECT("Condiciones!"&amp;ADDRESS(VLOOKUP(O$2,Saltos,2,FALSE)+8*QUOTIENT((ROW()-3),13),MOD(ROW()-3,13)+COLUMN(Condiciones!$F$1)))</f>
        <v>0</v>
      </c>
      <c r="P15" s="87">
        <f t="shared" ca="1" si="14"/>
        <v>0</v>
      </c>
      <c r="Q15" s="87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87">
        <f t="shared" ca="1" si="2"/>
        <v>0</v>
      </c>
      <c r="S15" s="85">
        <f ca="1">INDIRECT("Condiciones!"&amp;ADDRESS(VLOOKUP(S$2,Saltos,2,FALSE)+8*QUOTIENT((ROW()-3),13),MOD(ROW()-3,13)+COLUMN(Condiciones!$F$1)))</f>
        <v>0</v>
      </c>
      <c r="T15" s="87">
        <f t="shared" ca="1" si="15"/>
        <v>0</v>
      </c>
      <c r="U15" s="87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87">
        <f t="shared" ca="1" si="3"/>
        <v>0</v>
      </c>
      <c r="W15" s="85">
        <f ca="1">INDIRECT("Condiciones!"&amp;ADDRESS(VLOOKUP(W$2,Saltos,2,FALSE)+8*QUOTIENT((ROW()-3),13),MOD(ROW()-3,13)+COLUMN(Condiciones!$F$1)))</f>
        <v>0</v>
      </c>
      <c r="X15" s="87">
        <f t="shared" ca="1" si="16"/>
        <v>0</v>
      </c>
      <c r="Y15" s="87">
        <f>IF(ISERROR(INDEX(PAGADO!$F$2:$R$321,MATCH(CONCATENATE($B$4,"Escala Fija"),PAGADO!$E$2:$E$321,0),MATCH($D15,PAGADO!$F$1:$Q$1,0))),0,INDEX(PAGADO!$F$2:$R$321,MATCH(CONCATENATE($B$4,"Escala Fija"),PAGADO!$E$2:$E$321,0),MATCH($D15,PAGADO!$F$1:$Q$1,0)))</f>
        <v>0</v>
      </c>
      <c r="Z15" s="87">
        <f t="shared" ca="1" si="4"/>
        <v>0</v>
      </c>
      <c r="AA15" s="85">
        <f ca="1">INDIRECT("Condiciones!"&amp;ADDRESS(VLOOKUP(AA$2,Saltos,2,FALSE)+8*QUOTIENT((ROW()-3),13),MOD(ROW()-3,13)+COLUMN(Condiciones!$F$1)))</f>
        <v>0</v>
      </c>
      <c r="AB15" s="87">
        <f t="shared" ca="1" si="17"/>
        <v>0</v>
      </c>
      <c r="AC15" s="87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87">
        <f t="shared" ca="1" si="5"/>
        <v>0</v>
      </c>
      <c r="AE15" s="85">
        <f ca="1">INDIRECT("Condiciones!"&amp;ADDRESS(VLOOKUP(AE$2,Saltos,2,FALSE)+8*QUOTIENT((ROW()-3),13),MOD(ROW()-3,13)+COLUMN(Condiciones!$F$1)))</f>
        <v>0</v>
      </c>
      <c r="AF15" s="87">
        <f t="shared" ca="1" si="18"/>
        <v>0</v>
      </c>
      <c r="AG15" s="87">
        <f>IF(ISERROR(INDEX(PAGADO!$F$2:$R$321,MATCH(CONCATENATE($B$4,"Otros"),PAGADO!$E$2:$E$321,0),MATCH($D15,PAGADO!$F$1:$Q$1,0))),0,INDEX(PAGADO!$F$2:$R$321,MATCH(CONCATENATE($B$4,"Otros"),PAGADO!$E$2:$E$321,0),MATCH($D15,PAGADO!$F$1:$Q$1,0)))</f>
        <v>0</v>
      </c>
      <c r="AH15" s="87">
        <f t="shared" ca="1" si="6"/>
        <v>0</v>
      </c>
      <c r="AI15" s="85">
        <f ca="1">INDIRECT("Condiciones!"&amp;ADDRESS(VLOOKUP(AI$2,Saltos,2,FALSE)+8*QUOTIENT((ROW()-3),13),MOD(ROW()-3,13)+COLUMN(Condiciones!$F$1)))</f>
        <v>0</v>
      </c>
      <c r="AJ15" s="87">
        <f t="shared" ca="1" si="19"/>
        <v>0</v>
      </c>
      <c r="AK15" s="87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87">
        <f t="shared" ca="1" si="7"/>
        <v>0</v>
      </c>
      <c r="AM15" s="68"/>
      <c r="AN15" s="87">
        <f t="shared" ca="1" si="8"/>
        <v>0</v>
      </c>
      <c r="AO15" s="87">
        <f t="shared" si="9"/>
        <v>-392626</v>
      </c>
      <c r="AP15" s="87">
        <f t="shared" ca="1" si="10"/>
        <v>-392626</v>
      </c>
    </row>
    <row r="16" spans="2:42">
      <c r="B16" s="89"/>
      <c r="C16" s="90"/>
      <c r="D16" s="91"/>
      <c r="E16" s="92">
        <f ca="1">SUM(E4:E15)</f>
        <v>9962010</v>
      </c>
      <c r="F16" s="92">
        <f ca="1">SUM(F4:F15)</f>
        <v>0</v>
      </c>
      <c r="G16" s="93"/>
      <c r="H16" s="94">
        <f ca="1">SUM(H4:H15)</f>
        <v>0</v>
      </c>
      <c r="I16" s="94">
        <f>SUM(I4:I15)</f>
        <v>-392626</v>
      </c>
      <c r="J16" s="95">
        <f ca="1">SUM(J4:J15)</f>
        <v>-392626</v>
      </c>
      <c r="K16" s="93"/>
      <c r="L16" s="95">
        <f ca="1">SUM(L4:L15)</f>
        <v>0</v>
      </c>
      <c r="M16" s="95">
        <f>SUM(M4:M15)</f>
        <v>0</v>
      </c>
      <c r="N16" s="95">
        <f ca="1">SUM(N4:N15)</f>
        <v>0</v>
      </c>
      <c r="O16" s="93"/>
      <c r="P16" s="95">
        <f ca="1">SUM(P4:P15)</f>
        <v>0</v>
      </c>
      <c r="Q16" s="96">
        <f>SUM(Q4:Q15)</f>
        <v>0</v>
      </c>
      <c r="R16" s="95">
        <f ca="1">SUM(R4:R15)</f>
        <v>0</v>
      </c>
      <c r="S16" s="93"/>
      <c r="T16" s="95">
        <f ca="1">SUM(T4:T15)</f>
        <v>0</v>
      </c>
      <c r="U16" s="95">
        <f>SUM(U4:U15)</f>
        <v>0</v>
      </c>
      <c r="V16" s="95">
        <f ca="1">SUM(V4:V15)</f>
        <v>0</v>
      </c>
      <c r="W16" s="93"/>
      <c r="X16" s="95">
        <f ca="1">SUM(X4:X15)</f>
        <v>0</v>
      </c>
      <c r="Y16" s="95">
        <f>SUM(Y4:Y15)</f>
        <v>0</v>
      </c>
      <c r="Z16" s="95">
        <f ca="1">SUM(Z4:Z15)</f>
        <v>0</v>
      </c>
      <c r="AA16" s="93"/>
      <c r="AB16" s="95">
        <f ca="1">SUM(AB4:AB15)</f>
        <v>0</v>
      </c>
      <c r="AC16" s="95">
        <f>SUM(AC4:AC15)</f>
        <v>0</v>
      </c>
      <c r="AD16" s="95">
        <f ca="1">SUM(AD4:AD15)</f>
        <v>0</v>
      </c>
      <c r="AE16" s="93"/>
      <c r="AF16" s="95">
        <f ca="1">SUM(AF4:AF15)</f>
        <v>0</v>
      </c>
      <c r="AG16" s="95">
        <f>SUM(AG4:AG15)</f>
        <v>0</v>
      </c>
      <c r="AH16" s="95">
        <f ca="1">SUM(AH4:AH15)</f>
        <v>0</v>
      </c>
      <c r="AI16" s="93"/>
      <c r="AJ16" s="95">
        <f ca="1">SUM(AJ4:AJ15)</f>
        <v>0</v>
      </c>
      <c r="AK16" s="95">
        <f>SUM(AK4:AK15)</f>
        <v>0</v>
      </c>
      <c r="AL16" s="95">
        <f ca="1">SUM(AL4:AL15)</f>
        <v>0</v>
      </c>
      <c r="AM16" s="68"/>
      <c r="AN16" s="95">
        <f ca="1">SUM(AN4:AN15)</f>
        <v>0</v>
      </c>
      <c r="AO16" s="95">
        <f>SUM(AO4:AO15)</f>
        <v>-392626</v>
      </c>
      <c r="AP16" s="95">
        <f ca="1">SUM(AP4:AP15)</f>
        <v>-392626</v>
      </c>
    </row>
    <row r="17" spans="2:42">
      <c r="B17" s="121" t="s">
        <v>757</v>
      </c>
      <c r="C17" s="82">
        <f>DATE($B$2,1,1)</f>
        <v>45658</v>
      </c>
      <c r="D17" s="83" t="str">
        <f>TEXT(C17,"YYYYMM")</f>
        <v>202501</v>
      </c>
      <c r="E17" s="84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0</v>
      </c>
      <c r="F17" s="84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0</v>
      </c>
      <c r="G17" s="85">
        <f ca="1">INDIRECT("Condiciones!"&amp;ADDRESS(VLOOKUP(G$2,Saltos,2,FALSE)+8*QUOTIENT((ROW()-3),13),MOD(ROW()-3,13)+COLUMN(Condiciones!$F$1)))</f>
        <v>0</v>
      </c>
      <c r="H17" s="86">
        <f ca="1">IF($E17="",0,G17*$E17)</f>
        <v>0</v>
      </c>
      <c r="I17" s="87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87">
        <f ca="1">H17+I17</f>
        <v>0</v>
      </c>
      <c r="K17" s="85">
        <f ca="1">INDIRECT("Condiciones!"&amp;ADDRESS(VLOOKUP(K$2,Saltos,2,FALSE)+8*QUOTIENT((ROW()-3),13),MOD(ROW()-3,13)+COLUMN(Condiciones!$F$1)))</f>
        <v>0</v>
      </c>
      <c r="L17" s="88">
        <f ca="1">IF($F17="",0,K17*$F17)</f>
        <v>0</v>
      </c>
      <c r="M17" s="87">
        <f>IF(ISERROR(INDEX(PAGADO!$F$2:$R$321,MATCH(CONCATENATE($B$17,"Logistica"),PAGADO!$E$2:$E$321,0),MATCH($D17,PAGADO!$F$1:$Q$1,0))),0,INDEX(PAGADO!$F$2:$R$321,MATCH(CONCATENATE($B$17,"Logistica"),PAGADO!$E$2:$E$321,0),MATCH($D17,PAGADO!$F$1:$Q$1,0)))</f>
        <v>0</v>
      </c>
      <c r="N17" s="87">
        <f ca="1">L17+M17</f>
        <v>0</v>
      </c>
      <c r="O17" s="85">
        <f ca="1">INDIRECT("Condiciones!"&amp;ADDRESS(VLOOKUP(O$2,Saltos,2,FALSE)+8*QUOTIENT((ROW()-3),13),MOD(ROW()-3,13)+COLUMN(Condiciones!$F$1)))</f>
        <v>0</v>
      </c>
      <c r="P17" s="87">
        <f ca="1">IF($E17="",0,O17*$E17)</f>
        <v>0</v>
      </c>
      <c r="Q17" s="88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87">
        <f ca="1">P17+Q17</f>
        <v>0</v>
      </c>
      <c r="S17" s="85">
        <f ca="1">INDIRECT("Condiciones!"&amp;ADDRESS(VLOOKUP(S$2,Saltos,2,FALSE)+8*QUOTIENT((ROW()-3),13),MOD(ROW()-3,13)+COLUMN(Condiciones!$F$1)))</f>
        <v>0</v>
      </c>
      <c r="T17" s="87">
        <f ca="1">IF($E17="",0,S17*$E17)</f>
        <v>0</v>
      </c>
      <c r="U17" s="87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87">
        <f ca="1">T17+U17</f>
        <v>0</v>
      </c>
      <c r="W17" s="85">
        <f ca="1">INDIRECT("Condiciones!"&amp;ADDRESS(VLOOKUP(W$2,Saltos,2,FALSE)+8*QUOTIENT((ROW()-3),13),MOD(ROW()-3,13)+COLUMN(Condiciones!$F$1)))</f>
        <v>0</v>
      </c>
      <c r="X17" s="87">
        <f ca="1">IF($E17="",0,W17*$E17)</f>
        <v>0</v>
      </c>
      <c r="Y17" s="87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0</v>
      </c>
      <c r="Z17" s="87">
        <f ca="1">X17+Y17</f>
        <v>0</v>
      </c>
      <c r="AA17" s="85">
        <f ca="1">INDIRECT("Condiciones!"&amp;ADDRESS(VLOOKUP(AA$2,Saltos,2,FALSE)+8*QUOTIENT((ROW()-3),13),MOD(ROW()-3,13)+COLUMN(Condiciones!$F$1)))</f>
        <v>0</v>
      </c>
      <c r="AB17" s="87">
        <f ca="1">IF($E17="",0,AA17*$E17)</f>
        <v>0</v>
      </c>
      <c r="AC17" s="87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87">
        <f ca="1">AB17+AC17</f>
        <v>0</v>
      </c>
      <c r="AE17" s="85">
        <f ca="1">INDIRECT("Condiciones!"&amp;ADDRESS(VLOOKUP(AE$2,Saltos,2,FALSE)+8*QUOTIENT((ROW()-3),13),MOD(ROW()-3,13)+COLUMN(Condiciones!$F$1)))</f>
        <v>0</v>
      </c>
      <c r="AF17" s="87">
        <f ca="1">IF($E17="",0,AE17*$E17)</f>
        <v>0</v>
      </c>
      <c r="AG17" s="87">
        <f>IF(ISERROR(INDEX(PAGADO!$F$2:$R$321,MATCH(CONCATENATE($B$17,"Otros"),PAGADO!$E$2:$E$321,0),MATCH($D17,PAGADO!$F$1:$Q$1,0))),0,INDEX(PAGADO!$F$2:$R$321,MATCH(CONCATENATE($B$17,"Otros"),PAGADO!$E$2:$E$321,0),MATCH($D17,PAGADO!$F$1:$Q$1,0)))</f>
        <v>0</v>
      </c>
      <c r="AH17" s="87">
        <f ca="1">AF17+AG17</f>
        <v>0</v>
      </c>
      <c r="AI17" s="85">
        <f ca="1">INDIRECT("Condiciones!"&amp;ADDRESS(VLOOKUP(AI$2,Saltos,2,FALSE)+8*QUOTIENT((ROW()-3),13),MOD(ROW()-3,13)+COLUMN(Condiciones!$F$1)))</f>
        <v>0</v>
      </c>
      <c r="AJ17" s="87">
        <f ca="1">IF($E17="",0,AI17*$E17)</f>
        <v>0</v>
      </c>
      <c r="AK17" s="87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87">
        <f ca="1">AJ17+AK17</f>
        <v>0</v>
      </c>
      <c r="AM17" s="68"/>
      <c r="AN17" s="87">
        <f t="shared" ref="AN17:AN28" ca="1" si="20">H17+L17+P17+T17+X17+AB17+AF17+AJ17</f>
        <v>0</v>
      </c>
      <c r="AO17" s="87">
        <f t="shared" ref="AO17:AO28" si="21">I17+M17+Q17+U17+Y17+AC17+AG17+AK17</f>
        <v>0</v>
      </c>
      <c r="AP17" s="87">
        <f t="shared" ref="AP17:AP28" ca="1" si="22">AN17+AO17</f>
        <v>0</v>
      </c>
    </row>
    <row r="18" spans="2:42">
      <c r="B18" s="122"/>
      <c r="C18" s="82">
        <f>DATE($B$2,2,1)</f>
        <v>45689</v>
      </c>
      <c r="D18" s="83" t="str">
        <f t="shared" ref="D18:D28" si="23">TEXT(C18,"YYYYMM")</f>
        <v>202502</v>
      </c>
      <c r="E18" s="84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0</v>
      </c>
      <c r="F18" s="84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0</v>
      </c>
      <c r="G18" s="85">
        <f ca="1">INDIRECT("Condiciones!"&amp;ADDRESS(VLOOKUP(G$2,Saltos,2,FALSE)+8*QUOTIENT((ROW()-3),13),MOD(ROW()-3,13)+COLUMN(Condiciones!$F$1)))</f>
        <v>0</v>
      </c>
      <c r="H18" s="86">
        <f t="shared" ref="H18:H28" ca="1" si="24">IF($E18="",0,G18*$E18)</f>
        <v>0</v>
      </c>
      <c r="I18" s="87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87">
        <f t="shared" ref="J18:J28" ca="1" si="25">H18+I18</f>
        <v>0</v>
      </c>
      <c r="K18" s="85">
        <f ca="1">INDIRECT("Condiciones!"&amp;ADDRESS(VLOOKUP(K$2,Saltos,2,FALSE)+8*QUOTIENT((ROW()-3),13),MOD(ROW()-3,13)+COLUMN(Condiciones!$F$1)))</f>
        <v>0</v>
      </c>
      <c r="L18" s="88">
        <f t="shared" ref="L18:L28" ca="1" si="26">IF($F18="",0,K18*$F18)</f>
        <v>0</v>
      </c>
      <c r="M18" s="87">
        <f>IF(ISERROR(INDEX(PAGADO!$F$2:$R$321,MATCH(CONCATENATE($B$17,"Logistica"),PAGADO!$E$2:$E$321,0),MATCH($D18,PAGADO!$F$1:$Q$1,0))),0,INDEX(PAGADO!$F$2:$R$321,MATCH(CONCATENATE($B$17,"Logistica"),PAGADO!$E$2:$E$321,0),MATCH($D18,PAGADO!$F$1:$Q$1,0)))</f>
        <v>0</v>
      </c>
      <c r="N18" s="87">
        <f t="shared" ref="N18:N28" ca="1" si="27">L18+M18</f>
        <v>0</v>
      </c>
      <c r="O18" s="85">
        <f ca="1">INDIRECT("Condiciones!"&amp;ADDRESS(VLOOKUP(O$2,Saltos,2,FALSE)+8*QUOTIENT((ROW()-3),13),MOD(ROW()-3,13)+COLUMN(Condiciones!$F$1)))</f>
        <v>0</v>
      </c>
      <c r="P18" s="87">
        <f t="shared" ref="P18:P28" ca="1" si="28">IF($E18="",0,O18*$E18)</f>
        <v>0</v>
      </c>
      <c r="Q18" s="88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87">
        <f t="shared" ref="R18:R28" ca="1" si="29">P18+Q18</f>
        <v>0</v>
      </c>
      <c r="S18" s="85">
        <f ca="1">INDIRECT("Condiciones!"&amp;ADDRESS(VLOOKUP(S$2,Saltos,2,FALSE)+8*QUOTIENT((ROW()-3),13),MOD(ROW()-3,13)+COLUMN(Condiciones!$F$1)))</f>
        <v>0</v>
      </c>
      <c r="T18" s="87">
        <f t="shared" ref="T18:T28" ca="1" si="30">IF($E18="",0,S18*$E18)</f>
        <v>0</v>
      </c>
      <c r="U18" s="87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87">
        <f t="shared" ref="V18:V28" ca="1" si="31">T18+U18</f>
        <v>0</v>
      </c>
      <c r="W18" s="85">
        <f ca="1">INDIRECT("Condiciones!"&amp;ADDRESS(VLOOKUP(W$2,Saltos,2,FALSE)+8*QUOTIENT((ROW()-3),13),MOD(ROW()-3,13)+COLUMN(Condiciones!$F$1)))</f>
        <v>0</v>
      </c>
      <c r="X18" s="87">
        <f t="shared" ref="X18:X28" ca="1" si="32">IF($E18="",0,W18*$E18)</f>
        <v>0</v>
      </c>
      <c r="Y18" s="87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0</v>
      </c>
      <c r="Z18" s="87">
        <f t="shared" ref="Z18:Z28" ca="1" si="33">X18+Y18</f>
        <v>0</v>
      </c>
      <c r="AA18" s="85">
        <f ca="1">INDIRECT("Condiciones!"&amp;ADDRESS(VLOOKUP(AA$2,Saltos,2,FALSE)+8*QUOTIENT((ROW()-3),13),MOD(ROW()-3,13)+COLUMN(Condiciones!$F$1)))</f>
        <v>0</v>
      </c>
      <c r="AB18" s="87">
        <f t="shared" ref="AB18:AB28" ca="1" si="34">IF($E18="",0,AA18*$E18)</f>
        <v>0</v>
      </c>
      <c r="AC18" s="87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87">
        <f t="shared" ref="AD18:AD28" ca="1" si="35">AB18+AC18</f>
        <v>0</v>
      </c>
      <c r="AE18" s="85">
        <f ca="1">INDIRECT("Condiciones!"&amp;ADDRESS(VLOOKUP(AE$2,Saltos,2,FALSE)+8*QUOTIENT((ROW()-3),13),MOD(ROW()-3,13)+COLUMN(Condiciones!$F$1)))</f>
        <v>0</v>
      </c>
      <c r="AF18" s="87">
        <f t="shared" ref="AF18:AF28" ca="1" si="36">IF($E18="",0,AE18*$E18)</f>
        <v>0</v>
      </c>
      <c r="AG18" s="87">
        <f>IF(ISERROR(INDEX(PAGADO!$F$2:$R$321,MATCH(CONCATENATE($B$17,"Otros"),PAGADO!$E$2:$E$321,0),MATCH($D18,PAGADO!$F$1:$Q$1,0))),0,INDEX(PAGADO!$F$2:$R$321,MATCH(CONCATENATE($B$17,"Otros"),PAGADO!$E$2:$E$321,0),MATCH($D18,PAGADO!$F$1:$Q$1,0)))</f>
        <v>0</v>
      </c>
      <c r="AH18" s="87">
        <f t="shared" ref="AH18:AH28" ca="1" si="37">AF18+AG18</f>
        <v>0</v>
      </c>
      <c r="AI18" s="85">
        <f ca="1">INDIRECT("Condiciones!"&amp;ADDRESS(VLOOKUP(AI$2,Saltos,2,FALSE)+8*QUOTIENT((ROW()-3),13),MOD(ROW()-3,13)+COLUMN(Condiciones!$F$1)))</f>
        <v>0</v>
      </c>
      <c r="AJ18" s="87">
        <f t="shared" ref="AJ18:AJ28" ca="1" si="38">IF($E18="",0,AI18*$E18)</f>
        <v>0</v>
      </c>
      <c r="AK18" s="87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0</v>
      </c>
      <c r="AL18" s="87">
        <f t="shared" ref="AL18:AL28" ca="1" si="39">AJ18+AK18</f>
        <v>0</v>
      </c>
      <c r="AM18" s="68"/>
      <c r="AN18" s="87">
        <f t="shared" ca="1" si="20"/>
        <v>0</v>
      </c>
      <c r="AO18" s="87">
        <f t="shared" si="21"/>
        <v>0</v>
      </c>
      <c r="AP18" s="87">
        <f t="shared" ca="1" si="22"/>
        <v>0</v>
      </c>
    </row>
    <row r="19" spans="2:42">
      <c r="B19" s="122"/>
      <c r="C19" s="82">
        <f>DATE($B$2,3,1)</f>
        <v>45717</v>
      </c>
      <c r="D19" s="83" t="str">
        <f t="shared" si="23"/>
        <v>202503</v>
      </c>
      <c r="E19" s="84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0</v>
      </c>
      <c r="F19" s="84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0</v>
      </c>
      <c r="G19" s="85">
        <f ca="1">INDIRECT("Condiciones!"&amp;ADDRESS(VLOOKUP(G$2,Saltos,2,FALSE)+8*QUOTIENT((ROW()-3),13),MOD(ROW()-3,13)+COLUMN(Condiciones!$F$1)))</f>
        <v>0</v>
      </c>
      <c r="H19" s="86">
        <f t="shared" ca="1" si="24"/>
        <v>0</v>
      </c>
      <c r="I19" s="87">
        <f>IF(ISERROR(INDEX(PAGADO!$F$2:$R$321,MATCH(CONCATENATE($B$17,"Publicidad"),PAGADO!$E$2:$E$321,0),MATCH($D19,PAGADO!$F$1:$Q$1,0))),0,INDEX(PAGADO!$F$2:$R$321,MATCH(CONCATENATE($B$17,"Publicidad"),PAGADO!$E$2:$E$321,0),MATCH($D19,PAGADO!$F$1:$Q$1,0)))</f>
        <v>0</v>
      </c>
      <c r="J19" s="87">
        <f t="shared" ca="1" si="25"/>
        <v>0</v>
      </c>
      <c r="K19" s="85">
        <f ca="1">INDIRECT("Condiciones!"&amp;ADDRESS(VLOOKUP(K$2,Saltos,2,FALSE)+8*QUOTIENT((ROW()-3),13),MOD(ROW()-3,13)+COLUMN(Condiciones!$F$1)))</f>
        <v>0</v>
      </c>
      <c r="L19" s="88">
        <f t="shared" ca="1" si="26"/>
        <v>0</v>
      </c>
      <c r="M19" s="87">
        <f>IF(ISERROR(INDEX(PAGADO!$F$2:$R$321,MATCH(CONCATENATE($B$17,"Logistica"),PAGADO!$E$2:$E$321,0),MATCH($D19,PAGADO!$F$1:$Q$1,0))),0,INDEX(PAGADO!$F$2:$R$321,MATCH(CONCATENATE($B$17,"Logistica"),PAGADO!$E$2:$E$321,0),MATCH($D19,PAGADO!$F$1:$Q$1,0)))</f>
        <v>0</v>
      </c>
      <c r="N19" s="87">
        <f t="shared" ca="1" si="27"/>
        <v>0</v>
      </c>
      <c r="O19" s="85">
        <f ca="1">INDIRECT("Condiciones!"&amp;ADDRESS(VLOOKUP(O$2,Saltos,2,FALSE)+8*QUOTIENT((ROW()-3),13),MOD(ROW()-3,13)+COLUMN(Condiciones!$F$1)))</f>
        <v>0</v>
      </c>
      <c r="P19" s="87">
        <f t="shared" ca="1" si="28"/>
        <v>0</v>
      </c>
      <c r="Q19" s="88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87">
        <f t="shared" ca="1" si="29"/>
        <v>0</v>
      </c>
      <c r="S19" s="85">
        <f ca="1">INDIRECT("Condiciones!"&amp;ADDRESS(VLOOKUP(S$2,Saltos,2,FALSE)+8*QUOTIENT((ROW()-3),13),MOD(ROW()-3,13)+COLUMN(Condiciones!$F$1)))</f>
        <v>0</v>
      </c>
      <c r="T19" s="87">
        <f t="shared" ca="1" si="30"/>
        <v>0</v>
      </c>
      <c r="U19" s="87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87">
        <f t="shared" ca="1" si="31"/>
        <v>0</v>
      </c>
      <c r="W19" s="85">
        <f ca="1">INDIRECT("Condiciones!"&amp;ADDRESS(VLOOKUP(W$2,Saltos,2,FALSE)+8*QUOTIENT((ROW()-3),13),MOD(ROW()-3,13)+COLUMN(Condiciones!$F$1)))</f>
        <v>0</v>
      </c>
      <c r="X19" s="87">
        <f t="shared" ca="1" si="32"/>
        <v>0</v>
      </c>
      <c r="Y19" s="87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0</v>
      </c>
      <c r="Z19" s="87">
        <f t="shared" ca="1" si="33"/>
        <v>0</v>
      </c>
      <c r="AA19" s="85">
        <f ca="1">INDIRECT("Condiciones!"&amp;ADDRESS(VLOOKUP(AA$2,Saltos,2,FALSE)+8*QUOTIENT((ROW()-3),13),MOD(ROW()-3,13)+COLUMN(Condiciones!$F$1)))</f>
        <v>0</v>
      </c>
      <c r="AB19" s="87">
        <f t="shared" ca="1" si="34"/>
        <v>0</v>
      </c>
      <c r="AC19" s="87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87">
        <f t="shared" ca="1" si="35"/>
        <v>0</v>
      </c>
      <c r="AE19" s="85">
        <f ca="1">INDIRECT("Condiciones!"&amp;ADDRESS(VLOOKUP(AE$2,Saltos,2,FALSE)+8*QUOTIENT((ROW()-3),13),MOD(ROW()-3,13)+COLUMN(Condiciones!$F$1)))</f>
        <v>0</v>
      </c>
      <c r="AF19" s="87">
        <f t="shared" ca="1" si="36"/>
        <v>0</v>
      </c>
      <c r="AG19" s="87">
        <f>IF(ISERROR(INDEX(PAGADO!$F$2:$R$321,MATCH(CONCATENATE($B$17,"Otros"),PAGADO!$E$2:$E$321,0),MATCH($D19,PAGADO!$F$1:$Q$1,0))),0,INDEX(PAGADO!$F$2:$R$321,MATCH(CONCATENATE($B$17,"Otros"),PAGADO!$E$2:$E$321,0),MATCH($D19,PAGADO!$F$1:$Q$1,0)))</f>
        <v>0</v>
      </c>
      <c r="AH19" s="87">
        <f t="shared" ca="1" si="37"/>
        <v>0</v>
      </c>
      <c r="AI19" s="85">
        <f ca="1">INDIRECT("Condiciones!"&amp;ADDRESS(VLOOKUP(AI$2,Saltos,2,FALSE)+8*QUOTIENT((ROW()-3),13),MOD(ROW()-3,13)+COLUMN(Condiciones!$F$1)))</f>
        <v>0</v>
      </c>
      <c r="AJ19" s="87">
        <f t="shared" ca="1" si="38"/>
        <v>0</v>
      </c>
      <c r="AK19" s="87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87">
        <f t="shared" ca="1" si="39"/>
        <v>0</v>
      </c>
      <c r="AM19" s="68"/>
      <c r="AN19" s="87">
        <f t="shared" ca="1" si="20"/>
        <v>0</v>
      </c>
      <c r="AO19" s="87">
        <f t="shared" si="21"/>
        <v>0</v>
      </c>
      <c r="AP19" s="87">
        <f t="shared" ca="1" si="22"/>
        <v>0</v>
      </c>
    </row>
    <row r="20" spans="2:42">
      <c r="B20" s="122"/>
      <c r="C20" s="82">
        <f>DATE($B$2,4,1)</f>
        <v>45748</v>
      </c>
      <c r="D20" s="83" t="str">
        <f t="shared" si="23"/>
        <v>202504</v>
      </c>
      <c r="E20" s="84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0</v>
      </c>
      <c r="F20" s="84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0</v>
      </c>
      <c r="G20" s="85">
        <f ca="1">INDIRECT("Condiciones!"&amp;ADDRESS(VLOOKUP(G$2,Saltos,2,FALSE)+8*QUOTIENT((ROW()-3),13),MOD(ROW()-3,13)+COLUMN(Condiciones!$F$1)))</f>
        <v>0</v>
      </c>
      <c r="H20" s="86">
        <f t="shared" ca="1" si="24"/>
        <v>0</v>
      </c>
      <c r="I20" s="87">
        <f>IF(ISERROR(INDEX(PAGADO!$F$2:$R$321,MATCH(CONCATENATE($B$17,"Publicidad"),PAGADO!$E$2:$E$321,0),MATCH($D20,PAGADO!$F$1:$Q$1,0))),0,INDEX(PAGADO!$F$2:$R$321,MATCH(CONCATENATE($B$17,"Publicidad"),PAGADO!$E$2:$E$321,0),MATCH($D20,PAGADO!$F$1:$Q$1,0)))</f>
        <v>0</v>
      </c>
      <c r="J20" s="87">
        <f t="shared" ca="1" si="25"/>
        <v>0</v>
      </c>
      <c r="K20" s="85">
        <f ca="1">INDIRECT("Condiciones!"&amp;ADDRESS(VLOOKUP(K$2,Saltos,2,FALSE)+8*QUOTIENT((ROW()-3),13),MOD(ROW()-3,13)+COLUMN(Condiciones!$F$1)))</f>
        <v>0</v>
      </c>
      <c r="L20" s="88">
        <f t="shared" ca="1" si="26"/>
        <v>0</v>
      </c>
      <c r="M20" s="87">
        <f>IF(ISERROR(INDEX(PAGADO!$F$2:$R$321,MATCH(CONCATENATE($B$17,"Logistica"),PAGADO!$E$2:$E$321,0),MATCH($D20,PAGADO!$F$1:$Q$1,0))),0,INDEX(PAGADO!$F$2:$R$321,MATCH(CONCATENATE($B$17,"Logistica"),PAGADO!$E$2:$E$321,0),MATCH($D20,PAGADO!$F$1:$Q$1,0)))</f>
        <v>0</v>
      </c>
      <c r="N20" s="87">
        <f t="shared" ca="1" si="27"/>
        <v>0</v>
      </c>
      <c r="O20" s="85">
        <f ca="1">INDIRECT("Condiciones!"&amp;ADDRESS(VLOOKUP(O$2,Saltos,2,FALSE)+8*QUOTIENT((ROW()-3),13),MOD(ROW()-3,13)+COLUMN(Condiciones!$F$1)))</f>
        <v>0</v>
      </c>
      <c r="P20" s="87">
        <f t="shared" ca="1" si="28"/>
        <v>0</v>
      </c>
      <c r="Q20" s="88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87">
        <f t="shared" ca="1" si="29"/>
        <v>0</v>
      </c>
      <c r="S20" s="85">
        <f ca="1">INDIRECT("Condiciones!"&amp;ADDRESS(VLOOKUP(S$2,Saltos,2,FALSE)+8*QUOTIENT((ROW()-3),13),MOD(ROW()-3,13)+COLUMN(Condiciones!$F$1)))</f>
        <v>0</v>
      </c>
      <c r="T20" s="87">
        <f t="shared" ca="1" si="30"/>
        <v>0</v>
      </c>
      <c r="U20" s="87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87">
        <f t="shared" ca="1" si="31"/>
        <v>0</v>
      </c>
      <c r="W20" s="85">
        <f ca="1">INDIRECT("Condiciones!"&amp;ADDRESS(VLOOKUP(W$2,Saltos,2,FALSE)+8*QUOTIENT((ROW()-3),13),MOD(ROW()-3,13)+COLUMN(Condiciones!$F$1)))</f>
        <v>0</v>
      </c>
      <c r="X20" s="87">
        <f t="shared" ca="1" si="32"/>
        <v>0</v>
      </c>
      <c r="Y20" s="87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0</v>
      </c>
      <c r="Z20" s="87">
        <f t="shared" ca="1" si="33"/>
        <v>0</v>
      </c>
      <c r="AA20" s="85">
        <f ca="1">INDIRECT("Condiciones!"&amp;ADDRESS(VLOOKUP(AA$2,Saltos,2,FALSE)+8*QUOTIENT((ROW()-3),13),MOD(ROW()-3,13)+COLUMN(Condiciones!$F$1)))</f>
        <v>0</v>
      </c>
      <c r="AB20" s="87">
        <f t="shared" ca="1" si="34"/>
        <v>0</v>
      </c>
      <c r="AC20" s="87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87">
        <f t="shared" ca="1" si="35"/>
        <v>0</v>
      </c>
      <c r="AE20" s="85">
        <f ca="1">INDIRECT("Condiciones!"&amp;ADDRESS(VLOOKUP(AE$2,Saltos,2,FALSE)+8*QUOTIENT((ROW()-3),13),MOD(ROW()-3,13)+COLUMN(Condiciones!$F$1)))</f>
        <v>0</v>
      </c>
      <c r="AF20" s="87">
        <f t="shared" ca="1" si="36"/>
        <v>0</v>
      </c>
      <c r="AG20" s="87">
        <f>IF(ISERROR(INDEX(PAGADO!$F$2:$R$321,MATCH(CONCATENATE($B$17,"Otros"),PAGADO!$E$2:$E$321,0),MATCH($D20,PAGADO!$F$1:$Q$1,0))),0,INDEX(PAGADO!$F$2:$R$321,MATCH(CONCATENATE($B$17,"Otros"),PAGADO!$E$2:$E$321,0),MATCH($D20,PAGADO!$F$1:$Q$1,0)))</f>
        <v>0</v>
      </c>
      <c r="AH20" s="87">
        <f t="shared" ca="1" si="37"/>
        <v>0</v>
      </c>
      <c r="AI20" s="85">
        <f ca="1">INDIRECT("Condiciones!"&amp;ADDRESS(VLOOKUP(AI$2,Saltos,2,FALSE)+8*QUOTIENT((ROW()-3),13),MOD(ROW()-3,13)+COLUMN(Condiciones!$F$1)))</f>
        <v>0</v>
      </c>
      <c r="AJ20" s="87">
        <f t="shared" ca="1" si="38"/>
        <v>0</v>
      </c>
      <c r="AK20" s="87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0</v>
      </c>
      <c r="AL20" s="87">
        <f t="shared" ca="1" si="39"/>
        <v>0</v>
      </c>
      <c r="AM20" s="68"/>
      <c r="AN20" s="87">
        <f t="shared" ca="1" si="20"/>
        <v>0</v>
      </c>
      <c r="AO20" s="87">
        <f t="shared" si="21"/>
        <v>0</v>
      </c>
      <c r="AP20" s="87">
        <f t="shared" ca="1" si="22"/>
        <v>0</v>
      </c>
    </row>
    <row r="21" spans="2:42">
      <c r="B21" s="122"/>
      <c r="C21" s="82">
        <f>DATE($B$2,6,)</f>
        <v>45808</v>
      </c>
      <c r="D21" s="83" t="str">
        <f t="shared" si="23"/>
        <v>202505</v>
      </c>
      <c r="E21" s="84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0</v>
      </c>
      <c r="F21" s="84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0</v>
      </c>
      <c r="G21" s="85">
        <f ca="1">INDIRECT("Condiciones!"&amp;ADDRESS(VLOOKUP(G$2,Saltos,2,FALSE)+8*QUOTIENT((ROW()-3),13),MOD(ROW()-3,13)+COLUMN(Condiciones!$F$1)))</f>
        <v>0</v>
      </c>
      <c r="H21" s="86">
        <f t="shared" ca="1" si="24"/>
        <v>0</v>
      </c>
      <c r="I21" s="87">
        <f>IF(ISERROR(INDEX(PAGADO!$F$2:$R$321,MATCH(CONCATENATE($B$17,"Publicidad"),PAGADO!$E$2:$E$321,0),MATCH($D21,PAGADO!$F$1:$Q$1,0))),0,INDEX(PAGADO!$F$2:$R$321,MATCH(CONCATENATE($B$17,"Publicidad"),PAGADO!$E$2:$E$321,0),MATCH($D21,PAGADO!$F$1:$Q$1,0)))</f>
        <v>0</v>
      </c>
      <c r="J21" s="87">
        <f t="shared" ca="1" si="25"/>
        <v>0</v>
      </c>
      <c r="K21" s="85">
        <f ca="1">INDIRECT("Condiciones!"&amp;ADDRESS(VLOOKUP(K$2,Saltos,2,FALSE)+8*QUOTIENT((ROW()-3),13),MOD(ROW()-3,13)+COLUMN(Condiciones!$F$1)))</f>
        <v>0</v>
      </c>
      <c r="L21" s="88">
        <f t="shared" ca="1" si="26"/>
        <v>0</v>
      </c>
      <c r="M21" s="87">
        <f>IF(ISERROR(INDEX(PAGADO!$F$2:$R$321,MATCH(CONCATENATE($B$17,"Logistica"),PAGADO!$E$2:$E$321,0),MATCH($D21,PAGADO!$F$1:$Q$1,0))),0,INDEX(PAGADO!$F$2:$R$321,MATCH(CONCATENATE($B$17,"Logistica"),PAGADO!$E$2:$E$321,0),MATCH($D21,PAGADO!$F$1:$Q$1,0)))</f>
        <v>0</v>
      </c>
      <c r="N21" s="87">
        <f t="shared" ca="1" si="27"/>
        <v>0</v>
      </c>
      <c r="O21" s="85">
        <f ca="1">INDIRECT("Condiciones!"&amp;ADDRESS(VLOOKUP(O$2,Saltos,2,FALSE)+8*QUOTIENT((ROW()-3),13),MOD(ROW()-3,13)+COLUMN(Condiciones!$F$1)))</f>
        <v>0</v>
      </c>
      <c r="P21" s="87">
        <f t="shared" ca="1" si="28"/>
        <v>0</v>
      </c>
      <c r="Q21" s="88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87">
        <f t="shared" ca="1" si="29"/>
        <v>0</v>
      </c>
      <c r="S21" s="85">
        <f ca="1">INDIRECT("Condiciones!"&amp;ADDRESS(VLOOKUP(S$2,Saltos,2,FALSE)+8*QUOTIENT((ROW()-3),13),MOD(ROW()-3,13)+COLUMN(Condiciones!$F$1)))</f>
        <v>0</v>
      </c>
      <c r="T21" s="87">
        <f t="shared" ca="1" si="30"/>
        <v>0</v>
      </c>
      <c r="U21" s="87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87">
        <f t="shared" ca="1" si="31"/>
        <v>0</v>
      </c>
      <c r="W21" s="85">
        <f ca="1">INDIRECT("Condiciones!"&amp;ADDRESS(VLOOKUP(W$2,Saltos,2,FALSE)+8*QUOTIENT((ROW()-3),13),MOD(ROW()-3,13)+COLUMN(Condiciones!$F$1)))</f>
        <v>0</v>
      </c>
      <c r="X21" s="87">
        <f t="shared" ca="1" si="32"/>
        <v>0</v>
      </c>
      <c r="Y21" s="87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0</v>
      </c>
      <c r="Z21" s="87">
        <f t="shared" ca="1" si="33"/>
        <v>0</v>
      </c>
      <c r="AA21" s="85">
        <f ca="1">INDIRECT("Condiciones!"&amp;ADDRESS(VLOOKUP(AA$2,Saltos,2,FALSE)+8*QUOTIENT((ROW()-3),13),MOD(ROW()-3,13)+COLUMN(Condiciones!$F$1)))</f>
        <v>0</v>
      </c>
      <c r="AB21" s="87">
        <f t="shared" ca="1" si="34"/>
        <v>0</v>
      </c>
      <c r="AC21" s="87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87">
        <f t="shared" ca="1" si="35"/>
        <v>0</v>
      </c>
      <c r="AE21" s="85">
        <f ca="1">INDIRECT("Condiciones!"&amp;ADDRESS(VLOOKUP(AE$2,Saltos,2,FALSE)+8*QUOTIENT((ROW()-3),13),MOD(ROW()-3,13)+COLUMN(Condiciones!$F$1)))</f>
        <v>0</v>
      </c>
      <c r="AF21" s="87">
        <f t="shared" ca="1" si="36"/>
        <v>0</v>
      </c>
      <c r="AG21" s="87">
        <f>IF(ISERROR(INDEX(PAGADO!$F$2:$R$321,MATCH(CONCATENATE($B$17,"Otros"),PAGADO!$E$2:$E$321,0),MATCH($D21,PAGADO!$F$1:$Q$1,0))),0,INDEX(PAGADO!$F$2:$R$321,MATCH(CONCATENATE($B$17,"Otros"),PAGADO!$E$2:$E$321,0),MATCH($D21,PAGADO!$F$1:$Q$1,0)))</f>
        <v>0</v>
      </c>
      <c r="AH21" s="87">
        <f t="shared" ca="1" si="37"/>
        <v>0</v>
      </c>
      <c r="AI21" s="85">
        <f ca="1">INDIRECT("Condiciones!"&amp;ADDRESS(VLOOKUP(AI$2,Saltos,2,FALSE)+8*QUOTIENT((ROW()-3),13),MOD(ROW()-3,13)+COLUMN(Condiciones!$F$1)))</f>
        <v>0</v>
      </c>
      <c r="AJ21" s="87">
        <f t="shared" ca="1" si="38"/>
        <v>0</v>
      </c>
      <c r="AK21" s="87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87">
        <f t="shared" ca="1" si="39"/>
        <v>0</v>
      </c>
      <c r="AM21" s="68"/>
      <c r="AN21" s="87">
        <f t="shared" ca="1" si="20"/>
        <v>0</v>
      </c>
      <c r="AO21" s="87">
        <f t="shared" si="21"/>
        <v>0</v>
      </c>
      <c r="AP21" s="87">
        <f t="shared" ca="1" si="22"/>
        <v>0</v>
      </c>
    </row>
    <row r="22" spans="2:42">
      <c r="B22" s="122"/>
      <c r="C22" s="82">
        <f>DATE($B$2,6,1)</f>
        <v>45809</v>
      </c>
      <c r="D22" s="83" t="str">
        <f t="shared" si="23"/>
        <v>202506</v>
      </c>
      <c r="E22" s="84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0</v>
      </c>
      <c r="F22" s="84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0</v>
      </c>
      <c r="G22" s="85">
        <f ca="1">INDIRECT("Condiciones!"&amp;ADDRESS(VLOOKUP(G$2,Saltos,2,FALSE)+8*QUOTIENT((ROW()-3),13),MOD(ROW()-3,13)+COLUMN(Condiciones!$F$1)))</f>
        <v>0</v>
      </c>
      <c r="H22" s="86">
        <f t="shared" ca="1" si="24"/>
        <v>0</v>
      </c>
      <c r="I22" s="87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87">
        <f t="shared" ca="1" si="25"/>
        <v>0</v>
      </c>
      <c r="K22" s="85">
        <f ca="1">INDIRECT("Condiciones!"&amp;ADDRESS(VLOOKUP(K$2,Saltos,2,FALSE)+8*QUOTIENT((ROW()-3),13),MOD(ROW()-3,13)+COLUMN(Condiciones!$F$1)))</f>
        <v>0</v>
      </c>
      <c r="L22" s="88">
        <f t="shared" ca="1" si="26"/>
        <v>0</v>
      </c>
      <c r="M22" s="87">
        <f>IF(ISERROR(INDEX(PAGADO!$F$2:$R$321,MATCH(CONCATENATE($B$17,"Logistica"),PAGADO!$E$2:$E$321,0),MATCH($D22,PAGADO!$F$1:$Q$1,0))),0,INDEX(PAGADO!$F$2:$R$321,MATCH(CONCATENATE($B$17,"Logistica"),PAGADO!$E$2:$E$321,0),MATCH($D22,PAGADO!$F$1:$Q$1,0)))</f>
        <v>0</v>
      </c>
      <c r="N22" s="87">
        <f t="shared" ca="1" si="27"/>
        <v>0</v>
      </c>
      <c r="O22" s="85">
        <f ca="1">INDIRECT("Condiciones!"&amp;ADDRESS(VLOOKUP(O$2,Saltos,2,FALSE)+8*QUOTIENT((ROW()-3),13),MOD(ROW()-3,13)+COLUMN(Condiciones!$F$1)))</f>
        <v>0</v>
      </c>
      <c r="P22" s="87">
        <f t="shared" ca="1" si="28"/>
        <v>0</v>
      </c>
      <c r="Q22" s="88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87">
        <f t="shared" ca="1" si="29"/>
        <v>0</v>
      </c>
      <c r="S22" s="85">
        <f ca="1">INDIRECT("Condiciones!"&amp;ADDRESS(VLOOKUP(S$2,Saltos,2,FALSE)+8*QUOTIENT((ROW()-3),13),MOD(ROW()-3,13)+COLUMN(Condiciones!$F$1)))</f>
        <v>0</v>
      </c>
      <c r="T22" s="87">
        <f t="shared" ca="1" si="30"/>
        <v>0</v>
      </c>
      <c r="U22" s="87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87">
        <f t="shared" ca="1" si="31"/>
        <v>0</v>
      </c>
      <c r="W22" s="85">
        <f ca="1">INDIRECT("Condiciones!"&amp;ADDRESS(VLOOKUP(W$2,Saltos,2,FALSE)+8*QUOTIENT((ROW()-3),13),MOD(ROW()-3,13)+COLUMN(Condiciones!$F$1)))</f>
        <v>0</v>
      </c>
      <c r="X22" s="87">
        <f t="shared" ca="1" si="32"/>
        <v>0</v>
      </c>
      <c r="Y22" s="87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0</v>
      </c>
      <c r="Z22" s="87">
        <f t="shared" ca="1" si="33"/>
        <v>0</v>
      </c>
      <c r="AA22" s="85">
        <f ca="1">INDIRECT("Condiciones!"&amp;ADDRESS(VLOOKUP(AA$2,Saltos,2,FALSE)+8*QUOTIENT((ROW()-3),13),MOD(ROW()-3,13)+COLUMN(Condiciones!$F$1)))</f>
        <v>0</v>
      </c>
      <c r="AB22" s="87">
        <f t="shared" ca="1" si="34"/>
        <v>0</v>
      </c>
      <c r="AC22" s="87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87">
        <f t="shared" ca="1" si="35"/>
        <v>0</v>
      </c>
      <c r="AE22" s="85">
        <f ca="1">INDIRECT("Condiciones!"&amp;ADDRESS(VLOOKUP(AE$2,Saltos,2,FALSE)+8*QUOTIENT((ROW()-3),13),MOD(ROW()-3,13)+COLUMN(Condiciones!$F$1)))</f>
        <v>0</v>
      </c>
      <c r="AF22" s="87">
        <f t="shared" ca="1" si="36"/>
        <v>0</v>
      </c>
      <c r="AG22" s="87">
        <f>IF(ISERROR(INDEX(PAGADO!$F$2:$R$321,MATCH(CONCATENATE($B$17,"Otros"),PAGADO!$E$2:$E$321,0),MATCH($D22,PAGADO!$F$1:$Q$1,0))),0,INDEX(PAGADO!$F$2:$R$321,MATCH(CONCATENATE($B$17,"Otros"),PAGADO!$E$2:$E$321,0),MATCH($D22,PAGADO!$F$1:$Q$1,0)))</f>
        <v>0</v>
      </c>
      <c r="AH22" s="87">
        <f t="shared" ca="1" si="37"/>
        <v>0</v>
      </c>
      <c r="AI22" s="85">
        <f ca="1">INDIRECT("Condiciones!"&amp;ADDRESS(VLOOKUP(AI$2,Saltos,2,FALSE)+8*QUOTIENT((ROW()-3),13),MOD(ROW()-3,13)+COLUMN(Condiciones!$F$1)))</f>
        <v>0</v>
      </c>
      <c r="AJ22" s="87">
        <f t="shared" ca="1" si="38"/>
        <v>0</v>
      </c>
      <c r="AK22" s="87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87">
        <f t="shared" ca="1" si="39"/>
        <v>0</v>
      </c>
      <c r="AM22" s="68"/>
      <c r="AN22" s="87">
        <f t="shared" ca="1" si="20"/>
        <v>0</v>
      </c>
      <c r="AO22" s="87">
        <f t="shared" si="21"/>
        <v>0</v>
      </c>
      <c r="AP22" s="87">
        <f t="shared" ca="1" si="22"/>
        <v>0</v>
      </c>
    </row>
    <row r="23" spans="2:42">
      <c r="B23" s="122"/>
      <c r="C23" s="82">
        <f>DATE($B$2,7,1)</f>
        <v>45839</v>
      </c>
      <c r="D23" s="83" t="str">
        <f t="shared" si="23"/>
        <v>202507</v>
      </c>
      <c r="E23" s="84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0</v>
      </c>
      <c r="F23" s="84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0</v>
      </c>
      <c r="G23" s="85">
        <f ca="1">INDIRECT("Condiciones!"&amp;ADDRESS(VLOOKUP(G$2,Saltos,2,FALSE)+8*QUOTIENT((ROW()-3),13),MOD(ROW()-3,13)+COLUMN(Condiciones!$F$1)))</f>
        <v>0</v>
      </c>
      <c r="H23" s="86">
        <f t="shared" ca="1" si="24"/>
        <v>0</v>
      </c>
      <c r="I23" s="87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87">
        <f t="shared" ca="1" si="25"/>
        <v>0</v>
      </c>
      <c r="K23" s="85">
        <f ca="1">INDIRECT("Condiciones!"&amp;ADDRESS(VLOOKUP(K$2,Saltos,2,FALSE)+8*QUOTIENT((ROW()-3),13),MOD(ROW()-3,13)+COLUMN(Condiciones!$F$1)))</f>
        <v>0</v>
      </c>
      <c r="L23" s="88">
        <f t="shared" ca="1" si="26"/>
        <v>0</v>
      </c>
      <c r="M23" s="87">
        <f>IF(ISERROR(INDEX(PAGADO!$F$2:$R$321,MATCH(CONCATENATE($B$17,"Logistica"),PAGADO!$E$2:$E$321,0),MATCH($D23,PAGADO!$F$1:$Q$1,0))),0,INDEX(PAGADO!$F$2:$R$321,MATCH(CONCATENATE($B$17,"Logistica"),PAGADO!$E$2:$E$321,0),MATCH($D23,PAGADO!$F$1:$Q$1,0)))</f>
        <v>0</v>
      </c>
      <c r="N23" s="87">
        <f t="shared" ca="1" si="27"/>
        <v>0</v>
      </c>
      <c r="O23" s="85">
        <f ca="1">INDIRECT("Condiciones!"&amp;ADDRESS(VLOOKUP(O$2,Saltos,2,FALSE)+8*QUOTIENT((ROW()-3),13),MOD(ROW()-3,13)+COLUMN(Condiciones!$F$1)))</f>
        <v>0</v>
      </c>
      <c r="P23" s="87">
        <f t="shared" ca="1" si="28"/>
        <v>0</v>
      </c>
      <c r="Q23" s="88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87">
        <f t="shared" ca="1" si="29"/>
        <v>0</v>
      </c>
      <c r="S23" s="85">
        <f ca="1">INDIRECT("Condiciones!"&amp;ADDRESS(VLOOKUP(S$2,Saltos,2,FALSE)+8*QUOTIENT((ROW()-3),13),MOD(ROW()-3,13)+COLUMN(Condiciones!$F$1)))</f>
        <v>0</v>
      </c>
      <c r="T23" s="87">
        <f t="shared" ca="1" si="30"/>
        <v>0</v>
      </c>
      <c r="U23" s="87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87">
        <f t="shared" ca="1" si="31"/>
        <v>0</v>
      </c>
      <c r="W23" s="85">
        <f ca="1">INDIRECT("Condiciones!"&amp;ADDRESS(VLOOKUP(W$2,Saltos,2,FALSE)+8*QUOTIENT((ROW()-3),13),MOD(ROW()-3,13)+COLUMN(Condiciones!$F$1)))</f>
        <v>0</v>
      </c>
      <c r="X23" s="87">
        <f t="shared" ca="1" si="32"/>
        <v>0</v>
      </c>
      <c r="Y23" s="87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0</v>
      </c>
      <c r="Z23" s="87">
        <f t="shared" ca="1" si="33"/>
        <v>0</v>
      </c>
      <c r="AA23" s="85">
        <f ca="1">INDIRECT("Condiciones!"&amp;ADDRESS(VLOOKUP(AA$2,Saltos,2,FALSE)+8*QUOTIENT((ROW()-3),13),MOD(ROW()-3,13)+COLUMN(Condiciones!$F$1)))</f>
        <v>0</v>
      </c>
      <c r="AB23" s="87">
        <f t="shared" ca="1" si="34"/>
        <v>0</v>
      </c>
      <c r="AC23" s="87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87">
        <f t="shared" ca="1" si="35"/>
        <v>0</v>
      </c>
      <c r="AE23" s="85">
        <f ca="1">INDIRECT("Condiciones!"&amp;ADDRESS(VLOOKUP(AE$2,Saltos,2,FALSE)+8*QUOTIENT((ROW()-3),13),MOD(ROW()-3,13)+COLUMN(Condiciones!$F$1)))</f>
        <v>0</v>
      </c>
      <c r="AF23" s="87">
        <f t="shared" ca="1" si="36"/>
        <v>0</v>
      </c>
      <c r="AG23" s="87">
        <f>IF(ISERROR(INDEX(PAGADO!$F$2:$R$321,MATCH(CONCATENATE($B$17,"Otros"),PAGADO!$E$2:$E$321,0),MATCH($D23,PAGADO!$F$1:$Q$1,0))),0,INDEX(PAGADO!$F$2:$R$321,MATCH(CONCATENATE($B$17,"Otros"),PAGADO!$E$2:$E$321,0),MATCH($D23,PAGADO!$F$1:$Q$1,0)))</f>
        <v>0</v>
      </c>
      <c r="AH23" s="87">
        <f t="shared" ca="1" si="37"/>
        <v>0</v>
      </c>
      <c r="AI23" s="85">
        <f ca="1">INDIRECT("Condiciones!"&amp;ADDRESS(VLOOKUP(AI$2,Saltos,2,FALSE)+8*QUOTIENT((ROW()-3),13),MOD(ROW()-3,13)+COLUMN(Condiciones!$F$1)))</f>
        <v>0</v>
      </c>
      <c r="AJ23" s="87">
        <f t="shared" ca="1" si="38"/>
        <v>0</v>
      </c>
      <c r="AK23" s="87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87">
        <f t="shared" ca="1" si="39"/>
        <v>0</v>
      </c>
      <c r="AM23" s="68"/>
      <c r="AN23" s="87">
        <f t="shared" ca="1" si="20"/>
        <v>0</v>
      </c>
      <c r="AO23" s="87">
        <f t="shared" si="21"/>
        <v>0</v>
      </c>
      <c r="AP23" s="87">
        <f t="shared" ca="1" si="22"/>
        <v>0</v>
      </c>
    </row>
    <row r="24" spans="2:42">
      <c r="B24" s="122"/>
      <c r="C24" s="82">
        <f>DATE($B$2,8,1)</f>
        <v>45870</v>
      </c>
      <c r="D24" s="83" t="str">
        <f t="shared" si="23"/>
        <v>202508</v>
      </c>
      <c r="E24" s="84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0</v>
      </c>
      <c r="F24" s="84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0</v>
      </c>
      <c r="G24" s="85">
        <f ca="1">INDIRECT("Condiciones!"&amp;ADDRESS(VLOOKUP(G$2,Saltos,2,FALSE)+8*QUOTIENT((ROW()-3),13),MOD(ROW()-3,13)+COLUMN(Condiciones!$F$1)))</f>
        <v>0</v>
      </c>
      <c r="H24" s="86">
        <f t="shared" ca="1" si="24"/>
        <v>0</v>
      </c>
      <c r="I24" s="87">
        <f>IF(ISERROR(INDEX(PAGADO!$F$2:$R$321,MATCH(CONCATENATE($B$17,"Publicidad"),PAGADO!$E$2:$E$321,0),MATCH($D24,PAGADO!$F$1:$Q$1,0))),0,INDEX(PAGADO!$F$2:$R$321,MATCH(CONCATENATE($B$17,"Publicidad"),PAGADO!$E$2:$E$321,0),MATCH($D24,PAGADO!$F$1:$Q$1,0)))</f>
        <v>0</v>
      </c>
      <c r="J24" s="87">
        <f t="shared" ca="1" si="25"/>
        <v>0</v>
      </c>
      <c r="K24" s="85">
        <f ca="1">INDIRECT("Condiciones!"&amp;ADDRESS(VLOOKUP(K$2,Saltos,2,FALSE)+8*QUOTIENT((ROW()-3),13),MOD(ROW()-3,13)+COLUMN(Condiciones!$F$1)))</f>
        <v>0</v>
      </c>
      <c r="L24" s="88">
        <f t="shared" ca="1" si="26"/>
        <v>0</v>
      </c>
      <c r="M24" s="87">
        <f>IF(ISERROR(INDEX(PAGADO!$F$2:$R$321,MATCH(CONCATENATE($B$17,"Logistica"),PAGADO!$E$2:$E$321,0),MATCH($D24,PAGADO!$F$1:$Q$1,0))),0,INDEX(PAGADO!$F$2:$R$321,MATCH(CONCATENATE($B$17,"Logistica"),PAGADO!$E$2:$E$321,0),MATCH($D24,PAGADO!$F$1:$Q$1,0)))</f>
        <v>0</v>
      </c>
      <c r="N24" s="87">
        <f t="shared" ca="1" si="27"/>
        <v>0</v>
      </c>
      <c r="O24" s="85">
        <f ca="1">INDIRECT("Condiciones!"&amp;ADDRESS(VLOOKUP(O$2,Saltos,2,FALSE)+8*QUOTIENT((ROW()-3),13),MOD(ROW()-3,13)+COLUMN(Condiciones!$F$1)))</f>
        <v>0</v>
      </c>
      <c r="P24" s="87">
        <f t="shared" ca="1" si="28"/>
        <v>0</v>
      </c>
      <c r="Q24" s="88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87">
        <f t="shared" ca="1" si="29"/>
        <v>0</v>
      </c>
      <c r="S24" s="85">
        <f ca="1">INDIRECT("Condiciones!"&amp;ADDRESS(VLOOKUP(S$2,Saltos,2,FALSE)+8*QUOTIENT((ROW()-3),13),MOD(ROW()-3,13)+COLUMN(Condiciones!$F$1)))</f>
        <v>0</v>
      </c>
      <c r="T24" s="87">
        <f t="shared" ca="1" si="30"/>
        <v>0</v>
      </c>
      <c r="U24" s="87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87">
        <f t="shared" ca="1" si="31"/>
        <v>0</v>
      </c>
      <c r="W24" s="85">
        <f ca="1">INDIRECT("Condiciones!"&amp;ADDRESS(VLOOKUP(W$2,Saltos,2,FALSE)+8*QUOTIENT((ROW()-3),13),MOD(ROW()-3,13)+COLUMN(Condiciones!$F$1)))</f>
        <v>0</v>
      </c>
      <c r="X24" s="87">
        <f t="shared" ca="1" si="32"/>
        <v>0</v>
      </c>
      <c r="Y24" s="87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0</v>
      </c>
      <c r="Z24" s="87">
        <f t="shared" ca="1" si="33"/>
        <v>0</v>
      </c>
      <c r="AA24" s="85">
        <f ca="1">INDIRECT("Condiciones!"&amp;ADDRESS(VLOOKUP(AA$2,Saltos,2,FALSE)+8*QUOTIENT((ROW()-3),13),MOD(ROW()-3,13)+COLUMN(Condiciones!$F$1)))</f>
        <v>0</v>
      </c>
      <c r="AB24" s="87">
        <f t="shared" ca="1" si="34"/>
        <v>0</v>
      </c>
      <c r="AC24" s="87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87">
        <f t="shared" ca="1" si="35"/>
        <v>0</v>
      </c>
      <c r="AE24" s="85">
        <f ca="1">INDIRECT("Condiciones!"&amp;ADDRESS(VLOOKUP(AE$2,Saltos,2,FALSE)+8*QUOTIENT((ROW()-3),13),MOD(ROW()-3,13)+COLUMN(Condiciones!$F$1)))</f>
        <v>0</v>
      </c>
      <c r="AF24" s="87">
        <f t="shared" ca="1" si="36"/>
        <v>0</v>
      </c>
      <c r="AG24" s="87">
        <f>IF(ISERROR(INDEX(PAGADO!$F$2:$R$321,MATCH(CONCATENATE($B$17,"Otros"),PAGADO!$E$2:$E$321,0),MATCH($D24,PAGADO!$F$1:$Q$1,0))),0,INDEX(PAGADO!$F$2:$R$321,MATCH(CONCATENATE($B$17,"Otros"),PAGADO!$E$2:$E$321,0),MATCH($D24,PAGADO!$F$1:$Q$1,0)))</f>
        <v>0</v>
      </c>
      <c r="AH24" s="87">
        <f t="shared" ca="1" si="37"/>
        <v>0</v>
      </c>
      <c r="AI24" s="85">
        <f ca="1">INDIRECT("Condiciones!"&amp;ADDRESS(VLOOKUP(AI$2,Saltos,2,FALSE)+8*QUOTIENT((ROW()-3),13),MOD(ROW()-3,13)+COLUMN(Condiciones!$F$1)))</f>
        <v>0</v>
      </c>
      <c r="AJ24" s="87">
        <f t="shared" ca="1" si="38"/>
        <v>0</v>
      </c>
      <c r="AK24" s="87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87">
        <f t="shared" ca="1" si="39"/>
        <v>0</v>
      </c>
      <c r="AM24" s="68"/>
      <c r="AN24" s="87">
        <f t="shared" ca="1" si="20"/>
        <v>0</v>
      </c>
      <c r="AO24" s="87">
        <f t="shared" si="21"/>
        <v>0</v>
      </c>
      <c r="AP24" s="87">
        <f t="shared" ca="1" si="22"/>
        <v>0</v>
      </c>
    </row>
    <row r="25" spans="2:42">
      <c r="B25" s="122"/>
      <c r="C25" s="82">
        <f>DATE($B$2,9,1)</f>
        <v>45901</v>
      </c>
      <c r="D25" s="83" t="str">
        <f t="shared" si="23"/>
        <v>202509</v>
      </c>
      <c r="E25" s="84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0</v>
      </c>
      <c r="F25" s="84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0</v>
      </c>
      <c r="G25" s="85">
        <f ca="1">INDIRECT("Condiciones!"&amp;ADDRESS(VLOOKUP(G$2,Saltos,2,FALSE)+8*QUOTIENT((ROW()-3),13),MOD(ROW()-3,13)+COLUMN(Condiciones!$F$1)))</f>
        <v>0</v>
      </c>
      <c r="H25" s="86">
        <f t="shared" ca="1" si="24"/>
        <v>0</v>
      </c>
      <c r="I25" s="87">
        <f>IF(ISERROR(INDEX(PAGADO!$F$2:$R$321,MATCH(CONCATENATE($B$17,"Publicidad"),PAGADO!$E$2:$E$321,0),MATCH($D25,PAGADO!$F$1:$Q$1,0))),0,INDEX(PAGADO!$F$2:$R$321,MATCH(CONCATENATE($B$17,"Publicidad"),PAGADO!$E$2:$E$321,0),MATCH($D25,PAGADO!$F$1:$Q$1,0)))</f>
        <v>-4</v>
      </c>
      <c r="J25" s="87">
        <f t="shared" ca="1" si="25"/>
        <v>-4</v>
      </c>
      <c r="K25" s="85">
        <f ca="1">INDIRECT("Condiciones!"&amp;ADDRESS(VLOOKUP(K$2,Saltos,2,FALSE)+8*QUOTIENT((ROW()-3),13),MOD(ROW()-3,13)+COLUMN(Condiciones!$F$1)))</f>
        <v>0</v>
      </c>
      <c r="L25" s="88">
        <f t="shared" ca="1" si="26"/>
        <v>0</v>
      </c>
      <c r="M25" s="87">
        <f>IF(ISERROR(INDEX(PAGADO!$F$2:$R$321,MATCH(CONCATENATE($B$17,"Logistica"),PAGADO!$E$2:$E$321,0),MATCH($D25,PAGADO!$F$1:$Q$1,0))),0,INDEX(PAGADO!$F$2:$R$321,MATCH(CONCATENATE($B$17,"Logistica"),PAGADO!$E$2:$E$321,0),MATCH($D25,PAGADO!$F$1:$Q$1,0)))</f>
        <v>0</v>
      </c>
      <c r="N25" s="87">
        <f t="shared" ca="1" si="27"/>
        <v>0</v>
      </c>
      <c r="O25" s="85">
        <f ca="1">INDIRECT("Condiciones!"&amp;ADDRESS(VLOOKUP(O$2,Saltos,2,FALSE)+8*QUOTIENT((ROW()-3),13),MOD(ROW()-3,13)+COLUMN(Condiciones!$F$1)))</f>
        <v>0</v>
      </c>
      <c r="P25" s="87">
        <f t="shared" ca="1" si="28"/>
        <v>0</v>
      </c>
      <c r="Q25" s="88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87">
        <f t="shared" ca="1" si="29"/>
        <v>0</v>
      </c>
      <c r="S25" s="85">
        <f ca="1">INDIRECT("Condiciones!"&amp;ADDRESS(VLOOKUP(S$2,Saltos,2,FALSE)+8*QUOTIENT((ROW()-3),13),MOD(ROW()-3,13)+COLUMN(Condiciones!$F$1)))</f>
        <v>0</v>
      </c>
      <c r="T25" s="87">
        <f t="shared" ca="1" si="30"/>
        <v>0</v>
      </c>
      <c r="U25" s="87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87">
        <f t="shared" ca="1" si="31"/>
        <v>0</v>
      </c>
      <c r="W25" s="85">
        <f ca="1">INDIRECT("Condiciones!"&amp;ADDRESS(VLOOKUP(W$2,Saltos,2,FALSE)+8*QUOTIENT((ROW()-3),13),MOD(ROW()-3,13)+COLUMN(Condiciones!$F$1)))</f>
        <v>0</v>
      </c>
      <c r="X25" s="87">
        <f t="shared" ca="1" si="32"/>
        <v>0</v>
      </c>
      <c r="Y25" s="87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87">
        <f t="shared" ca="1" si="33"/>
        <v>0</v>
      </c>
      <c r="AA25" s="85">
        <f ca="1">INDIRECT("Condiciones!"&amp;ADDRESS(VLOOKUP(AA$2,Saltos,2,FALSE)+8*QUOTIENT((ROW()-3),13),MOD(ROW()-3,13)+COLUMN(Condiciones!$F$1)))</f>
        <v>0</v>
      </c>
      <c r="AB25" s="87">
        <f t="shared" ca="1" si="34"/>
        <v>0</v>
      </c>
      <c r="AC25" s="87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87">
        <f t="shared" ca="1" si="35"/>
        <v>0</v>
      </c>
      <c r="AE25" s="85">
        <f ca="1">INDIRECT("Condiciones!"&amp;ADDRESS(VLOOKUP(AE$2,Saltos,2,FALSE)+8*QUOTIENT((ROW()-3),13),MOD(ROW()-3,13)+COLUMN(Condiciones!$F$1)))</f>
        <v>0</v>
      </c>
      <c r="AF25" s="87">
        <f t="shared" ca="1" si="36"/>
        <v>0</v>
      </c>
      <c r="AG25" s="87">
        <f>IF(ISERROR(INDEX(PAGADO!$F$2:$R$321,MATCH(CONCATENATE($B$17,"Otros"),PAGADO!$E$2:$E$321,0),MATCH($D25,PAGADO!$F$1:$Q$1,0))),0,INDEX(PAGADO!$F$2:$R$321,MATCH(CONCATENATE($B$17,"Otros"),PAGADO!$E$2:$E$321,0),MATCH($D25,PAGADO!$F$1:$Q$1,0)))</f>
        <v>0</v>
      </c>
      <c r="AH25" s="87">
        <f t="shared" ca="1" si="37"/>
        <v>0</v>
      </c>
      <c r="AI25" s="85">
        <f ca="1">INDIRECT("Condiciones!"&amp;ADDRESS(VLOOKUP(AI$2,Saltos,2,FALSE)+8*QUOTIENT((ROW()-3),13),MOD(ROW()-3,13)+COLUMN(Condiciones!$F$1)))</f>
        <v>0</v>
      </c>
      <c r="AJ25" s="87">
        <f t="shared" ca="1" si="38"/>
        <v>0</v>
      </c>
      <c r="AK25" s="87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87">
        <f t="shared" ca="1" si="39"/>
        <v>0</v>
      </c>
      <c r="AM25" s="68"/>
      <c r="AN25" s="87">
        <f t="shared" ca="1" si="20"/>
        <v>0</v>
      </c>
      <c r="AO25" s="87">
        <f t="shared" si="21"/>
        <v>-4</v>
      </c>
      <c r="AP25" s="87">
        <f t="shared" ca="1" si="22"/>
        <v>-4</v>
      </c>
    </row>
    <row r="26" spans="2:42">
      <c r="B26" s="122"/>
      <c r="C26" s="82">
        <f>DATE($B$2,10,1)</f>
        <v>45931</v>
      </c>
      <c r="D26" s="83" t="str">
        <f t="shared" si="23"/>
        <v>202510</v>
      </c>
      <c r="E26" s="84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0</v>
      </c>
      <c r="F26" s="84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0</v>
      </c>
      <c r="G26" s="85">
        <f ca="1">INDIRECT("Condiciones!"&amp;ADDRESS(VLOOKUP(G$2,Saltos,2,FALSE)+8*QUOTIENT((ROW()-3),13),MOD(ROW()-3,13)+COLUMN(Condiciones!$F$1)))</f>
        <v>0</v>
      </c>
      <c r="H26" s="86">
        <f t="shared" ca="1" si="24"/>
        <v>0</v>
      </c>
      <c r="I26" s="87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87">
        <f t="shared" ca="1" si="25"/>
        <v>0</v>
      </c>
      <c r="K26" s="85">
        <f ca="1">INDIRECT("Condiciones!"&amp;ADDRESS(VLOOKUP(K$2,Saltos,2,FALSE)+8*QUOTIENT((ROW()-3),13),MOD(ROW()-3,13)+COLUMN(Condiciones!$F$1)))</f>
        <v>0</v>
      </c>
      <c r="L26" s="88">
        <f t="shared" ca="1" si="26"/>
        <v>0</v>
      </c>
      <c r="M26" s="87">
        <f>IF(ISERROR(INDEX(PAGADO!$F$2:$R$321,MATCH(CONCATENATE($B$17,"Logistica"),PAGADO!$E$2:$E$321,0),MATCH($D26,PAGADO!$F$1:$Q$1,0))),0,INDEX(PAGADO!$F$2:$R$321,MATCH(CONCATENATE($B$17,"Logistica"),PAGADO!$E$2:$E$321,0),MATCH($D26,PAGADO!$F$1:$Q$1,0)))</f>
        <v>0</v>
      </c>
      <c r="N26" s="87">
        <f t="shared" ca="1" si="27"/>
        <v>0</v>
      </c>
      <c r="O26" s="85">
        <f ca="1">INDIRECT("Condiciones!"&amp;ADDRESS(VLOOKUP(O$2,Saltos,2,FALSE)+8*QUOTIENT((ROW()-3),13),MOD(ROW()-3,13)+COLUMN(Condiciones!$F$1)))</f>
        <v>0</v>
      </c>
      <c r="P26" s="87">
        <f t="shared" ca="1" si="28"/>
        <v>0</v>
      </c>
      <c r="Q26" s="88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87">
        <f t="shared" ca="1" si="29"/>
        <v>0</v>
      </c>
      <c r="S26" s="85">
        <f ca="1">INDIRECT("Condiciones!"&amp;ADDRESS(VLOOKUP(S$2,Saltos,2,FALSE)+8*QUOTIENT((ROW()-3),13),MOD(ROW()-3,13)+COLUMN(Condiciones!$F$1)))</f>
        <v>0</v>
      </c>
      <c r="T26" s="87">
        <f t="shared" ca="1" si="30"/>
        <v>0</v>
      </c>
      <c r="U26" s="87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87">
        <f t="shared" ca="1" si="31"/>
        <v>0</v>
      </c>
      <c r="W26" s="85">
        <f ca="1">INDIRECT("Condiciones!"&amp;ADDRESS(VLOOKUP(W$2,Saltos,2,FALSE)+8*QUOTIENT((ROW()-3),13),MOD(ROW()-3,13)+COLUMN(Condiciones!$F$1)))</f>
        <v>0</v>
      </c>
      <c r="X26" s="87">
        <f t="shared" ca="1" si="32"/>
        <v>0</v>
      </c>
      <c r="Y26" s="87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87">
        <f t="shared" ca="1" si="33"/>
        <v>0</v>
      </c>
      <c r="AA26" s="85">
        <f ca="1">INDIRECT("Condiciones!"&amp;ADDRESS(VLOOKUP(AA$2,Saltos,2,FALSE)+8*QUOTIENT((ROW()-3),13),MOD(ROW()-3,13)+COLUMN(Condiciones!$F$1)))</f>
        <v>0</v>
      </c>
      <c r="AB26" s="87">
        <f t="shared" ca="1" si="34"/>
        <v>0</v>
      </c>
      <c r="AC26" s="87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87">
        <f t="shared" ca="1" si="35"/>
        <v>0</v>
      </c>
      <c r="AE26" s="85">
        <f ca="1">INDIRECT("Condiciones!"&amp;ADDRESS(VLOOKUP(AE$2,Saltos,2,FALSE)+8*QUOTIENT((ROW()-3),13),MOD(ROW()-3,13)+COLUMN(Condiciones!$F$1)))</f>
        <v>0</v>
      </c>
      <c r="AF26" s="87">
        <f t="shared" ca="1" si="36"/>
        <v>0</v>
      </c>
      <c r="AG26" s="87">
        <f>IF(ISERROR(INDEX(PAGADO!$F$2:$R$321,MATCH(CONCATENATE($B$17,"Otros"),PAGADO!$E$2:$E$321,0),MATCH($D26,PAGADO!$F$1:$Q$1,0))),0,INDEX(PAGADO!$F$2:$R$321,MATCH(CONCATENATE($B$17,"Otros"),PAGADO!$E$2:$E$321,0),MATCH($D26,PAGADO!$F$1:$Q$1,0)))</f>
        <v>0</v>
      </c>
      <c r="AH26" s="87">
        <f t="shared" ca="1" si="37"/>
        <v>0</v>
      </c>
      <c r="AI26" s="85">
        <f ca="1">INDIRECT("Condiciones!"&amp;ADDRESS(VLOOKUP(AI$2,Saltos,2,FALSE)+8*QUOTIENT((ROW()-3),13),MOD(ROW()-3,13)+COLUMN(Condiciones!$F$1)))</f>
        <v>0</v>
      </c>
      <c r="AJ26" s="87">
        <f t="shared" ca="1" si="38"/>
        <v>0</v>
      </c>
      <c r="AK26" s="87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0</v>
      </c>
      <c r="AL26" s="87">
        <f t="shared" ca="1" si="39"/>
        <v>0</v>
      </c>
      <c r="AM26" s="68"/>
      <c r="AN26" s="87">
        <f t="shared" ca="1" si="20"/>
        <v>0</v>
      </c>
      <c r="AO26" s="87">
        <f t="shared" si="21"/>
        <v>0</v>
      </c>
      <c r="AP26" s="87">
        <f t="shared" ca="1" si="22"/>
        <v>0</v>
      </c>
    </row>
    <row r="27" spans="2:42">
      <c r="B27" s="122"/>
      <c r="C27" s="82">
        <f>DATE($B$2,11,1)</f>
        <v>45962</v>
      </c>
      <c r="D27" s="83" t="str">
        <f t="shared" si="23"/>
        <v>202511</v>
      </c>
      <c r="E27" s="84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0</v>
      </c>
      <c r="F27" s="84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0</v>
      </c>
      <c r="G27" s="85">
        <f ca="1">INDIRECT("Condiciones!"&amp;ADDRESS(VLOOKUP(G$2,Saltos,2,FALSE)+8*QUOTIENT((ROW()-3),13),MOD(ROW()-3,13)+COLUMN(Condiciones!$F$1)))</f>
        <v>0</v>
      </c>
      <c r="H27" s="86">
        <f t="shared" ca="1" si="24"/>
        <v>0</v>
      </c>
      <c r="I27" s="87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87">
        <f t="shared" ca="1" si="25"/>
        <v>0</v>
      </c>
      <c r="K27" s="85">
        <f ca="1">INDIRECT("Condiciones!"&amp;ADDRESS(VLOOKUP(K$2,Saltos,2,FALSE)+8*QUOTIENT((ROW()-3),13),MOD(ROW()-3,13)+COLUMN(Condiciones!$F$1)))</f>
        <v>0</v>
      </c>
      <c r="L27" s="88">
        <f t="shared" ca="1" si="26"/>
        <v>0</v>
      </c>
      <c r="M27" s="87">
        <f>IF(ISERROR(INDEX(PAGADO!$F$2:$R$321,MATCH(CONCATENATE($B$17,"Logistica"),PAGADO!$E$2:$E$321,0),MATCH($D27,PAGADO!$F$1:$Q$1,0))),0,INDEX(PAGADO!$F$2:$R$321,MATCH(CONCATENATE($B$17,"Logistica"),PAGADO!$E$2:$E$321,0),MATCH($D27,PAGADO!$F$1:$Q$1,0)))</f>
        <v>0</v>
      </c>
      <c r="N27" s="87">
        <f t="shared" ca="1" si="27"/>
        <v>0</v>
      </c>
      <c r="O27" s="85">
        <f ca="1">INDIRECT("Condiciones!"&amp;ADDRESS(VLOOKUP(O$2,Saltos,2,FALSE)+8*QUOTIENT((ROW()-3),13),MOD(ROW()-3,13)+COLUMN(Condiciones!$F$1)))</f>
        <v>0</v>
      </c>
      <c r="P27" s="87">
        <f t="shared" ca="1" si="28"/>
        <v>0</v>
      </c>
      <c r="Q27" s="88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87">
        <f t="shared" ca="1" si="29"/>
        <v>0</v>
      </c>
      <c r="S27" s="85">
        <f ca="1">INDIRECT("Condiciones!"&amp;ADDRESS(VLOOKUP(S$2,Saltos,2,FALSE)+8*QUOTIENT((ROW()-3),13),MOD(ROW()-3,13)+COLUMN(Condiciones!$F$1)))</f>
        <v>0</v>
      </c>
      <c r="T27" s="87">
        <f t="shared" ca="1" si="30"/>
        <v>0</v>
      </c>
      <c r="U27" s="87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87">
        <f t="shared" ca="1" si="31"/>
        <v>0</v>
      </c>
      <c r="W27" s="85">
        <f ca="1">INDIRECT("Condiciones!"&amp;ADDRESS(VLOOKUP(W$2,Saltos,2,FALSE)+8*QUOTIENT((ROW()-3),13),MOD(ROW()-3,13)+COLUMN(Condiciones!$F$1)))</f>
        <v>0</v>
      </c>
      <c r="X27" s="87">
        <f t="shared" ca="1" si="32"/>
        <v>0</v>
      </c>
      <c r="Y27" s="87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87">
        <f t="shared" ca="1" si="33"/>
        <v>0</v>
      </c>
      <c r="AA27" s="85">
        <f ca="1">INDIRECT("Condiciones!"&amp;ADDRESS(VLOOKUP(AA$2,Saltos,2,FALSE)+8*QUOTIENT((ROW()-3),13),MOD(ROW()-3,13)+COLUMN(Condiciones!$F$1)))</f>
        <v>0</v>
      </c>
      <c r="AB27" s="87">
        <f t="shared" ca="1" si="34"/>
        <v>0</v>
      </c>
      <c r="AC27" s="87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87">
        <f t="shared" ca="1" si="35"/>
        <v>0</v>
      </c>
      <c r="AE27" s="85">
        <f ca="1">INDIRECT("Condiciones!"&amp;ADDRESS(VLOOKUP(AE$2,Saltos,2,FALSE)+8*QUOTIENT((ROW()-3),13),MOD(ROW()-3,13)+COLUMN(Condiciones!$F$1)))</f>
        <v>0</v>
      </c>
      <c r="AF27" s="87">
        <f t="shared" ca="1" si="36"/>
        <v>0</v>
      </c>
      <c r="AG27" s="87">
        <f>IF(ISERROR(INDEX(PAGADO!$F$2:$R$321,MATCH(CONCATENATE($B$17,"Otros"),PAGADO!$E$2:$E$321,0),MATCH($D27,PAGADO!$F$1:$Q$1,0))),0,INDEX(PAGADO!$F$2:$R$321,MATCH(CONCATENATE($B$17,"Otros"),PAGADO!$E$2:$E$321,0),MATCH($D27,PAGADO!$F$1:$Q$1,0)))</f>
        <v>0</v>
      </c>
      <c r="AH27" s="87">
        <f t="shared" ca="1" si="37"/>
        <v>0</v>
      </c>
      <c r="AI27" s="85">
        <f ca="1">INDIRECT("Condiciones!"&amp;ADDRESS(VLOOKUP(AI$2,Saltos,2,FALSE)+8*QUOTIENT((ROW()-3),13),MOD(ROW()-3,13)+COLUMN(Condiciones!$F$1)))</f>
        <v>0</v>
      </c>
      <c r="AJ27" s="87">
        <f t="shared" ca="1" si="38"/>
        <v>0</v>
      </c>
      <c r="AK27" s="87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0</v>
      </c>
      <c r="AL27" s="87">
        <f t="shared" ca="1" si="39"/>
        <v>0</v>
      </c>
      <c r="AM27" s="68"/>
      <c r="AN27" s="87">
        <f t="shared" ca="1" si="20"/>
        <v>0</v>
      </c>
      <c r="AO27" s="87">
        <f t="shared" si="21"/>
        <v>0</v>
      </c>
      <c r="AP27" s="87">
        <f t="shared" ca="1" si="22"/>
        <v>0</v>
      </c>
    </row>
    <row r="28" spans="2:42">
      <c r="B28" s="123"/>
      <c r="C28" s="82">
        <f>DATE($B$2,12,1)</f>
        <v>45992</v>
      </c>
      <c r="D28" s="83" t="str">
        <f t="shared" si="23"/>
        <v>202512</v>
      </c>
      <c r="E28" s="84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0</v>
      </c>
      <c r="F28" s="84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0</v>
      </c>
      <c r="G28" s="85">
        <f ca="1">INDIRECT("Condiciones!"&amp;ADDRESS(VLOOKUP(G$2,Saltos,2,FALSE)+8*QUOTIENT((ROW()-3),13),MOD(ROW()-3,13)+COLUMN(Condiciones!$F$1)))</f>
        <v>0</v>
      </c>
      <c r="H28" s="86">
        <f t="shared" ca="1" si="24"/>
        <v>0</v>
      </c>
      <c r="I28" s="87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87">
        <f t="shared" ca="1" si="25"/>
        <v>0</v>
      </c>
      <c r="K28" s="85">
        <f ca="1">INDIRECT("Condiciones!"&amp;ADDRESS(VLOOKUP(K$2,Saltos,2,FALSE)+8*QUOTIENT((ROW()-3),13),MOD(ROW()-3,13)+COLUMN(Condiciones!$F$1)))</f>
        <v>0</v>
      </c>
      <c r="L28" s="88">
        <f t="shared" ca="1" si="26"/>
        <v>0</v>
      </c>
      <c r="M28" s="87">
        <f>IF(ISERROR(INDEX(PAGADO!$F$2:$R$321,MATCH(CONCATENATE($B$17,"Logistica"),PAGADO!$E$2:$E$321,0),MATCH($D28,PAGADO!$F$1:$Q$1,0))),0,INDEX(PAGADO!$F$2:$R$321,MATCH(CONCATENATE($B$17,"Logistica"),PAGADO!$E$2:$E$321,0),MATCH($D28,PAGADO!$F$1:$Q$1,0)))</f>
        <v>0</v>
      </c>
      <c r="N28" s="87">
        <f t="shared" ca="1" si="27"/>
        <v>0</v>
      </c>
      <c r="O28" s="85">
        <f ca="1">INDIRECT("Condiciones!"&amp;ADDRESS(VLOOKUP(O$2,Saltos,2,FALSE)+8*QUOTIENT((ROW()-3),13),MOD(ROW()-3,13)+COLUMN(Condiciones!$F$1)))</f>
        <v>0</v>
      </c>
      <c r="P28" s="87">
        <f t="shared" ca="1" si="28"/>
        <v>0</v>
      </c>
      <c r="Q28" s="88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87">
        <f t="shared" ca="1" si="29"/>
        <v>0</v>
      </c>
      <c r="S28" s="85">
        <f ca="1">INDIRECT("Condiciones!"&amp;ADDRESS(VLOOKUP(S$2,Saltos,2,FALSE)+8*QUOTIENT((ROW()-3),13),MOD(ROW()-3,13)+COLUMN(Condiciones!$F$1)))</f>
        <v>0</v>
      </c>
      <c r="T28" s="87">
        <f t="shared" ca="1" si="30"/>
        <v>0</v>
      </c>
      <c r="U28" s="87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87">
        <f t="shared" ca="1" si="31"/>
        <v>0</v>
      </c>
      <c r="W28" s="85">
        <f ca="1">INDIRECT("Condiciones!"&amp;ADDRESS(VLOOKUP(W$2,Saltos,2,FALSE)+8*QUOTIENT((ROW()-3),13),MOD(ROW()-3,13)+COLUMN(Condiciones!$F$1)))</f>
        <v>0</v>
      </c>
      <c r="X28" s="87">
        <f t="shared" ca="1" si="32"/>
        <v>0</v>
      </c>
      <c r="Y28" s="87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87">
        <f t="shared" ca="1" si="33"/>
        <v>0</v>
      </c>
      <c r="AA28" s="85">
        <f ca="1">INDIRECT("Condiciones!"&amp;ADDRESS(VLOOKUP(AA$2,Saltos,2,FALSE)+8*QUOTIENT((ROW()-3),13),MOD(ROW()-3,13)+COLUMN(Condiciones!$F$1)))</f>
        <v>0</v>
      </c>
      <c r="AB28" s="87">
        <f t="shared" ca="1" si="34"/>
        <v>0</v>
      </c>
      <c r="AC28" s="87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87">
        <f t="shared" ca="1" si="35"/>
        <v>0</v>
      </c>
      <c r="AE28" s="85">
        <f ca="1">INDIRECT("Condiciones!"&amp;ADDRESS(VLOOKUP(AE$2,Saltos,2,FALSE)+8*QUOTIENT((ROW()-3),13),MOD(ROW()-3,13)+COLUMN(Condiciones!$F$1)))</f>
        <v>0</v>
      </c>
      <c r="AF28" s="87">
        <f t="shared" ca="1" si="36"/>
        <v>0</v>
      </c>
      <c r="AG28" s="87">
        <f>IF(ISERROR(INDEX(PAGADO!$F$2:$R$321,MATCH(CONCATENATE($B$17,"Otros"),PAGADO!$E$2:$E$321,0),MATCH($D28,PAGADO!$F$1:$Q$1,0))),0,INDEX(PAGADO!$F$2:$R$321,MATCH(CONCATENATE($B$17,"Otros"),PAGADO!$E$2:$E$321,0),MATCH($D28,PAGADO!$F$1:$Q$1,0)))</f>
        <v>0</v>
      </c>
      <c r="AH28" s="87">
        <f t="shared" ca="1" si="37"/>
        <v>0</v>
      </c>
      <c r="AI28" s="85">
        <f ca="1">INDIRECT("Condiciones!"&amp;ADDRESS(VLOOKUP(AI$2,Saltos,2,FALSE)+8*QUOTIENT((ROW()-3),13),MOD(ROW()-3,13)+COLUMN(Condiciones!$F$1)))</f>
        <v>0</v>
      </c>
      <c r="AJ28" s="87">
        <f t="shared" ca="1" si="38"/>
        <v>0</v>
      </c>
      <c r="AK28" s="87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87">
        <f t="shared" ca="1" si="39"/>
        <v>0</v>
      </c>
      <c r="AM28" s="68"/>
      <c r="AN28" s="87">
        <f t="shared" ca="1" si="20"/>
        <v>0</v>
      </c>
      <c r="AO28" s="87">
        <f t="shared" si="21"/>
        <v>0</v>
      </c>
      <c r="AP28" s="87">
        <f t="shared" ca="1" si="22"/>
        <v>0</v>
      </c>
    </row>
    <row r="29" spans="2:42">
      <c r="B29" s="89"/>
      <c r="C29" s="90"/>
      <c r="D29" s="91"/>
      <c r="E29" s="92">
        <f ca="1">SUM(E17:E28)</f>
        <v>0</v>
      </c>
      <c r="F29" s="92">
        <f ca="1">SUM(F17:F28)</f>
        <v>0</v>
      </c>
      <c r="G29" s="93"/>
      <c r="H29" s="94">
        <f ca="1">SUM(H17:H28)</f>
        <v>0</v>
      </c>
      <c r="I29" s="94">
        <f>SUM(I17:I28)</f>
        <v>-4</v>
      </c>
      <c r="J29" s="95">
        <f ca="1">SUM(J17:J28)</f>
        <v>-4</v>
      </c>
      <c r="K29" s="93"/>
      <c r="L29" s="95">
        <f ca="1">SUM(L17:L28)</f>
        <v>0</v>
      </c>
      <c r="M29" s="95">
        <f>SUM(M17:M28)</f>
        <v>0</v>
      </c>
      <c r="N29" s="95">
        <f ca="1">SUM(N17:N28)</f>
        <v>0</v>
      </c>
      <c r="O29" s="93"/>
      <c r="P29" s="95">
        <f ca="1">SUM(P17:P28)</f>
        <v>0</v>
      </c>
      <c r="Q29" s="96">
        <f>SUM(Q17:Q28)</f>
        <v>0</v>
      </c>
      <c r="R29" s="95">
        <f ca="1">SUM(R17:R28)</f>
        <v>0</v>
      </c>
      <c r="S29" s="93"/>
      <c r="T29" s="95">
        <f ca="1">SUM(T17:T28)</f>
        <v>0</v>
      </c>
      <c r="U29" s="95">
        <f>SUM(U17:U28)</f>
        <v>0</v>
      </c>
      <c r="V29" s="95">
        <f ca="1">SUM(V17:V28)</f>
        <v>0</v>
      </c>
      <c r="W29" s="93"/>
      <c r="X29" s="95">
        <f ca="1">SUM(X17:X28)</f>
        <v>0</v>
      </c>
      <c r="Y29" s="95">
        <f>SUM(Y17:Y28)</f>
        <v>0</v>
      </c>
      <c r="Z29" s="95">
        <f ca="1">SUM(Z17:Z28)</f>
        <v>0</v>
      </c>
      <c r="AA29" s="93"/>
      <c r="AB29" s="95">
        <f ca="1">SUM(AB17:AB28)</f>
        <v>0</v>
      </c>
      <c r="AC29" s="95">
        <f>SUM(AC17:AC28)</f>
        <v>0</v>
      </c>
      <c r="AD29" s="95">
        <f ca="1">SUM(AD17:AD28)</f>
        <v>0</v>
      </c>
      <c r="AE29" s="93"/>
      <c r="AF29" s="95">
        <f ca="1">SUM(AF17:AF28)</f>
        <v>0</v>
      </c>
      <c r="AG29" s="95">
        <f>SUM(AG17:AG28)</f>
        <v>0</v>
      </c>
      <c r="AH29" s="95">
        <f ca="1">SUM(AH17:AH28)</f>
        <v>0</v>
      </c>
      <c r="AI29" s="93"/>
      <c r="AJ29" s="95">
        <f ca="1">SUM(AJ17:AJ28)</f>
        <v>0</v>
      </c>
      <c r="AK29" s="95">
        <f>SUM(AK17:AK28)</f>
        <v>0</v>
      </c>
      <c r="AL29" s="95">
        <f ca="1">SUM(AL17:AL28)</f>
        <v>0</v>
      </c>
      <c r="AM29" s="68"/>
      <c r="AN29" s="95">
        <f ca="1">SUM(AN17:AN28)</f>
        <v>0</v>
      </c>
      <c r="AO29" s="95">
        <f>SUM(AO17:AO28)</f>
        <v>-4</v>
      </c>
      <c r="AP29" s="95">
        <f ca="1">SUM(AP17:AP28)</f>
        <v>-4</v>
      </c>
    </row>
    <row r="30" spans="2:42">
      <c r="B30" s="121" t="s">
        <v>56</v>
      </c>
      <c r="C30" s="82">
        <f>DATE($B$2,1,1)</f>
        <v>45658</v>
      </c>
      <c r="D30" s="83" t="str">
        <f>TEXT(C30,"YYYYMM")</f>
        <v>202501</v>
      </c>
      <c r="E30" s="84">
        <f ca="1">IF(ISERROR(INDEX(IV_Compras_Totales_Base!$E$2:$P$300,MATCH(INDIRECT(ADDRESS(4+13*QUOTIENT(ROW()-3,13),2,1,1)),IV_Compras_Totales_Base!$C$2:$C$300,0),MATCH($D30,IV_Compras_Totales_Base!$E$1:$P$1,0))),0,INDEX(IV_Compras_Totales_Base!$E$2:$P$300,MATCH(INDIRECT(ADDRESS(4+13*QUOTIENT(ROW()-3,13),2,1,1)),IV_Compras_Totales_Base!$C$2:$C$300,0),MATCH($D30,IV_Compras_Totales_Base!$E$1:$P$1,0)))</f>
        <v>82900096</v>
      </c>
      <c r="F30" s="84">
        <f ca="1">IF(ISERROR(INDEX(V_Compras_Logistica_Base!$E$2:$P$300,MATCH(INDIRECT(ADDRESS(4+13*QUOTIENT(ROW()-3,13),2,1,1)),V_Compras_Logistica_Base!$C$2:$C$300,0),MATCH($D30,V_Compras_Logistica_Base!$E$1:$P$1,0))),0,INDEX(V_Compras_Logistica_Base!$E$2:$P$300,MATCH(INDIRECT(ADDRESS(4+13*QUOTIENT(ROW()-3,13),2,1,1)),V_Compras_Logistica_Base!$C$2:$C$300,0),MATCH($D30,V_Compras_Logistica_Base!$E$1:$P$1,0)))</f>
        <v>0</v>
      </c>
      <c r="G30" s="85">
        <f ca="1">INDIRECT("Condiciones!"&amp;ADDRESS(VLOOKUP(G$2,Saltos,2,FALSE)+8*QUOTIENT((ROW()-3),13),MOD(ROW()-3,13)+COLUMN(Condiciones!$F$1)))</f>
        <v>0</v>
      </c>
      <c r="H30" s="86">
        <f>'Base de Calculo'!B23</f>
        <v>70347956</v>
      </c>
      <c r="I30" s="87">
        <f>IF(ISERROR(INDEX(PAGADO!$F$2:$R$321,MATCH(CONCATENATE($B$30,"Publicidad"),PAGADO!$E$2:$E$321,0),MATCH($D30,PAGADO!$F$1:$Q$1,0))),0,INDEX(PAGADO!$F$2:$R$321,MATCH(CONCATENATE($B$30,"Publicidad"),PAGADO!$E$2:$E$321,0),MATCH($D30,PAGADO!$F$1:$Q$1,0)))</f>
        <v>0</v>
      </c>
      <c r="J30" s="87">
        <f>H30+I30</f>
        <v>70347956</v>
      </c>
      <c r="K30" s="85">
        <f ca="1">INDIRECT("Condiciones!"&amp;ADDRESS(VLOOKUP(K$2,Saltos,2,FALSE)+8*QUOTIENT((ROW()-3),13),MOD(ROW()-3,13)+COLUMN(Condiciones!$F$1)))</f>
        <v>0</v>
      </c>
      <c r="L30" s="88">
        <f ca="1">IF($F30="",0,K30*$F30)</f>
        <v>0</v>
      </c>
      <c r="M30" s="87">
        <f>IF(ISERROR(INDEX(PAGADO!$F$2:$R$321,MATCH(CONCATENATE($B$30,"Logistica"),PAGADO!$E$2:$E$321,0),MATCH($D30,PAGADO!$F$1:$Q$1,0))),0,INDEX(PAGADO!$F$2:$R$321,MATCH(CONCATENATE($B$30,"Logistica"),PAGADO!$E$2:$E$321,0),MATCH($D30,PAGADO!$F$1:$Q$1,0)))</f>
        <v>0</v>
      </c>
      <c r="N30" s="87">
        <f ca="1">L30+M30</f>
        <v>0</v>
      </c>
      <c r="O30" s="85">
        <f ca="1">INDIRECT("Condiciones!"&amp;ADDRESS(VLOOKUP(O$2,Saltos,2,FALSE)+8*QUOTIENT((ROW()-3),13),MOD(ROW()-3,13)+COLUMN(Condiciones!$F$1)))</f>
        <v>0</v>
      </c>
      <c r="P30" s="87">
        <f ca="1">IF($E30="",0,O30*$E30)</f>
        <v>0</v>
      </c>
      <c r="Q30" s="88">
        <f>IF(ISERROR(INDEX(PAGADO!$F$2:$R$321,MATCH(CONCATENATE($B$30,"Centralizada"),PAGADO!$E$2:$E$321,0),MATCH($D30,PAGADO!$F$1:$Q$1,0))),0,INDEX(PAGADO!$F$2:$R$321,MATCH(CONCATENATE($B$30,"Centralizada"),PAGADO!$E$2:$E$321,0),MATCH($D30,PAGADO!$F$1:$Q$1,0)))</f>
        <v>0</v>
      </c>
      <c r="R30" s="87">
        <f ca="1">P30+Q30</f>
        <v>0</v>
      </c>
      <c r="S30" s="85">
        <f ca="1">INDIRECT("Condiciones!"&amp;ADDRESS(VLOOKUP(S$2,Saltos,2,FALSE)+8*QUOTIENT((ROW()-3),13),MOD(ROW()-3,13)+COLUMN(Condiciones!$F$1)))</f>
        <v>0</v>
      </c>
      <c r="T30" s="87">
        <f ca="1">IF($E30="",0,S30*$E30)</f>
        <v>0</v>
      </c>
      <c r="U30" s="87">
        <f>IF(ISERROR(INDEX(PAGADO!$F$2:$R$321,MATCH(CONCATENATE($B$30,"Escala Crecimiento"),PAGADO!$E$2:$E$321,0),MATCH($D30,PAGADO!$F$1:$Q$1,0))),0,INDEX(PAGADO!$F$2:$R$321,MATCH(CONCATENATE($B$30,"Escala Crecimiento"),PAGADO!$E$2:$E$321,0),MATCH($D30,PAGADO!$F$1:$Q$1,0)))</f>
        <v>0</v>
      </c>
      <c r="V30" s="87">
        <f ca="1">T30+U30</f>
        <v>0</v>
      </c>
      <c r="W30" s="85">
        <f ca="1">INDIRECT("Condiciones!"&amp;ADDRESS(VLOOKUP(W$2,Saltos,2,FALSE)+8*QUOTIENT((ROW()-3),13),MOD(ROW()-3,13)+COLUMN(Condiciones!$F$1)))</f>
        <v>0</v>
      </c>
      <c r="X30" s="87">
        <f ca="1">IF($E30="",0,W30*$E30)</f>
        <v>0</v>
      </c>
      <c r="Y30" s="87">
        <f>IF(ISERROR(INDEX(PAGADO!$F$2:$R$321,MATCH(CONCATENATE($B$30,"Escala Fija"),PAGADO!$E$2:$E$321,0),MATCH($D30,PAGADO!$F$1:$Q$1,0))),0,INDEX(PAGADO!$F$2:$R$321,MATCH(CONCATENATE($B$30,"Escala Fija"),PAGADO!$E$2:$E$321,0),MATCH($D30,PAGADO!$F$1:$Q$1,0)))</f>
        <v>0</v>
      </c>
      <c r="Z30" s="87">
        <f ca="1">X30+Y30</f>
        <v>0</v>
      </c>
      <c r="AA30" s="85">
        <f ca="1">INDIRECT("Condiciones!"&amp;ADDRESS(VLOOKUP(AA$2,Saltos,2,FALSE)+8*QUOTIENT((ROW()-3),13),MOD(ROW()-3,13)+COLUMN(Condiciones!$F$1)))</f>
        <v>0</v>
      </c>
      <c r="AB30" s="87">
        <f ca="1">IF($E30="",0,AA30*$E30)</f>
        <v>0</v>
      </c>
      <c r="AC30" s="87">
        <f>IF(ISERROR(INDEX(PAGADO!$F$2:$R$321,MATCH(CONCATENATE($B$30,"Devoluciones"),PAGADO!$E$2:$E$321,0),MATCH($D30,PAGADO!$F$1:$Q$1,0))),0,INDEX(PAGADO!$F$2:$R$321,MATCH(CONCATENATE($B$30,"Devoluciones"),PAGADO!$E$2:$E$321,0),MATCH($D30,PAGADO!$F$1:$Q$1,0)))</f>
        <v>0</v>
      </c>
      <c r="AD30" s="87">
        <f ca="1">AB30+AC30</f>
        <v>0</v>
      </c>
      <c r="AE30" s="85">
        <f ca="1">INDIRECT("Condiciones!"&amp;ADDRESS(VLOOKUP(AE$2,Saltos,2,FALSE)+8*QUOTIENT((ROW()-3),13),MOD(ROW()-3,13)+COLUMN(Condiciones!$F$1)))</f>
        <v>0</v>
      </c>
      <c r="AF30" s="87">
        <f ca="1">IF($E30="",0,AE30*$E30)</f>
        <v>0</v>
      </c>
      <c r="AG30" s="87">
        <f>IF(ISERROR(INDEX(PAGADO!$F$2:$R$321,MATCH(CONCATENATE($B$30,"Otros"),PAGADO!$E$2:$E$321,0),MATCH($D30,PAGADO!$F$1:$Q$1,0))),0,INDEX(PAGADO!$F$2:$R$321,MATCH(CONCATENATE($B$30,"Otros"),PAGADO!$E$2:$E$321,0),MATCH($D30,PAGADO!$F$1:$Q$1,0)))</f>
        <v>0</v>
      </c>
      <c r="AH30" s="87">
        <f ca="1">AF30+AG30</f>
        <v>0</v>
      </c>
      <c r="AI30" s="85">
        <f ca="1">INDIRECT("Condiciones!"&amp;ADDRESS(VLOOKUP(AI$2,Saltos,2,FALSE)+8*QUOTIENT((ROW()-3),13),MOD(ROW()-3,13)+COLUMN(Condiciones!$F$1)))</f>
        <v>0</v>
      </c>
      <c r="AJ30" s="87">
        <f ca="1">IF($E30="",0,AI30*$E30)</f>
        <v>0</v>
      </c>
      <c r="AK30" s="87">
        <f>IF(ISERROR(INDEX(PAGADO!$F$2:$R$321,MATCH(CONCATENATE($B$30,"Aportes Manuales"),PAGADO!$E$2:$E$321,0),MATCH($D30,PAGADO!$F$1:$Q$1,0))),0,INDEX(PAGADO!$F$2:$R$321,MATCH(CONCATENATE($B$30,"Aportes Manuales"),PAGADO!$E$2:$E$321,0),MATCH($D30,PAGADO!$F$1:$Q$1,0)))</f>
        <v>0</v>
      </c>
      <c r="AL30" s="87">
        <f ca="1">AJ30+AK30</f>
        <v>0</v>
      </c>
      <c r="AM30" s="68"/>
      <c r="AN30" s="87">
        <f t="shared" ref="AN30:AN41" ca="1" si="40">H30+L30+P30+T30+X30+AB30+AF30+AJ30</f>
        <v>70347956</v>
      </c>
      <c r="AO30" s="87">
        <f t="shared" ref="AO30:AO41" si="41">I30+M30+Q30+U30+Y30+AC30+AG30+AK30</f>
        <v>0</v>
      </c>
      <c r="AP30" s="87">
        <f t="shared" ref="AP30:AP41" ca="1" si="42">AN30+AO30</f>
        <v>70347956</v>
      </c>
    </row>
    <row r="31" spans="2:42">
      <c r="B31" s="122"/>
      <c r="C31" s="82">
        <f>DATE($B$2,2,1)</f>
        <v>45689</v>
      </c>
      <c r="D31" s="83" t="str">
        <f t="shared" ref="D31:D41" si="43">TEXT(C31,"YYYYMM")</f>
        <v>202502</v>
      </c>
      <c r="E31" s="84">
        <f ca="1">IF(ISERROR(INDEX(IV_Compras_Totales_Base!$E$2:$P$300,MATCH(INDIRECT(ADDRESS(4+13*QUOTIENT(ROW()-3,13),2,1,1)),IV_Compras_Totales_Base!$C$2:$C$300,0),MATCH($D31,IV_Compras_Totales_Base!$E$1:$P$1,0))),0,INDEX(IV_Compras_Totales_Base!$E$2:$P$300,MATCH(INDIRECT(ADDRESS(4+13*QUOTIENT(ROW()-3,13),2,1,1)),IV_Compras_Totales_Base!$C$2:$C$300,0),MATCH($D31,IV_Compras_Totales_Base!$E$1:$P$1,0)))</f>
        <v>61201818</v>
      </c>
      <c r="F31" s="84">
        <f ca="1">IF(ISERROR(INDEX(V_Compras_Logistica_Base!$E$2:$P$300,MATCH(INDIRECT(ADDRESS(4+13*QUOTIENT(ROW()-3,13),2,1,1)),V_Compras_Logistica_Base!$C$2:$C$300,0),MATCH($D31,V_Compras_Logistica_Base!$E$1:$P$1,0))),0,INDEX(V_Compras_Logistica_Base!$E$2:$P$300,MATCH(INDIRECT(ADDRESS(4+13*QUOTIENT(ROW()-3,13),2,1,1)),V_Compras_Logistica_Base!$C$2:$C$300,0),MATCH($D31,V_Compras_Logistica_Base!$E$1:$P$1,0)))</f>
        <v>0</v>
      </c>
      <c r="G31" s="85">
        <f ca="1">INDIRECT("Condiciones!"&amp;ADDRESS(VLOOKUP(G$2,Saltos,2,FALSE)+8*QUOTIENT((ROW()-3),13),MOD(ROW()-3,13)+COLUMN(Condiciones!$F$1)))</f>
        <v>0</v>
      </c>
      <c r="H31" s="86">
        <f>'Base de Calculo'!C23</f>
        <v>2071336.79</v>
      </c>
      <c r="I31" s="87">
        <f>IF(ISERROR(INDEX(PAGADO!$F$2:$R$321,MATCH(CONCATENATE($B$30,"Publicidad"),PAGADO!$E$2:$E$321,0),MATCH($D31,PAGADO!$F$1:$Q$1,0))),0,INDEX(PAGADO!$F$2:$R$321,MATCH(CONCATENATE($B$30,"Publicidad"),PAGADO!$E$2:$E$321,0),MATCH($D31,PAGADO!$F$1:$Q$1,0)))</f>
        <v>-9636530</v>
      </c>
      <c r="J31" s="87">
        <f t="shared" ref="J31:J41" si="44">H31+I31</f>
        <v>-7565193.21</v>
      </c>
      <c r="K31" s="85">
        <f ca="1">INDIRECT("Condiciones!"&amp;ADDRESS(VLOOKUP(K$2,Saltos,2,FALSE)+8*QUOTIENT((ROW()-3),13),MOD(ROW()-3,13)+COLUMN(Condiciones!$F$1)))</f>
        <v>0</v>
      </c>
      <c r="L31" s="88">
        <f t="shared" ref="L31:L41" ca="1" si="45">IF($F31="",0,K31*$F31)</f>
        <v>0</v>
      </c>
      <c r="M31" s="87">
        <f>IF(ISERROR(INDEX(PAGADO!$F$2:$R$321,MATCH(CONCATENATE($B$30,"Logistica"),PAGADO!$E$2:$E$321,0),MATCH($D31,PAGADO!$F$1:$Q$1,0))),0,INDEX(PAGADO!$F$2:$R$321,MATCH(CONCATENATE($B$30,"Logistica"),PAGADO!$E$2:$E$321,0),MATCH($D31,PAGADO!$F$1:$Q$1,0)))</f>
        <v>0</v>
      </c>
      <c r="N31" s="87">
        <f t="shared" ref="N31:N41" ca="1" si="46">L31+M31</f>
        <v>0</v>
      </c>
      <c r="O31" s="85">
        <f ca="1">INDIRECT("Condiciones!"&amp;ADDRESS(VLOOKUP(O$2,Saltos,2,FALSE)+8*QUOTIENT((ROW()-3),13),MOD(ROW()-3,13)+COLUMN(Condiciones!$F$1)))</f>
        <v>0</v>
      </c>
      <c r="P31" s="87">
        <f t="shared" ref="P31:P41" ca="1" si="47">IF($E31="",0,O31*$E31)</f>
        <v>0</v>
      </c>
      <c r="Q31" s="88">
        <f>IF(ISERROR(INDEX(PAGADO!$F$2:$R$321,MATCH(CONCATENATE($B$30,"Centralizada"),PAGADO!$E$2:$E$321,0),MATCH($D31,PAGADO!$F$1:$Q$1,0))),0,INDEX(PAGADO!$F$2:$R$321,MATCH(CONCATENATE($B$30,"Centralizada"),PAGADO!$E$2:$E$321,0),MATCH($D31,PAGADO!$F$1:$Q$1,0)))</f>
        <v>0</v>
      </c>
      <c r="R31" s="87">
        <f t="shared" ref="R31:R41" ca="1" si="48">P31+Q31</f>
        <v>0</v>
      </c>
      <c r="S31" s="85">
        <f ca="1">INDIRECT("Condiciones!"&amp;ADDRESS(VLOOKUP(S$2,Saltos,2,FALSE)+8*QUOTIENT((ROW()-3),13),MOD(ROW()-3,13)+COLUMN(Condiciones!$F$1)))</f>
        <v>0</v>
      </c>
      <c r="T31" s="87">
        <f t="shared" ref="T31:T41" ca="1" si="49">IF($E31="",0,S31*$E31)</f>
        <v>0</v>
      </c>
      <c r="U31" s="87">
        <f>IF(ISERROR(INDEX(PAGADO!$F$2:$R$321,MATCH(CONCATENATE($B$30,"Escala Crecimiento"),PAGADO!$E$2:$E$321,0),MATCH($D31,PAGADO!$F$1:$Q$1,0))),0,INDEX(PAGADO!$F$2:$R$321,MATCH(CONCATENATE($B$30,"Escala Crecimiento"),PAGADO!$E$2:$E$321,0),MATCH($D31,PAGADO!$F$1:$Q$1,0)))</f>
        <v>0</v>
      </c>
      <c r="V31" s="87">
        <f t="shared" ref="V31:V41" ca="1" si="50">T31+U31</f>
        <v>0</v>
      </c>
      <c r="W31" s="85">
        <f ca="1">INDIRECT("Condiciones!"&amp;ADDRESS(VLOOKUP(W$2,Saltos,2,FALSE)+8*QUOTIENT((ROW()-3),13),MOD(ROW()-3,13)+COLUMN(Condiciones!$F$1)))</f>
        <v>0</v>
      </c>
      <c r="X31" s="87">
        <f t="shared" ref="X31:X41" ca="1" si="51">IF($E31="",0,W31*$E31)</f>
        <v>0</v>
      </c>
      <c r="Y31" s="87">
        <f>IF(ISERROR(INDEX(PAGADO!$F$2:$R$321,MATCH(CONCATENATE($B$30,"Escala Fija"),PAGADO!$E$2:$E$321,0),MATCH($D31,PAGADO!$F$1:$Q$1,0))),0,INDEX(PAGADO!$F$2:$R$321,MATCH(CONCATENATE($B$30,"Escala Fija"),PAGADO!$E$2:$E$321,0),MATCH($D31,PAGADO!$F$1:$Q$1,0)))</f>
        <v>-2638466</v>
      </c>
      <c r="Z31" s="87">
        <f t="shared" ref="Z31:Z41" ca="1" si="52">X31+Y31</f>
        <v>-2638466</v>
      </c>
      <c r="AA31" s="85">
        <f ca="1">INDIRECT("Condiciones!"&amp;ADDRESS(VLOOKUP(AA$2,Saltos,2,FALSE)+8*QUOTIENT((ROW()-3),13),MOD(ROW()-3,13)+COLUMN(Condiciones!$F$1)))</f>
        <v>0</v>
      </c>
      <c r="AB31" s="87">
        <f t="shared" ref="AB31:AB41" ca="1" si="53">IF($E31="",0,AA31*$E31)</f>
        <v>0</v>
      </c>
      <c r="AC31" s="87">
        <f>IF(ISERROR(INDEX(PAGADO!$F$2:$R$321,MATCH(CONCATENATE($B$30,"Devoluciones"),PAGADO!$E$2:$E$321,0),MATCH($D31,PAGADO!$F$1:$Q$1,0))),0,INDEX(PAGADO!$F$2:$R$321,MATCH(CONCATENATE($B$30,"Devoluciones"),PAGADO!$E$2:$E$321,0),MATCH($D31,PAGADO!$F$1:$Q$1,0)))</f>
        <v>0</v>
      </c>
      <c r="AD31" s="87">
        <f t="shared" ref="AD31:AD41" ca="1" si="54">AB31+AC31</f>
        <v>0</v>
      </c>
      <c r="AE31" s="85">
        <f ca="1">INDIRECT("Condiciones!"&amp;ADDRESS(VLOOKUP(AE$2,Saltos,2,FALSE)+8*QUOTIENT((ROW()-3),13),MOD(ROW()-3,13)+COLUMN(Condiciones!$F$1)))</f>
        <v>0</v>
      </c>
      <c r="AF31" s="87">
        <f t="shared" ref="AF31:AF41" ca="1" si="55">IF($E31="",0,AE31*$E31)</f>
        <v>0</v>
      </c>
      <c r="AG31" s="87">
        <f>IF(ISERROR(INDEX(PAGADO!$F$2:$R$321,MATCH(CONCATENATE($B$30,"Otros"),PAGADO!$E$2:$E$321,0),MATCH($D31,PAGADO!$F$1:$Q$1,0))),0,INDEX(PAGADO!$F$2:$R$321,MATCH(CONCATENATE($B$30,"Otros"),PAGADO!$E$2:$E$321,0),MATCH($D31,PAGADO!$F$1:$Q$1,0)))</f>
        <v>0</v>
      </c>
      <c r="AH31" s="87">
        <f t="shared" ref="AH31:AH41" ca="1" si="56">AF31+AG31</f>
        <v>0</v>
      </c>
      <c r="AI31" s="85">
        <f ca="1">INDIRECT("Condiciones!"&amp;ADDRESS(VLOOKUP(AI$2,Saltos,2,FALSE)+8*QUOTIENT((ROW()-3),13),MOD(ROW()-3,13)+COLUMN(Condiciones!$F$1)))</f>
        <v>0</v>
      </c>
      <c r="AJ31" s="87">
        <f t="shared" ref="AJ31:AJ41" ca="1" si="57">IF($E31="",0,AI31*$E31)</f>
        <v>0</v>
      </c>
      <c r="AK31" s="87">
        <f>IF(ISERROR(INDEX(PAGADO!$F$2:$R$321,MATCH(CONCATENATE($B$30,"Aportes Manuales"),PAGADO!$E$2:$E$321,0),MATCH($D31,PAGADO!$F$1:$Q$1,0))),0,INDEX(PAGADO!$F$2:$R$321,MATCH(CONCATENATE($B$30,"Aportes Manuales"),PAGADO!$E$2:$E$321,0),MATCH($D31,PAGADO!$F$1:$Q$1,0)))</f>
        <v>-424987</v>
      </c>
      <c r="AL31" s="87">
        <f t="shared" ref="AL31:AL41" ca="1" si="58">AJ31+AK31</f>
        <v>-424987</v>
      </c>
      <c r="AM31" s="68"/>
      <c r="AN31" s="87">
        <f t="shared" ca="1" si="40"/>
        <v>2071336.79</v>
      </c>
      <c r="AO31" s="87">
        <f t="shared" si="41"/>
        <v>-12699983</v>
      </c>
      <c r="AP31" s="87">
        <f t="shared" ca="1" si="42"/>
        <v>-10628646.210000001</v>
      </c>
    </row>
    <row r="32" spans="2:42">
      <c r="B32" s="122"/>
      <c r="C32" s="82">
        <f>DATE($B$2,3,1)</f>
        <v>45717</v>
      </c>
      <c r="D32" s="83" t="str">
        <f t="shared" si="43"/>
        <v>202503</v>
      </c>
      <c r="E32" s="84">
        <f ca="1">IF(ISERROR(INDEX(IV_Compras_Totales_Base!$E$2:$P$300,MATCH(INDIRECT(ADDRESS(4+13*QUOTIENT(ROW()-3,13),2,1,1)),IV_Compras_Totales_Base!$C$2:$C$300,0),MATCH($D32,IV_Compras_Totales_Base!$E$1:$P$1,0))),0,INDEX(IV_Compras_Totales_Base!$E$2:$P$300,MATCH(INDIRECT(ADDRESS(4+13*QUOTIENT(ROW()-3,13),2,1,1)),IV_Compras_Totales_Base!$C$2:$C$300,0),MATCH($D32,IV_Compras_Totales_Base!$E$1:$P$1,0)))</f>
        <v>152035365</v>
      </c>
      <c r="F32" s="84">
        <f ca="1">IF(ISERROR(INDEX(V_Compras_Logistica_Base!$E$2:$P$300,MATCH(INDIRECT(ADDRESS(4+13*QUOTIENT(ROW()-3,13),2,1,1)),V_Compras_Logistica_Base!$C$2:$C$300,0),MATCH($D32,V_Compras_Logistica_Base!$E$1:$P$1,0))),0,INDEX(V_Compras_Logistica_Base!$E$2:$P$300,MATCH(INDIRECT(ADDRESS(4+13*QUOTIENT(ROW()-3,13),2,1,1)),V_Compras_Logistica_Base!$C$2:$C$300,0),MATCH($D32,V_Compras_Logistica_Base!$E$1:$P$1,0)))</f>
        <v>0</v>
      </c>
      <c r="G32" s="85">
        <f ca="1">INDIRECT("Condiciones!"&amp;ADDRESS(VLOOKUP(G$2,Saltos,2,FALSE)+8*QUOTIENT((ROW()-3),13),MOD(ROW()-3,13)+COLUMN(Condiciones!$F$1)))</f>
        <v>0</v>
      </c>
      <c r="H32" s="86">
        <f>'Base de Calculo'!D23</f>
        <v>11981932.75</v>
      </c>
      <c r="I32" s="87">
        <f>IF(ISERROR(INDEX(PAGADO!$F$2:$R$321,MATCH(CONCATENATE($B$30,"Publicidad"),PAGADO!$E$2:$E$321,0),MATCH($D32,PAGADO!$F$1:$Q$1,0))),0,INDEX(PAGADO!$F$2:$R$321,MATCH(CONCATENATE($B$30,"Publicidad"),PAGADO!$E$2:$E$321,0),MATCH($D32,PAGADO!$F$1:$Q$1,0)))</f>
        <v>0</v>
      </c>
      <c r="J32" s="87">
        <f t="shared" si="44"/>
        <v>11981932.75</v>
      </c>
      <c r="K32" s="85">
        <f ca="1">INDIRECT("Condiciones!"&amp;ADDRESS(VLOOKUP(K$2,Saltos,2,FALSE)+8*QUOTIENT((ROW()-3),13),MOD(ROW()-3,13)+COLUMN(Condiciones!$F$1)))</f>
        <v>0</v>
      </c>
      <c r="L32" s="88">
        <f t="shared" ca="1" si="45"/>
        <v>0</v>
      </c>
      <c r="M32" s="87">
        <f>IF(ISERROR(INDEX(PAGADO!$F$2:$R$321,MATCH(CONCATENATE($B$30,"Logistica"),PAGADO!$E$2:$E$321,0),MATCH($D32,PAGADO!$F$1:$Q$1,0))),0,INDEX(PAGADO!$F$2:$R$321,MATCH(CONCATENATE($B$30,"Logistica"),PAGADO!$E$2:$E$321,0),MATCH($D32,PAGADO!$F$1:$Q$1,0)))</f>
        <v>0</v>
      </c>
      <c r="N32" s="87">
        <f t="shared" ca="1" si="46"/>
        <v>0</v>
      </c>
      <c r="O32" s="85">
        <f ca="1">INDIRECT("Condiciones!"&amp;ADDRESS(VLOOKUP(O$2,Saltos,2,FALSE)+8*QUOTIENT((ROW()-3),13),MOD(ROW()-3,13)+COLUMN(Condiciones!$F$1)))</f>
        <v>0</v>
      </c>
      <c r="P32" s="87">
        <f t="shared" ca="1" si="47"/>
        <v>0</v>
      </c>
      <c r="Q32" s="88">
        <f>IF(ISERROR(INDEX(PAGADO!$F$2:$R$321,MATCH(CONCATENATE($B$30,"Centralizada"),PAGADO!$E$2:$E$321,0),MATCH($D32,PAGADO!$F$1:$Q$1,0))),0,INDEX(PAGADO!$F$2:$R$321,MATCH(CONCATENATE($B$30,"Centralizada"),PAGADO!$E$2:$E$321,0),MATCH($D32,PAGADO!$F$1:$Q$1,0)))</f>
        <v>0</v>
      </c>
      <c r="R32" s="87">
        <f t="shared" ca="1" si="48"/>
        <v>0</v>
      </c>
      <c r="S32" s="85">
        <f ca="1">INDIRECT("Condiciones!"&amp;ADDRESS(VLOOKUP(S$2,Saltos,2,FALSE)+8*QUOTIENT((ROW()-3),13),MOD(ROW()-3,13)+COLUMN(Condiciones!$F$1)))</f>
        <v>0</v>
      </c>
      <c r="T32" s="87">
        <f t="shared" ca="1" si="49"/>
        <v>0</v>
      </c>
      <c r="U32" s="87">
        <f>IF(ISERROR(INDEX(PAGADO!$F$2:$R$321,MATCH(CONCATENATE($B$30,"Escala Crecimiento"),PAGADO!$E$2:$E$321,0),MATCH($D32,PAGADO!$F$1:$Q$1,0))),0,INDEX(PAGADO!$F$2:$R$321,MATCH(CONCATENATE($B$30,"Escala Crecimiento"),PAGADO!$E$2:$E$321,0),MATCH($D32,PAGADO!$F$1:$Q$1,0)))</f>
        <v>0</v>
      </c>
      <c r="V32" s="87">
        <f t="shared" ca="1" si="50"/>
        <v>0</v>
      </c>
      <c r="W32" s="85">
        <f ca="1">INDIRECT("Condiciones!"&amp;ADDRESS(VLOOKUP(W$2,Saltos,2,FALSE)+8*QUOTIENT((ROW()-3),13),MOD(ROW()-3,13)+COLUMN(Condiciones!$F$1)))</f>
        <v>0</v>
      </c>
      <c r="X32" s="87">
        <f t="shared" ca="1" si="51"/>
        <v>0</v>
      </c>
      <c r="Y32" s="87">
        <f>IF(ISERROR(INDEX(PAGADO!$F$2:$R$321,MATCH(CONCATENATE($B$30,"Escala Fija"),PAGADO!$E$2:$E$321,0),MATCH($D32,PAGADO!$F$1:$Q$1,0))),0,INDEX(PAGADO!$F$2:$R$321,MATCH(CONCATENATE($B$30,"Escala Fija"),PAGADO!$E$2:$E$321,0),MATCH($D32,PAGADO!$F$1:$Q$1,0)))</f>
        <v>0</v>
      </c>
      <c r="Z32" s="87">
        <f t="shared" ca="1" si="52"/>
        <v>0</v>
      </c>
      <c r="AA32" s="85">
        <f ca="1">INDIRECT("Condiciones!"&amp;ADDRESS(VLOOKUP(AA$2,Saltos,2,FALSE)+8*QUOTIENT((ROW()-3),13),MOD(ROW()-3,13)+COLUMN(Condiciones!$F$1)))</f>
        <v>0</v>
      </c>
      <c r="AB32" s="87">
        <f t="shared" ca="1" si="53"/>
        <v>0</v>
      </c>
      <c r="AC32" s="87">
        <f>IF(ISERROR(INDEX(PAGADO!$F$2:$R$321,MATCH(CONCATENATE($B$30,"Devoluciones"),PAGADO!$E$2:$E$321,0),MATCH($D32,PAGADO!$F$1:$Q$1,0))),0,INDEX(PAGADO!$F$2:$R$321,MATCH(CONCATENATE($B$30,"Devoluciones"),PAGADO!$E$2:$E$321,0),MATCH($D32,PAGADO!$F$1:$Q$1,0)))</f>
        <v>0</v>
      </c>
      <c r="AD32" s="87">
        <f t="shared" ca="1" si="54"/>
        <v>0</v>
      </c>
      <c r="AE32" s="85">
        <f ca="1">INDIRECT("Condiciones!"&amp;ADDRESS(VLOOKUP(AE$2,Saltos,2,FALSE)+8*QUOTIENT((ROW()-3),13),MOD(ROW()-3,13)+COLUMN(Condiciones!$F$1)))</f>
        <v>0</v>
      </c>
      <c r="AF32" s="87">
        <f t="shared" ca="1" si="55"/>
        <v>0</v>
      </c>
      <c r="AG32" s="87">
        <f>IF(ISERROR(INDEX(PAGADO!$F$2:$R$321,MATCH(CONCATENATE($B$30,"Otros"),PAGADO!$E$2:$E$321,0),MATCH($D32,PAGADO!$F$1:$Q$1,0))),0,INDEX(PAGADO!$F$2:$R$321,MATCH(CONCATENATE($B$30,"Otros"),PAGADO!$E$2:$E$321,0),MATCH($D32,PAGADO!$F$1:$Q$1,0)))</f>
        <v>0</v>
      </c>
      <c r="AH32" s="87">
        <f t="shared" ca="1" si="56"/>
        <v>0</v>
      </c>
      <c r="AI32" s="85">
        <f ca="1">INDIRECT("Condiciones!"&amp;ADDRESS(VLOOKUP(AI$2,Saltos,2,FALSE)+8*QUOTIENT((ROW()-3),13),MOD(ROW()-3,13)+COLUMN(Condiciones!$F$1)))</f>
        <v>0</v>
      </c>
      <c r="AJ32" s="87">
        <f t="shared" ca="1" si="57"/>
        <v>0</v>
      </c>
      <c r="AK32" s="87">
        <f>IF(ISERROR(INDEX(PAGADO!$F$2:$R$321,MATCH(CONCATENATE($B$30,"Aportes Manuales"),PAGADO!$E$2:$E$321,0),MATCH($D32,PAGADO!$F$1:$Q$1,0))),0,INDEX(PAGADO!$F$2:$R$321,MATCH(CONCATENATE($B$30,"Aportes Manuales"),PAGADO!$E$2:$E$321,0),MATCH($D32,PAGADO!$F$1:$Q$1,0)))</f>
        <v>0</v>
      </c>
      <c r="AL32" s="87">
        <f t="shared" ca="1" si="58"/>
        <v>0</v>
      </c>
      <c r="AM32" s="68"/>
      <c r="AN32" s="87">
        <f t="shared" ca="1" si="40"/>
        <v>11981932.75</v>
      </c>
      <c r="AO32" s="87">
        <f t="shared" si="41"/>
        <v>0</v>
      </c>
      <c r="AP32" s="87">
        <f t="shared" ca="1" si="42"/>
        <v>11981932.75</v>
      </c>
    </row>
    <row r="33" spans="2:42">
      <c r="B33" s="122"/>
      <c r="C33" s="82">
        <f>DATE($B$2,4,1)</f>
        <v>45748</v>
      </c>
      <c r="D33" s="83" t="str">
        <f t="shared" si="43"/>
        <v>202504</v>
      </c>
      <c r="E33" s="84">
        <f ca="1">IF(ISERROR(INDEX(IV_Compras_Totales_Base!$E$2:$P$300,MATCH(INDIRECT(ADDRESS(4+13*QUOTIENT(ROW()-3,13),2,1,1)),IV_Compras_Totales_Base!$C$2:$C$300,0),MATCH($D33,IV_Compras_Totales_Base!$E$1:$P$1,0))),0,INDEX(IV_Compras_Totales_Base!$E$2:$P$300,MATCH(INDIRECT(ADDRESS(4+13*QUOTIENT(ROW()-3,13),2,1,1)),IV_Compras_Totales_Base!$C$2:$C$300,0),MATCH($D33,IV_Compras_Totales_Base!$E$1:$P$1,0)))</f>
        <v>50688350</v>
      </c>
      <c r="F33" s="84">
        <f ca="1">IF(ISERROR(INDEX(V_Compras_Logistica_Base!$E$2:$P$300,MATCH(INDIRECT(ADDRESS(4+13*QUOTIENT(ROW()-3,13),2,1,1)),V_Compras_Logistica_Base!$C$2:$C$300,0),MATCH($D33,V_Compras_Logistica_Base!$E$1:$P$1,0))),0,INDEX(V_Compras_Logistica_Base!$E$2:$P$300,MATCH(INDIRECT(ADDRESS(4+13*QUOTIENT(ROW()-3,13),2,1,1)),V_Compras_Logistica_Base!$C$2:$C$300,0),MATCH($D33,V_Compras_Logistica_Base!$E$1:$P$1,0)))</f>
        <v>0</v>
      </c>
      <c r="G33" s="85">
        <f ca="1">INDIRECT("Condiciones!"&amp;ADDRESS(VLOOKUP(G$2,Saltos,2,FALSE)+8*QUOTIENT((ROW()-3),13),MOD(ROW()-3,13)+COLUMN(Condiciones!$F$1)))</f>
        <v>0</v>
      </c>
      <c r="H33" s="86">
        <f>'Base de Calculo'!E23</f>
        <v>2234688.4000000004</v>
      </c>
      <c r="I33" s="87">
        <f>IF(ISERROR(INDEX(PAGADO!$F$2:$R$321,MATCH(CONCATENATE($B$30,"Publicidad"),PAGADO!$E$2:$E$321,0),MATCH($D33,PAGADO!$F$1:$Q$1,0))),0,INDEX(PAGADO!$F$2:$R$321,MATCH(CONCATENATE($B$30,"Publicidad"),PAGADO!$E$2:$E$321,0),MATCH($D33,PAGADO!$F$1:$Q$1,0)))</f>
        <v>-10538970</v>
      </c>
      <c r="J33" s="87">
        <f t="shared" si="44"/>
        <v>-8304281.5999999996</v>
      </c>
      <c r="K33" s="85">
        <f ca="1">INDIRECT("Condiciones!"&amp;ADDRESS(VLOOKUP(K$2,Saltos,2,FALSE)+8*QUOTIENT((ROW()-3),13),MOD(ROW()-3,13)+COLUMN(Condiciones!$F$1)))</f>
        <v>0</v>
      </c>
      <c r="L33" s="88">
        <f t="shared" ca="1" si="45"/>
        <v>0</v>
      </c>
      <c r="M33" s="87">
        <f>IF(ISERROR(INDEX(PAGADO!$F$2:$R$321,MATCH(CONCATENATE($B$30,"Logistica"),PAGADO!$E$2:$E$321,0),MATCH($D33,PAGADO!$F$1:$Q$1,0))),0,INDEX(PAGADO!$F$2:$R$321,MATCH(CONCATENATE($B$30,"Logistica"),PAGADO!$E$2:$E$321,0),MATCH($D33,PAGADO!$F$1:$Q$1,0)))</f>
        <v>0</v>
      </c>
      <c r="N33" s="87">
        <f t="shared" ca="1" si="46"/>
        <v>0</v>
      </c>
      <c r="O33" s="85">
        <f ca="1">INDIRECT("Condiciones!"&amp;ADDRESS(VLOOKUP(O$2,Saltos,2,FALSE)+8*QUOTIENT((ROW()-3),13),MOD(ROW()-3,13)+COLUMN(Condiciones!$F$1)))</f>
        <v>0</v>
      </c>
      <c r="P33" s="87">
        <f t="shared" ca="1" si="47"/>
        <v>0</v>
      </c>
      <c r="Q33" s="88">
        <f>IF(ISERROR(INDEX(PAGADO!$F$2:$R$321,MATCH(CONCATENATE($B$30,"Centralizada"),PAGADO!$E$2:$E$321,0),MATCH($D33,PAGADO!$F$1:$Q$1,0))),0,INDEX(PAGADO!$F$2:$R$321,MATCH(CONCATENATE($B$30,"Centralizada"),PAGADO!$E$2:$E$321,0),MATCH($D33,PAGADO!$F$1:$Q$1,0)))</f>
        <v>0</v>
      </c>
      <c r="R33" s="87">
        <f t="shared" ca="1" si="48"/>
        <v>0</v>
      </c>
      <c r="S33" s="85">
        <f ca="1">INDIRECT("Condiciones!"&amp;ADDRESS(VLOOKUP(S$2,Saltos,2,FALSE)+8*QUOTIENT((ROW()-3),13),MOD(ROW()-3,13)+COLUMN(Condiciones!$F$1)))</f>
        <v>0</v>
      </c>
      <c r="T33" s="87">
        <f t="shared" ca="1" si="49"/>
        <v>0</v>
      </c>
      <c r="U33" s="87">
        <f>IF(ISERROR(INDEX(PAGADO!$F$2:$R$321,MATCH(CONCATENATE($B$30,"Escala Crecimiento"),PAGADO!$E$2:$E$321,0),MATCH($D33,PAGADO!$F$1:$Q$1,0))),0,INDEX(PAGADO!$F$2:$R$321,MATCH(CONCATENATE($B$30,"Escala Crecimiento"),PAGADO!$E$2:$E$321,0),MATCH($D33,PAGADO!$F$1:$Q$1,0)))</f>
        <v>0</v>
      </c>
      <c r="V33" s="87">
        <f t="shared" ca="1" si="50"/>
        <v>0</v>
      </c>
      <c r="W33" s="85">
        <f ca="1">INDIRECT("Condiciones!"&amp;ADDRESS(VLOOKUP(W$2,Saltos,2,FALSE)+8*QUOTIENT((ROW()-3),13),MOD(ROW()-3,13)+COLUMN(Condiciones!$F$1)))</f>
        <v>0</v>
      </c>
      <c r="X33" s="87">
        <f t="shared" ca="1" si="51"/>
        <v>0</v>
      </c>
      <c r="Y33" s="87">
        <f>IF(ISERROR(INDEX(PAGADO!$F$2:$R$321,MATCH(CONCATENATE($B$30,"Escala Fija"),PAGADO!$E$2:$E$321,0),MATCH($D33,PAGADO!$F$1:$Q$1,0))),0,INDEX(PAGADO!$F$2:$R$321,MATCH(CONCATENATE($B$30,"Escala Fija"),PAGADO!$E$2:$E$321,0),MATCH($D33,PAGADO!$F$1:$Q$1,0)))</f>
        <v>-1608646</v>
      </c>
      <c r="Z33" s="87">
        <f t="shared" ca="1" si="52"/>
        <v>-1608646</v>
      </c>
      <c r="AA33" s="85">
        <f ca="1">INDIRECT("Condiciones!"&amp;ADDRESS(VLOOKUP(AA$2,Saltos,2,FALSE)+8*QUOTIENT((ROW()-3),13),MOD(ROW()-3,13)+COLUMN(Condiciones!$F$1)))</f>
        <v>0</v>
      </c>
      <c r="AB33" s="87">
        <f t="shared" ca="1" si="53"/>
        <v>0</v>
      </c>
      <c r="AC33" s="87">
        <f>IF(ISERROR(INDEX(PAGADO!$F$2:$R$321,MATCH(CONCATENATE($B$30,"Devoluciones"),PAGADO!$E$2:$E$321,0),MATCH($D33,PAGADO!$F$1:$Q$1,0))),0,INDEX(PAGADO!$F$2:$R$321,MATCH(CONCATENATE($B$30,"Devoluciones"),PAGADO!$E$2:$E$321,0),MATCH($D33,PAGADO!$F$1:$Q$1,0)))</f>
        <v>0</v>
      </c>
      <c r="AD33" s="87">
        <f t="shared" ca="1" si="54"/>
        <v>0</v>
      </c>
      <c r="AE33" s="85">
        <f ca="1">INDIRECT("Condiciones!"&amp;ADDRESS(VLOOKUP(AE$2,Saltos,2,FALSE)+8*QUOTIENT((ROW()-3),13),MOD(ROW()-3,13)+COLUMN(Condiciones!$F$1)))</f>
        <v>0</v>
      </c>
      <c r="AF33" s="87">
        <f t="shared" ca="1" si="55"/>
        <v>0</v>
      </c>
      <c r="AG33" s="87">
        <f>IF(ISERROR(INDEX(PAGADO!$F$2:$R$321,MATCH(CONCATENATE($B$30,"Otros"),PAGADO!$E$2:$E$321,0),MATCH($D33,PAGADO!$F$1:$Q$1,0))),0,INDEX(PAGADO!$F$2:$R$321,MATCH(CONCATENATE($B$30,"Otros"),PAGADO!$E$2:$E$321,0),MATCH($D33,PAGADO!$F$1:$Q$1,0)))</f>
        <v>0</v>
      </c>
      <c r="AH33" s="87">
        <f t="shared" ca="1" si="56"/>
        <v>0</v>
      </c>
      <c r="AI33" s="85">
        <f ca="1">INDIRECT("Condiciones!"&amp;ADDRESS(VLOOKUP(AI$2,Saltos,2,FALSE)+8*QUOTIENT((ROW()-3),13),MOD(ROW()-3,13)+COLUMN(Condiciones!$F$1)))</f>
        <v>0</v>
      </c>
      <c r="AJ33" s="87">
        <f t="shared" ca="1" si="57"/>
        <v>0</v>
      </c>
      <c r="AK33" s="87">
        <f>IF(ISERROR(INDEX(PAGADO!$F$2:$R$321,MATCH(CONCATENATE($B$30,"Aportes Manuales"),PAGADO!$E$2:$E$321,0),MATCH($D33,PAGADO!$F$1:$Q$1,0))),0,INDEX(PAGADO!$F$2:$R$321,MATCH(CONCATENATE($B$30,"Aportes Manuales"),PAGADO!$E$2:$E$321,0),MATCH($D33,PAGADO!$F$1:$Q$1,0)))</f>
        <v>1475588</v>
      </c>
      <c r="AL33" s="87">
        <f t="shared" ca="1" si="58"/>
        <v>1475588</v>
      </c>
      <c r="AM33" s="68"/>
      <c r="AN33" s="87">
        <f t="shared" ca="1" si="40"/>
        <v>2234688.4000000004</v>
      </c>
      <c r="AO33" s="87">
        <f t="shared" si="41"/>
        <v>-10672028</v>
      </c>
      <c r="AP33" s="87">
        <f t="shared" ca="1" si="42"/>
        <v>-8437339.5999999996</v>
      </c>
    </row>
    <row r="34" spans="2:42">
      <c r="B34" s="122"/>
      <c r="C34" s="82">
        <f>DATE($B$2,6,)</f>
        <v>45808</v>
      </c>
      <c r="D34" s="83" t="str">
        <f t="shared" si="43"/>
        <v>202505</v>
      </c>
      <c r="E34" s="84">
        <f ca="1">IF(ISERROR(INDEX(IV_Compras_Totales_Base!$E$2:$P$300,MATCH(INDIRECT(ADDRESS(4+13*QUOTIENT(ROW()-3,13),2,1,1)),IV_Compras_Totales_Base!$C$2:$C$300,0),MATCH($D34,IV_Compras_Totales_Base!$E$1:$P$1,0))),0,INDEX(IV_Compras_Totales_Base!$E$2:$P$300,MATCH(INDIRECT(ADDRESS(4+13*QUOTIENT(ROW()-3,13),2,1,1)),IV_Compras_Totales_Base!$C$2:$C$300,0),MATCH($D34,IV_Compras_Totales_Base!$E$1:$P$1,0)))</f>
        <v>38162448</v>
      </c>
      <c r="F34" s="84">
        <f ca="1">IF(ISERROR(INDEX(V_Compras_Logistica_Base!$E$2:$P$300,MATCH(INDIRECT(ADDRESS(4+13*QUOTIENT(ROW()-3,13),2,1,1)),V_Compras_Logistica_Base!$C$2:$C$300,0),MATCH($D34,V_Compras_Logistica_Base!$E$1:$P$1,0))),0,INDEX(V_Compras_Logistica_Base!$E$2:$P$300,MATCH(INDIRECT(ADDRESS(4+13*QUOTIENT(ROW()-3,13),2,1,1)),V_Compras_Logistica_Base!$C$2:$C$300,0),MATCH($D34,V_Compras_Logistica_Base!$E$1:$P$1,0)))</f>
        <v>0</v>
      </c>
      <c r="G34" s="85">
        <f ca="1">INDIRECT("Condiciones!"&amp;ADDRESS(VLOOKUP(G$2,Saltos,2,FALSE)+8*QUOTIENT((ROW()-3),13),MOD(ROW()-3,13)+COLUMN(Condiciones!$F$1)))</f>
        <v>0</v>
      </c>
      <c r="H34" s="86">
        <f>'Base de Calculo'!F23</f>
        <v>1552013.4000000001</v>
      </c>
      <c r="I34" s="87">
        <f>IF(ISERROR(INDEX(PAGADO!$F$2:$R$321,MATCH(CONCATENATE($B$30,"Publicidad"),PAGADO!$E$2:$E$321,0),MATCH($D34,PAGADO!$F$1:$Q$1,0))),0,INDEX(PAGADO!$F$2:$R$321,MATCH(CONCATENATE($B$30,"Publicidad"),PAGADO!$E$2:$E$321,0),MATCH($D34,PAGADO!$F$1:$Q$1,0)))</f>
        <v>-12234236</v>
      </c>
      <c r="J34" s="87">
        <f t="shared" si="44"/>
        <v>-10682222.6</v>
      </c>
      <c r="K34" s="85">
        <f ca="1">INDIRECT("Condiciones!"&amp;ADDRESS(VLOOKUP(K$2,Saltos,2,FALSE)+8*QUOTIENT((ROW()-3),13),MOD(ROW()-3,13)+COLUMN(Condiciones!$F$1)))</f>
        <v>0</v>
      </c>
      <c r="L34" s="88">
        <f t="shared" ca="1" si="45"/>
        <v>0</v>
      </c>
      <c r="M34" s="87">
        <f>IF(ISERROR(INDEX(PAGADO!$F$2:$R$321,MATCH(CONCATENATE($B$30,"Logistica"),PAGADO!$E$2:$E$321,0),MATCH($D34,PAGADO!$F$1:$Q$1,0))),0,INDEX(PAGADO!$F$2:$R$321,MATCH(CONCATENATE($B$30,"Logistica"),PAGADO!$E$2:$E$321,0),MATCH($D34,PAGADO!$F$1:$Q$1,0)))</f>
        <v>0</v>
      </c>
      <c r="N34" s="87">
        <f t="shared" ca="1" si="46"/>
        <v>0</v>
      </c>
      <c r="O34" s="85">
        <f ca="1">INDIRECT("Condiciones!"&amp;ADDRESS(VLOOKUP(O$2,Saltos,2,FALSE)+8*QUOTIENT((ROW()-3),13),MOD(ROW()-3,13)+COLUMN(Condiciones!$F$1)))</f>
        <v>0</v>
      </c>
      <c r="P34" s="87">
        <f t="shared" ca="1" si="47"/>
        <v>0</v>
      </c>
      <c r="Q34" s="88">
        <f>IF(ISERROR(INDEX(PAGADO!$F$2:$R$321,MATCH(CONCATENATE($B$30,"Centralizada"),PAGADO!$E$2:$E$321,0),MATCH($D34,PAGADO!$F$1:$Q$1,0))),0,INDEX(PAGADO!$F$2:$R$321,MATCH(CONCATENATE($B$30,"Centralizada"),PAGADO!$E$2:$E$321,0),MATCH($D34,PAGADO!$F$1:$Q$1,0)))</f>
        <v>0</v>
      </c>
      <c r="R34" s="87">
        <f t="shared" ca="1" si="48"/>
        <v>0</v>
      </c>
      <c r="S34" s="85">
        <f ca="1">INDIRECT("Condiciones!"&amp;ADDRESS(VLOOKUP(S$2,Saltos,2,FALSE)+8*QUOTIENT((ROW()-3),13),MOD(ROW()-3,13)+COLUMN(Condiciones!$F$1)))</f>
        <v>0</v>
      </c>
      <c r="T34" s="87">
        <f t="shared" ca="1" si="49"/>
        <v>0</v>
      </c>
      <c r="U34" s="87">
        <f>IF(ISERROR(INDEX(PAGADO!$F$2:$R$321,MATCH(CONCATENATE($B$30,"Escala Crecimiento"),PAGADO!$E$2:$E$321,0),MATCH($D34,PAGADO!$F$1:$Q$1,0))),0,INDEX(PAGADO!$F$2:$R$321,MATCH(CONCATENATE($B$30,"Escala Crecimiento"),PAGADO!$E$2:$E$321,0),MATCH($D34,PAGADO!$F$1:$Q$1,0)))</f>
        <v>0</v>
      </c>
      <c r="V34" s="87">
        <f t="shared" ca="1" si="50"/>
        <v>0</v>
      </c>
      <c r="W34" s="85">
        <f ca="1">INDIRECT("Condiciones!"&amp;ADDRESS(VLOOKUP(W$2,Saltos,2,FALSE)+8*QUOTIENT((ROW()-3),13),MOD(ROW()-3,13)+COLUMN(Condiciones!$F$1)))</f>
        <v>0</v>
      </c>
      <c r="X34" s="87">
        <f t="shared" ca="1" si="51"/>
        <v>0</v>
      </c>
      <c r="Y34" s="87">
        <f>IF(ISERROR(INDEX(PAGADO!$F$2:$R$321,MATCH(CONCATENATE($B$30,"Escala Fija"),PAGADO!$E$2:$E$321,0),MATCH($D34,PAGADO!$F$1:$Q$1,0))),0,INDEX(PAGADO!$F$2:$R$321,MATCH(CONCATENATE($B$30,"Escala Fija"),PAGADO!$E$2:$E$321,0),MATCH($D34,PAGADO!$F$1:$Q$1,0)))</f>
        <v>-5136871</v>
      </c>
      <c r="Z34" s="87">
        <f t="shared" ca="1" si="52"/>
        <v>-5136871</v>
      </c>
      <c r="AA34" s="85">
        <f ca="1">INDIRECT("Condiciones!"&amp;ADDRESS(VLOOKUP(AA$2,Saltos,2,FALSE)+8*QUOTIENT((ROW()-3),13),MOD(ROW()-3,13)+COLUMN(Condiciones!$F$1)))</f>
        <v>0</v>
      </c>
      <c r="AB34" s="87">
        <f t="shared" ca="1" si="53"/>
        <v>0</v>
      </c>
      <c r="AC34" s="87">
        <f>IF(ISERROR(INDEX(PAGADO!$F$2:$R$321,MATCH(CONCATENATE($B$30,"Devoluciones"),PAGADO!$E$2:$E$321,0),MATCH($D34,PAGADO!$F$1:$Q$1,0))),0,INDEX(PAGADO!$F$2:$R$321,MATCH(CONCATENATE($B$30,"Devoluciones"),PAGADO!$E$2:$E$321,0),MATCH($D34,PAGADO!$F$1:$Q$1,0)))</f>
        <v>0</v>
      </c>
      <c r="AD34" s="87">
        <f t="shared" ca="1" si="54"/>
        <v>0</v>
      </c>
      <c r="AE34" s="85">
        <f ca="1">INDIRECT("Condiciones!"&amp;ADDRESS(VLOOKUP(AE$2,Saltos,2,FALSE)+8*QUOTIENT((ROW()-3),13),MOD(ROW()-3,13)+COLUMN(Condiciones!$F$1)))</f>
        <v>0</v>
      </c>
      <c r="AF34" s="87">
        <f t="shared" ca="1" si="55"/>
        <v>0</v>
      </c>
      <c r="AG34" s="87">
        <f>IF(ISERROR(INDEX(PAGADO!$F$2:$R$321,MATCH(CONCATENATE($B$30,"Otros"),PAGADO!$E$2:$E$321,0),MATCH($D34,PAGADO!$F$1:$Q$1,0))),0,INDEX(PAGADO!$F$2:$R$321,MATCH(CONCATENATE($B$30,"Otros"),PAGADO!$E$2:$E$321,0),MATCH($D34,PAGADO!$F$1:$Q$1,0)))</f>
        <v>0</v>
      </c>
      <c r="AH34" s="87">
        <f t="shared" ca="1" si="56"/>
        <v>0</v>
      </c>
      <c r="AI34" s="85">
        <f ca="1">INDIRECT("Condiciones!"&amp;ADDRESS(VLOOKUP(AI$2,Saltos,2,FALSE)+8*QUOTIENT((ROW()-3),13),MOD(ROW()-3,13)+COLUMN(Condiciones!$F$1)))</f>
        <v>0</v>
      </c>
      <c r="AJ34" s="87">
        <f t="shared" ca="1" si="57"/>
        <v>0</v>
      </c>
      <c r="AK34" s="87">
        <f>IF(ISERROR(INDEX(PAGADO!$F$2:$R$321,MATCH(CONCATENATE($B$30,"Aportes Manuales"),PAGADO!$E$2:$E$321,0),MATCH($D34,PAGADO!$F$1:$Q$1,0))),0,INDEX(PAGADO!$F$2:$R$321,MATCH(CONCATENATE($B$30,"Aportes Manuales"),PAGADO!$E$2:$E$321,0),MATCH($D34,PAGADO!$F$1:$Q$1,0)))</f>
        <v>-167891</v>
      </c>
      <c r="AL34" s="87">
        <f t="shared" ca="1" si="58"/>
        <v>-167891</v>
      </c>
      <c r="AM34" s="68"/>
      <c r="AN34" s="87">
        <f t="shared" ca="1" si="40"/>
        <v>1552013.4000000001</v>
      </c>
      <c r="AO34" s="87">
        <f t="shared" si="41"/>
        <v>-17538998</v>
      </c>
      <c r="AP34" s="87">
        <f t="shared" ca="1" si="42"/>
        <v>-15986984.6</v>
      </c>
    </row>
    <row r="35" spans="2:42">
      <c r="B35" s="122"/>
      <c r="C35" s="82">
        <f>DATE($B$2,6,1)</f>
        <v>45809</v>
      </c>
      <c r="D35" s="83" t="str">
        <f t="shared" si="43"/>
        <v>202506</v>
      </c>
      <c r="E35" s="84">
        <f ca="1">IF(ISERROR(INDEX(IV_Compras_Totales_Base!$E$2:$P$300,MATCH(INDIRECT(ADDRESS(4+13*QUOTIENT(ROW()-3,13),2,1,1)),IV_Compras_Totales_Base!$C$2:$C$300,0),MATCH($D35,IV_Compras_Totales_Base!$E$1:$P$1,0))),0,INDEX(IV_Compras_Totales_Base!$E$2:$P$300,MATCH(INDIRECT(ADDRESS(4+13*QUOTIENT(ROW()-3,13),2,1,1)),IV_Compras_Totales_Base!$C$2:$C$300,0),MATCH($D35,IV_Compras_Totales_Base!$E$1:$P$1,0)))</f>
        <v>109587065</v>
      </c>
      <c r="F35" s="84">
        <f ca="1">IF(ISERROR(INDEX(V_Compras_Logistica_Base!$E$2:$P$300,MATCH(INDIRECT(ADDRESS(4+13*QUOTIENT(ROW()-3,13),2,1,1)),V_Compras_Logistica_Base!$C$2:$C$300,0),MATCH($D35,V_Compras_Logistica_Base!$E$1:$P$1,0))),0,INDEX(V_Compras_Logistica_Base!$E$2:$P$300,MATCH(INDIRECT(ADDRESS(4+13*QUOTIENT(ROW()-3,13),2,1,1)),V_Compras_Logistica_Base!$C$2:$C$300,0),MATCH($D35,V_Compras_Logistica_Base!$E$1:$P$1,0)))</f>
        <v>0</v>
      </c>
      <c r="G35" s="85">
        <f ca="1">INDIRECT("Condiciones!"&amp;ADDRESS(VLOOKUP(G$2,Saltos,2,FALSE)+8*QUOTIENT((ROW()-3),13),MOD(ROW()-3,13)+COLUMN(Condiciones!$F$1)))</f>
        <v>0</v>
      </c>
      <c r="H35" s="86">
        <f>'Base de Calculo'!G23</f>
        <v>7117062.9100000011</v>
      </c>
      <c r="I35" s="87">
        <f>IF(ISERROR(INDEX(PAGADO!$F$2:$R$321,MATCH(CONCATENATE($B$30,"Publicidad"),PAGADO!$E$2:$E$321,0),MATCH($D35,PAGADO!$F$1:$Q$1,0))),0,INDEX(PAGADO!$F$2:$R$321,MATCH(CONCATENATE($B$30,"Publicidad"),PAGADO!$E$2:$E$321,0),MATCH($D35,PAGADO!$F$1:$Q$1,0)))</f>
        <v>-5277009</v>
      </c>
      <c r="J35" s="87">
        <f t="shared" si="44"/>
        <v>1840053.9100000011</v>
      </c>
      <c r="K35" s="85">
        <f ca="1">INDIRECT("Condiciones!"&amp;ADDRESS(VLOOKUP(K$2,Saltos,2,FALSE)+8*QUOTIENT((ROW()-3),13),MOD(ROW()-3,13)+COLUMN(Condiciones!$F$1)))</f>
        <v>0</v>
      </c>
      <c r="L35" s="88">
        <f t="shared" ca="1" si="45"/>
        <v>0</v>
      </c>
      <c r="M35" s="87">
        <f>IF(ISERROR(INDEX(PAGADO!$F$2:$R$321,MATCH(CONCATENATE($B$30,"Logistica"),PAGADO!$E$2:$E$321,0),MATCH($D35,PAGADO!$F$1:$Q$1,0))),0,INDEX(PAGADO!$F$2:$R$321,MATCH(CONCATENATE($B$30,"Logistica"),PAGADO!$E$2:$E$321,0),MATCH($D35,PAGADO!$F$1:$Q$1,0)))</f>
        <v>0</v>
      </c>
      <c r="N35" s="87">
        <f t="shared" ca="1" si="46"/>
        <v>0</v>
      </c>
      <c r="O35" s="85">
        <f ca="1">INDIRECT("Condiciones!"&amp;ADDRESS(VLOOKUP(O$2,Saltos,2,FALSE)+8*QUOTIENT((ROW()-3),13),MOD(ROW()-3,13)+COLUMN(Condiciones!$F$1)))</f>
        <v>0</v>
      </c>
      <c r="P35" s="87">
        <f t="shared" ca="1" si="47"/>
        <v>0</v>
      </c>
      <c r="Q35" s="88">
        <f>IF(ISERROR(INDEX(PAGADO!$F$2:$R$321,MATCH(CONCATENATE($B$30,"Centralizada"),PAGADO!$E$2:$E$321,0),MATCH($D35,PAGADO!$F$1:$Q$1,0))),0,INDEX(PAGADO!$F$2:$R$321,MATCH(CONCATENATE($B$30,"Centralizada"),PAGADO!$E$2:$E$321,0),MATCH($D35,PAGADO!$F$1:$Q$1,0)))</f>
        <v>0</v>
      </c>
      <c r="R35" s="87">
        <f t="shared" ca="1" si="48"/>
        <v>0</v>
      </c>
      <c r="S35" s="85">
        <f ca="1">INDIRECT("Condiciones!"&amp;ADDRESS(VLOOKUP(S$2,Saltos,2,FALSE)+8*QUOTIENT((ROW()-3),13),MOD(ROW()-3,13)+COLUMN(Condiciones!$F$1)))</f>
        <v>0</v>
      </c>
      <c r="T35" s="87">
        <f t="shared" ca="1" si="49"/>
        <v>0</v>
      </c>
      <c r="U35" s="87">
        <f>IF(ISERROR(INDEX(PAGADO!$F$2:$R$321,MATCH(CONCATENATE($B$30,"Escala Crecimiento"),PAGADO!$E$2:$E$321,0),MATCH($D35,PAGADO!$F$1:$Q$1,0))),0,INDEX(PAGADO!$F$2:$R$321,MATCH(CONCATENATE($B$30,"Escala Crecimiento"),PAGADO!$E$2:$E$321,0),MATCH($D35,PAGADO!$F$1:$Q$1,0)))</f>
        <v>0</v>
      </c>
      <c r="V35" s="87">
        <f t="shared" ca="1" si="50"/>
        <v>0</v>
      </c>
      <c r="W35" s="85">
        <f ca="1">INDIRECT("Condiciones!"&amp;ADDRESS(VLOOKUP(W$2,Saltos,2,FALSE)+8*QUOTIENT((ROW()-3),13),MOD(ROW()-3,13)+COLUMN(Condiciones!$F$1)))</f>
        <v>0</v>
      </c>
      <c r="X35" s="87">
        <f t="shared" ca="1" si="51"/>
        <v>0</v>
      </c>
      <c r="Y35" s="87">
        <f>IF(ISERROR(INDEX(PAGADO!$F$2:$R$321,MATCH(CONCATENATE($B$30,"Escala Fija"),PAGADO!$E$2:$E$321,0),MATCH($D35,PAGADO!$F$1:$Q$1,0))),0,INDEX(PAGADO!$F$2:$R$321,MATCH(CONCATENATE($B$30,"Escala Fija"),PAGADO!$E$2:$E$321,0),MATCH($D35,PAGADO!$F$1:$Q$1,0)))</f>
        <v>-2216861</v>
      </c>
      <c r="Z35" s="87">
        <f t="shared" ca="1" si="52"/>
        <v>-2216861</v>
      </c>
      <c r="AA35" s="85">
        <f ca="1">INDIRECT("Condiciones!"&amp;ADDRESS(VLOOKUP(AA$2,Saltos,2,FALSE)+8*QUOTIENT((ROW()-3),13),MOD(ROW()-3,13)+COLUMN(Condiciones!$F$1)))</f>
        <v>0</v>
      </c>
      <c r="AB35" s="87">
        <f t="shared" ca="1" si="53"/>
        <v>0</v>
      </c>
      <c r="AC35" s="87">
        <f>IF(ISERROR(INDEX(PAGADO!$F$2:$R$321,MATCH(CONCATENATE($B$30,"Devoluciones"),PAGADO!$E$2:$E$321,0),MATCH($D35,PAGADO!$F$1:$Q$1,0))),0,INDEX(PAGADO!$F$2:$R$321,MATCH(CONCATENATE($B$30,"Devoluciones"),PAGADO!$E$2:$E$321,0),MATCH($D35,PAGADO!$F$1:$Q$1,0)))</f>
        <v>0</v>
      </c>
      <c r="AD35" s="87">
        <f t="shared" ca="1" si="54"/>
        <v>0</v>
      </c>
      <c r="AE35" s="85">
        <f ca="1">INDIRECT("Condiciones!"&amp;ADDRESS(VLOOKUP(AE$2,Saltos,2,FALSE)+8*QUOTIENT((ROW()-3),13),MOD(ROW()-3,13)+COLUMN(Condiciones!$F$1)))</f>
        <v>0</v>
      </c>
      <c r="AF35" s="87">
        <f t="shared" ca="1" si="55"/>
        <v>0</v>
      </c>
      <c r="AG35" s="87">
        <f>IF(ISERROR(INDEX(PAGADO!$F$2:$R$321,MATCH(CONCATENATE($B$30,"Otros"),PAGADO!$E$2:$E$321,0),MATCH($D35,PAGADO!$F$1:$Q$1,0))),0,INDEX(PAGADO!$F$2:$R$321,MATCH(CONCATENATE($B$30,"Otros"),PAGADO!$E$2:$E$321,0),MATCH($D35,PAGADO!$F$1:$Q$1,0)))</f>
        <v>0</v>
      </c>
      <c r="AH35" s="87">
        <f t="shared" ca="1" si="56"/>
        <v>0</v>
      </c>
      <c r="AI35" s="85">
        <f ca="1">INDIRECT("Condiciones!"&amp;ADDRESS(VLOOKUP(AI$2,Saltos,2,FALSE)+8*QUOTIENT((ROW()-3),13),MOD(ROW()-3,13)+COLUMN(Condiciones!$F$1)))</f>
        <v>0</v>
      </c>
      <c r="AJ35" s="87">
        <f t="shared" ca="1" si="57"/>
        <v>0</v>
      </c>
      <c r="AK35" s="87">
        <f>IF(ISERROR(INDEX(PAGADO!$F$2:$R$321,MATCH(CONCATENATE($B$30,"Aportes Manuales"),PAGADO!$E$2:$E$321,0),MATCH($D35,PAGADO!$F$1:$Q$1,0))),0,INDEX(PAGADO!$F$2:$R$321,MATCH(CONCATENATE($B$30,"Aportes Manuales"),PAGADO!$E$2:$E$321,0),MATCH($D35,PAGADO!$F$1:$Q$1,0)))</f>
        <v>-425398</v>
      </c>
      <c r="AL35" s="87">
        <f t="shared" ca="1" si="58"/>
        <v>-425398</v>
      </c>
      <c r="AM35" s="68"/>
      <c r="AN35" s="87">
        <f t="shared" ca="1" si="40"/>
        <v>7117062.9100000011</v>
      </c>
      <c r="AO35" s="87">
        <f t="shared" si="41"/>
        <v>-7919268</v>
      </c>
      <c r="AP35" s="87">
        <f t="shared" ca="1" si="42"/>
        <v>-802205.08999999892</v>
      </c>
    </row>
    <row r="36" spans="2:42">
      <c r="B36" s="122"/>
      <c r="C36" s="82">
        <f>DATE($B$2,7,1)</f>
        <v>45839</v>
      </c>
      <c r="D36" s="83" t="str">
        <f t="shared" si="43"/>
        <v>202507</v>
      </c>
      <c r="E36" s="84">
        <f ca="1">IF(ISERROR(INDEX(IV_Compras_Totales_Base!$E$2:$P$300,MATCH(INDIRECT(ADDRESS(4+13*QUOTIENT(ROW()-3,13),2,1,1)),IV_Compras_Totales_Base!$C$2:$C$300,0),MATCH($D36,IV_Compras_Totales_Base!$E$1:$P$1,0))),0,INDEX(IV_Compras_Totales_Base!$E$2:$P$300,MATCH(INDIRECT(ADDRESS(4+13*QUOTIENT(ROW()-3,13),2,1,1)),IV_Compras_Totales_Base!$C$2:$C$300,0),MATCH($D36,IV_Compras_Totales_Base!$E$1:$P$1,0)))</f>
        <v>118554634</v>
      </c>
      <c r="F36" s="84">
        <f ca="1">IF(ISERROR(INDEX(V_Compras_Logistica_Base!$E$2:$P$300,MATCH(INDIRECT(ADDRESS(4+13*QUOTIENT(ROW()-3,13),2,1,1)),V_Compras_Logistica_Base!$C$2:$C$300,0),MATCH($D36,V_Compras_Logistica_Base!$E$1:$P$1,0))),0,INDEX(V_Compras_Logistica_Base!$E$2:$P$300,MATCH(INDIRECT(ADDRESS(4+13*QUOTIENT(ROW()-3,13),2,1,1)),V_Compras_Logistica_Base!$C$2:$C$300,0),MATCH($D36,V_Compras_Logistica_Base!$E$1:$P$1,0)))</f>
        <v>0</v>
      </c>
      <c r="G36" s="85">
        <f ca="1">INDIRECT("Condiciones!"&amp;ADDRESS(VLOOKUP(G$2,Saltos,2,FALSE)+8*QUOTIENT((ROW()-3),13),MOD(ROW()-3,13)+COLUMN(Condiciones!$F$1)))</f>
        <v>0</v>
      </c>
      <c r="H36" s="86">
        <f>'Base de Calculo'!H23</f>
        <v>7385473.71</v>
      </c>
      <c r="I36" s="87">
        <f>IF(ISERROR(INDEX(PAGADO!$F$2:$R$321,MATCH(CONCATENATE($B$30,"Publicidad"),PAGADO!$E$2:$E$321,0),MATCH($D36,PAGADO!$F$1:$Q$1,0))),0,INDEX(PAGADO!$F$2:$R$321,MATCH(CONCATENATE($B$30,"Publicidad"),PAGADO!$E$2:$E$321,0),MATCH($D36,PAGADO!$F$1:$Q$1,0)))</f>
        <v>-7165158</v>
      </c>
      <c r="J36" s="87">
        <f t="shared" si="44"/>
        <v>220315.70999999996</v>
      </c>
      <c r="K36" s="85">
        <f ca="1">INDIRECT("Condiciones!"&amp;ADDRESS(VLOOKUP(K$2,Saltos,2,FALSE)+8*QUOTIENT((ROW()-3),13),MOD(ROW()-3,13)+COLUMN(Condiciones!$F$1)))</f>
        <v>0</v>
      </c>
      <c r="L36" s="88">
        <f t="shared" ca="1" si="45"/>
        <v>0</v>
      </c>
      <c r="M36" s="87">
        <f>IF(ISERROR(INDEX(PAGADO!$F$2:$R$321,MATCH(CONCATENATE($B$30,"Logistica"),PAGADO!$E$2:$E$321,0),MATCH($D36,PAGADO!$F$1:$Q$1,0))),0,INDEX(PAGADO!$F$2:$R$321,MATCH(CONCATENATE($B$30,"Logistica"),PAGADO!$E$2:$E$321,0),MATCH($D36,PAGADO!$F$1:$Q$1,0)))</f>
        <v>0</v>
      </c>
      <c r="N36" s="87">
        <f t="shared" ca="1" si="46"/>
        <v>0</v>
      </c>
      <c r="O36" s="85">
        <f ca="1">INDIRECT("Condiciones!"&amp;ADDRESS(VLOOKUP(O$2,Saltos,2,FALSE)+8*QUOTIENT((ROW()-3),13),MOD(ROW()-3,13)+COLUMN(Condiciones!$F$1)))</f>
        <v>0</v>
      </c>
      <c r="P36" s="87">
        <f t="shared" ca="1" si="47"/>
        <v>0</v>
      </c>
      <c r="Q36" s="88">
        <f>IF(ISERROR(INDEX(PAGADO!$F$2:$R$321,MATCH(CONCATENATE($B$30,"Centralizada"),PAGADO!$E$2:$E$321,0),MATCH($D36,PAGADO!$F$1:$Q$1,0))),0,INDEX(PAGADO!$F$2:$R$321,MATCH(CONCATENATE($B$30,"Centralizada"),PAGADO!$E$2:$E$321,0),MATCH($D36,PAGADO!$F$1:$Q$1,0)))</f>
        <v>0</v>
      </c>
      <c r="R36" s="87">
        <f t="shared" ca="1" si="48"/>
        <v>0</v>
      </c>
      <c r="S36" s="85">
        <f ca="1">INDIRECT("Condiciones!"&amp;ADDRESS(VLOOKUP(S$2,Saltos,2,FALSE)+8*QUOTIENT((ROW()-3),13),MOD(ROW()-3,13)+COLUMN(Condiciones!$F$1)))</f>
        <v>0</v>
      </c>
      <c r="T36" s="87">
        <f t="shared" ca="1" si="49"/>
        <v>0</v>
      </c>
      <c r="U36" s="87">
        <f>IF(ISERROR(INDEX(PAGADO!$F$2:$R$321,MATCH(CONCATENATE($B$30,"Escala Crecimiento"),PAGADO!$E$2:$E$321,0),MATCH($D36,PAGADO!$F$1:$Q$1,0))),0,INDEX(PAGADO!$F$2:$R$321,MATCH(CONCATENATE($B$30,"Escala Crecimiento"),PAGADO!$E$2:$E$321,0),MATCH($D36,PAGADO!$F$1:$Q$1,0)))</f>
        <v>0</v>
      </c>
      <c r="V36" s="87">
        <f t="shared" ca="1" si="50"/>
        <v>0</v>
      </c>
      <c r="W36" s="85">
        <f ca="1">INDIRECT("Condiciones!"&amp;ADDRESS(VLOOKUP(W$2,Saltos,2,FALSE)+8*QUOTIENT((ROW()-3),13),MOD(ROW()-3,13)+COLUMN(Condiciones!$F$1)))</f>
        <v>0</v>
      </c>
      <c r="X36" s="87">
        <f t="shared" ca="1" si="51"/>
        <v>0</v>
      </c>
      <c r="Y36" s="87">
        <f>IF(ISERROR(INDEX(PAGADO!$F$2:$R$321,MATCH(CONCATENATE($B$30,"Escala Fija"),PAGADO!$E$2:$E$321,0),MATCH($D36,PAGADO!$F$1:$Q$1,0))),0,INDEX(PAGADO!$F$2:$R$321,MATCH(CONCATENATE($B$30,"Escala Fija"),PAGADO!$E$2:$E$321,0),MATCH($D36,PAGADO!$F$1:$Q$1,0)))</f>
        <v>-1331508</v>
      </c>
      <c r="Z36" s="87">
        <f t="shared" ca="1" si="52"/>
        <v>-1331508</v>
      </c>
      <c r="AA36" s="85">
        <f ca="1">INDIRECT("Condiciones!"&amp;ADDRESS(VLOOKUP(AA$2,Saltos,2,FALSE)+8*QUOTIENT((ROW()-3),13),MOD(ROW()-3,13)+COLUMN(Condiciones!$F$1)))</f>
        <v>0</v>
      </c>
      <c r="AB36" s="87">
        <f t="shared" ca="1" si="53"/>
        <v>0</v>
      </c>
      <c r="AC36" s="87">
        <f>IF(ISERROR(INDEX(PAGADO!$F$2:$R$321,MATCH(CONCATENATE($B$30,"Devoluciones"),PAGADO!$E$2:$E$321,0),MATCH($D36,PAGADO!$F$1:$Q$1,0))),0,INDEX(PAGADO!$F$2:$R$321,MATCH(CONCATENATE($B$30,"Devoluciones"),PAGADO!$E$2:$E$321,0),MATCH($D36,PAGADO!$F$1:$Q$1,0)))</f>
        <v>0</v>
      </c>
      <c r="AD36" s="87">
        <f t="shared" ca="1" si="54"/>
        <v>0</v>
      </c>
      <c r="AE36" s="85">
        <f ca="1">INDIRECT("Condiciones!"&amp;ADDRESS(VLOOKUP(AE$2,Saltos,2,FALSE)+8*QUOTIENT((ROW()-3),13),MOD(ROW()-3,13)+COLUMN(Condiciones!$F$1)))</f>
        <v>0</v>
      </c>
      <c r="AF36" s="87">
        <f t="shared" ca="1" si="55"/>
        <v>0</v>
      </c>
      <c r="AG36" s="87">
        <f>IF(ISERROR(INDEX(PAGADO!$F$2:$R$321,MATCH(CONCATENATE($B$30,"Otros"),PAGADO!$E$2:$E$321,0),MATCH($D36,PAGADO!$F$1:$Q$1,0))),0,INDEX(PAGADO!$F$2:$R$321,MATCH(CONCATENATE($B$30,"Otros"),PAGADO!$E$2:$E$321,0),MATCH($D36,PAGADO!$F$1:$Q$1,0)))</f>
        <v>0</v>
      </c>
      <c r="AH36" s="87">
        <f t="shared" ca="1" si="56"/>
        <v>0</v>
      </c>
      <c r="AI36" s="85">
        <f ca="1">INDIRECT("Condiciones!"&amp;ADDRESS(VLOOKUP(AI$2,Saltos,2,FALSE)+8*QUOTIENT((ROW()-3),13),MOD(ROW()-3,13)+COLUMN(Condiciones!$F$1)))</f>
        <v>0</v>
      </c>
      <c r="AJ36" s="87">
        <f t="shared" ca="1" si="57"/>
        <v>0</v>
      </c>
      <c r="AK36" s="87">
        <f>IF(ISERROR(INDEX(PAGADO!$F$2:$R$321,MATCH(CONCATENATE($B$30,"Aportes Manuales"),PAGADO!$E$2:$E$321,0),MATCH($D36,PAGADO!$F$1:$Q$1,0))),0,INDEX(PAGADO!$F$2:$R$321,MATCH(CONCATENATE($B$30,"Aportes Manuales"),PAGADO!$E$2:$E$321,0),MATCH($D36,PAGADO!$F$1:$Q$1,0)))</f>
        <v>0</v>
      </c>
      <c r="AL36" s="87">
        <f t="shared" ca="1" si="58"/>
        <v>0</v>
      </c>
      <c r="AM36" s="68"/>
      <c r="AN36" s="87">
        <f t="shared" ca="1" si="40"/>
        <v>7385473.71</v>
      </c>
      <c r="AO36" s="87">
        <f t="shared" si="41"/>
        <v>-8496666</v>
      </c>
      <c r="AP36" s="87">
        <f t="shared" ca="1" si="42"/>
        <v>-1111192.29</v>
      </c>
    </row>
    <row r="37" spans="2:42">
      <c r="B37" s="122"/>
      <c r="C37" s="82">
        <f>DATE($B$2,8,1)</f>
        <v>45870</v>
      </c>
      <c r="D37" s="83" t="str">
        <f t="shared" si="43"/>
        <v>202508</v>
      </c>
      <c r="E37" s="84">
        <f ca="1">IF(ISERROR(INDEX(IV_Compras_Totales_Base!$E$2:$P$300,MATCH(INDIRECT(ADDRESS(4+13*QUOTIENT(ROW()-3,13),2,1,1)),IV_Compras_Totales_Base!$C$2:$C$300,0),MATCH($D37,IV_Compras_Totales_Base!$E$1:$P$1,0))),0,INDEX(IV_Compras_Totales_Base!$E$2:$P$300,MATCH(INDIRECT(ADDRESS(4+13*QUOTIENT(ROW()-3,13),2,1,1)),IV_Compras_Totales_Base!$C$2:$C$300,0),MATCH($D37,IV_Compras_Totales_Base!$E$1:$P$1,0)))</f>
        <v>212343917</v>
      </c>
      <c r="F37" s="84">
        <f ca="1">IF(ISERROR(INDEX(V_Compras_Logistica_Base!$E$2:$P$300,MATCH(INDIRECT(ADDRESS(4+13*QUOTIENT(ROW()-3,13),2,1,1)),V_Compras_Logistica_Base!$C$2:$C$300,0),MATCH($D37,V_Compras_Logistica_Base!$E$1:$P$1,0))),0,INDEX(V_Compras_Logistica_Base!$E$2:$P$300,MATCH(INDIRECT(ADDRESS(4+13*QUOTIENT(ROW()-3,13),2,1,1)),V_Compras_Logistica_Base!$C$2:$C$300,0),MATCH($D37,V_Compras_Logistica_Base!$E$1:$P$1,0)))</f>
        <v>0</v>
      </c>
      <c r="G37" s="85">
        <f ca="1">INDIRECT("Condiciones!"&amp;ADDRESS(VLOOKUP(G$2,Saltos,2,FALSE)+8*QUOTIENT((ROW()-3),13),MOD(ROW()-3,13)+COLUMN(Condiciones!$F$1)))</f>
        <v>0</v>
      </c>
      <c r="H37" s="86">
        <f>'Base de Calculo'!I23</f>
        <v>17269664.09</v>
      </c>
      <c r="I37" s="87">
        <f>IF(ISERROR(INDEX(PAGADO!$F$2:$R$321,MATCH(CONCATENATE($B$30,"Publicidad"),PAGADO!$E$2:$E$321,0),MATCH($D37,PAGADO!$F$1:$Q$1,0))),0,INDEX(PAGADO!$F$2:$R$321,MATCH(CONCATENATE($B$30,"Publicidad"),PAGADO!$E$2:$E$321,0),MATCH($D37,PAGADO!$F$1:$Q$1,0)))</f>
        <v>0</v>
      </c>
      <c r="J37" s="87">
        <f t="shared" si="44"/>
        <v>17269664.09</v>
      </c>
      <c r="K37" s="85">
        <f ca="1">INDIRECT("Condiciones!"&amp;ADDRESS(VLOOKUP(K$2,Saltos,2,FALSE)+8*QUOTIENT((ROW()-3),13),MOD(ROW()-3,13)+COLUMN(Condiciones!$F$1)))</f>
        <v>0</v>
      </c>
      <c r="L37" s="88">
        <f t="shared" ca="1" si="45"/>
        <v>0</v>
      </c>
      <c r="M37" s="87">
        <f>IF(ISERROR(INDEX(PAGADO!$F$2:$R$321,MATCH(CONCATENATE($B$30,"Logistica"),PAGADO!$E$2:$E$321,0),MATCH($D37,PAGADO!$F$1:$Q$1,0))),0,INDEX(PAGADO!$F$2:$R$321,MATCH(CONCATENATE($B$30,"Logistica"),PAGADO!$E$2:$E$321,0),MATCH($D37,PAGADO!$F$1:$Q$1,0)))</f>
        <v>0</v>
      </c>
      <c r="N37" s="87">
        <f t="shared" ca="1" si="46"/>
        <v>0</v>
      </c>
      <c r="O37" s="85">
        <f ca="1">INDIRECT("Condiciones!"&amp;ADDRESS(VLOOKUP(O$2,Saltos,2,FALSE)+8*QUOTIENT((ROW()-3),13),MOD(ROW()-3,13)+COLUMN(Condiciones!$F$1)))</f>
        <v>0</v>
      </c>
      <c r="P37" s="87">
        <f t="shared" ca="1" si="47"/>
        <v>0</v>
      </c>
      <c r="Q37" s="88">
        <f>IF(ISERROR(INDEX(PAGADO!$F$2:$R$321,MATCH(CONCATENATE($B$30,"Centralizada"),PAGADO!$E$2:$E$321,0),MATCH($D37,PAGADO!$F$1:$Q$1,0))),0,INDEX(PAGADO!$F$2:$R$321,MATCH(CONCATENATE($B$30,"Centralizada"),PAGADO!$E$2:$E$321,0),MATCH($D37,PAGADO!$F$1:$Q$1,0)))</f>
        <v>0</v>
      </c>
      <c r="R37" s="87">
        <f t="shared" ca="1" si="48"/>
        <v>0</v>
      </c>
      <c r="S37" s="85">
        <f ca="1">INDIRECT("Condiciones!"&amp;ADDRESS(VLOOKUP(S$2,Saltos,2,FALSE)+8*QUOTIENT((ROW()-3),13),MOD(ROW()-3,13)+COLUMN(Condiciones!$F$1)))</f>
        <v>0</v>
      </c>
      <c r="T37" s="87">
        <f t="shared" ca="1" si="49"/>
        <v>0</v>
      </c>
      <c r="U37" s="87">
        <f>IF(ISERROR(INDEX(PAGADO!$F$2:$R$321,MATCH(CONCATENATE($B$30,"Escala Crecimiento"),PAGADO!$E$2:$E$321,0),MATCH($D37,PAGADO!$F$1:$Q$1,0))),0,INDEX(PAGADO!$F$2:$R$321,MATCH(CONCATENATE($B$30,"Escala Crecimiento"),PAGADO!$E$2:$E$321,0),MATCH($D37,PAGADO!$F$1:$Q$1,0)))</f>
        <v>0</v>
      </c>
      <c r="V37" s="87">
        <f t="shared" ca="1" si="50"/>
        <v>0</v>
      </c>
      <c r="W37" s="85">
        <f ca="1">INDIRECT("Condiciones!"&amp;ADDRESS(VLOOKUP(W$2,Saltos,2,FALSE)+8*QUOTIENT((ROW()-3),13),MOD(ROW()-3,13)+COLUMN(Condiciones!$F$1)))</f>
        <v>0</v>
      </c>
      <c r="X37" s="87">
        <f t="shared" ca="1" si="51"/>
        <v>0</v>
      </c>
      <c r="Y37" s="87">
        <f>IF(ISERROR(INDEX(PAGADO!$F$2:$R$321,MATCH(CONCATENATE($B$30,"Escala Fija"),PAGADO!$E$2:$E$321,0),MATCH($D37,PAGADO!$F$1:$Q$1,0))),0,INDEX(PAGADO!$F$2:$R$321,MATCH(CONCATENATE($B$30,"Escala Fija"),PAGADO!$E$2:$E$321,0),MATCH($D37,PAGADO!$F$1:$Q$1,0)))</f>
        <v>0</v>
      </c>
      <c r="Z37" s="87">
        <f t="shared" ca="1" si="52"/>
        <v>0</v>
      </c>
      <c r="AA37" s="85">
        <f ca="1">INDIRECT("Condiciones!"&amp;ADDRESS(VLOOKUP(AA$2,Saltos,2,FALSE)+8*QUOTIENT((ROW()-3),13),MOD(ROW()-3,13)+COLUMN(Condiciones!$F$1)))</f>
        <v>0</v>
      </c>
      <c r="AB37" s="87">
        <f t="shared" ca="1" si="53"/>
        <v>0</v>
      </c>
      <c r="AC37" s="87">
        <f>IF(ISERROR(INDEX(PAGADO!$F$2:$R$321,MATCH(CONCATENATE($B$30,"Devoluciones"),PAGADO!$E$2:$E$321,0),MATCH($D37,PAGADO!$F$1:$Q$1,0))),0,INDEX(PAGADO!$F$2:$R$321,MATCH(CONCATENATE($B$30,"Devoluciones"),PAGADO!$E$2:$E$321,0),MATCH($D37,PAGADO!$F$1:$Q$1,0)))</f>
        <v>0</v>
      </c>
      <c r="AD37" s="87">
        <f t="shared" ca="1" si="54"/>
        <v>0</v>
      </c>
      <c r="AE37" s="85">
        <f ca="1">INDIRECT("Condiciones!"&amp;ADDRESS(VLOOKUP(AE$2,Saltos,2,FALSE)+8*QUOTIENT((ROW()-3),13),MOD(ROW()-3,13)+COLUMN(Condiciones!$F$1)))</f>
        <v>0</v>
      </c>
      <c r="AF37" s="87">
        <f t="shared" ca="1" si="55"/>
        <v>0</v>
      </c>
      <c r="AG37" s="87">
        <f>IF(ISERROR(INDEX(PAGADO!$F$2:$R$321,MATCH(CONCATENATE($B$30,"Otros"),PAGADO!$E$2:$E$321,0),MATCH($D37,PAGADO!$F$1:$Q$1,0))),0,INDEX(PAGADO!$F$2:$R$321,MATCH(CONCATENATE($B$30,"Otros"),PAGADO!$E$2:$E$321,0),MATCH($D37,PAGADO!$F$1:$Q$1,0)))</f>
        <v>0</v>
      </c>
      <c r="AH37" s="87">
        <f t="shared" ca="1" si="56"/>
        <v>0</v>
      </c>
      <c r="AI37" s="85">
        <f ca="1">INDIRECT("Condiciones!"&amp;ADDRESS(VLOOKUP(AI$2,Saltos,2,FALSE)+8*QUOTIENT((ROW()-3),13),MOD(ROW()-3,13)+COLUMN(Condiciones!$F$1)))</f>
        <v>0</v>
      </c>
      <c r="AJ37" s="87">
        <f t="shared" ca="1" si="57"/>
        <v>0</v>
      </c>
      <c r="AK37" s="87">
        <f>IF(ISERROR(INDEX(PAGADO!$F$2:$R$321,MATCH(CONCATENATE($B$30,"Aportes Manuales"),PAGADO!$E$2:$E$321,0),MATCH($D37,PAGADO!$F$1:$Q$1,0))),0,INDEX(PAGADO!$F$2:$R$321,MATCH(CONCATENATE($B$30,"Aportes Manuales"),PAGADO!$E$2:$E$321,0),MATCH($D37,PAGADO!$F$1:$Q$1,0)))</f>
        <v>0</v>
      </c>
      <c r="AL37" s="87">
        <f t="shared" ca="1" si="58"/>
        <v>0</v>
      </c>
      <c r="AM37" s="68"/>
      <c r="AN37" s="87">
        <f t="shared" ca="1" si="40"/>
        <v>17269664.09</v>
      </c>
      <c r="AO37" s="87">
        <f t="shared" si="41"/>
        <v>0</v>
      </c>
      <c r="AP37" s="87">
        <f t="shared" ca="1" si="42"/>
        <v>17269664.09</v>
      </c>
    </row>
    <row r="38" spans="2:42">
      <c r="B38" s="122"/>
      <c r="C38" s="82">
        <f>DATE($B$2,9,1)</f>
        <v>45901</v>
      </c>
      <c r="D38" s="83" t="str">
        <f t="shared" si="43"/>
        <v>202509</v>
      </c>
      <c r="E38" s="84">
        <f ca="1">IF(ISERROR(INDEX(IV_Compras_Totales_Base!$E$2:$P$300,MATCH(INDIRECT(ADDRESS(4+13*QUOTIENT(ROW()-3,13),2,1,1)),IV_Compras_Totales_Base!$C$2:$C$300,0),MATCH($D38,IV_Compras_Totales_Base!$E$1:$P$1,0))),0,INDEX(IV_Compras_Totales_Base!$E$2:$P$300,MATCH(INDIRECT(ADDRESS(4+13*QUOTIENT(ROW()-3,13),2,1,1)),IV_Compras_Totales_Base!$C$2:$C$300,0),MATCH($D38,IV_Compras_Totales_Base!$E$1:$P$1,0)))</f>
        <v>165819852</v>
      </c>
      <c r="F38" s="84">
        <f ca="1">IF(ISERROR(INDEX(V_Compras_Logistica_Base!$E$2:$P$300,MATCH(INDIRECT(ADDRESS(4+13*QUOTIENT(ROW()-3,13),2,1,1)),V_Compras_Logistica_Base!$C$2:$C$300,0),MATCH($D38,V_Compras_Logistica_Base!$E$1:$P$1,0))),0,INDEX(V_Compras_Logistica_Base!$E$2:$P$300,MATCH(INDIRECT(ADDRESS(4+13*QUOTIENT(ROW()-3,13),2,1,1)),V_Compras_Logistica_Base!$C$2:$C$300,0),MATCH($D38,V_Compras_Logistica_Base!$E$1:$P$1,0)))</f>
        <v>0</v>
      </c>
      <c r="G38" s="85">
        <f ca="1">INDIRECT("Condiciones!"&amp;ADDRESS(VLOOKUP(G$2,Saltos,2,FALSE)+8*QUOTIENT((ROW()-3),13),MOD(ROW()-3,13)+COLUMN(Condiciones!$F$1)))</f>
        <v>0</v>
      </c>
      <c r="H38" s="86">
        <f>'Base de Calculo'!J23</f>
        <v>11465658.380000001</v>
      </c>
      <c r="I38" s="87">
        <f>IF(ISERROR(INDEX(PAGADO!$F$2:$R$321,MATCH(CONCATENATE($B$30,"Publicidad"),PAGADO!$E$2:$E$321,0),MATCH($D38,PAGADO!$F$1:$Q$1,0))),0,INDEX(PAGADO!$F$2:$R$321,MATCH(CONCATENATE($B$30,"Publicidad"),PAGADO!$E$2:$E$321,0),MATCH($D38,PAGADO!$F$1:$Q$1,0)))</f>
        <v>-30215455</v>
      </c>
      <c r="J38" s="87">
        <f t="shared" si="44"/>
        <v>-18749796.619999997</v>
      </c>
      <c r="K38" s="85">
        <f ca="1">INDIRECT("Condiciones!"&amp;ADDRESS(VLOOKUP(K$2,Saltos,2,FALSE)+8*QUOTIENT((ROW()-3),13),MOD(ROW()-3,13)+COLUMN(Condiciones!$F$1)))</f>
        <v>0</v>
      </c>
      <c r="L38" s="88">
        <f t="shared" ca="1" si="45"/>
        <v>0</v>
      </c>
      <c r="M38" s="87">
        <f>IF(ISERROR(INDEX(PAGADO!$F$2:$R$321,MATCH(CONCATENATE($B$30,"Logistica"),PAGADO!$E$2:$E$321,0),MATCH($D38,PAGADO!$F$1:$Q$1,0))),0,INDEX(PAGADO!$F$2:$R$321,MATCH(CONCATENATE($B$30,"Logistica"),PAGADO!$E$2:$E$321,0),MATCH($D38,PAGADO!$F$1:$Q$1,0)))</f>
        <v>0</v>
      </c>
      <c r="N38" s="87">
        <f t="shared" ca="1" si="46"/>
        <v>0</v>
      </c>
      <c r="O38" s="85">
        <f ca="1">INDIRECT("Condiciones!"&amp;ADDRESS(VLOOKUP(O$2,Saltos,2,FALSE)+8*QUOTIENT((ROW()-3),13),MOD(ROW()-3,13)+COLUMN(Condiciones!$F$1)))</f>
        <v>0</v>
      </c>
      <c r="P38" s="87">
        <f t="shared" ca="1" si="47"/>
        <v>0</v>
      </c>
      <c r="Q38" s="88">
        <f>IF(ISERROR(INDEX(PAGADO!$F$2:$R$321,MATCH(CONCATENATE($B$30,"Centralizada"),PAGADO!$E$2:$E$321,0),MATCH($D38,PAGADO!$F$1:$Q$1,0))),0,INDEX(PAGADO!$F$2:$R$321,MATCH(CONCATENATE($B$30,"Centralizada"),PAGADO!$E$2:$E$321,0),MATCH($D38,PAGADO!$F$1:$Q$1,0)))</f>
        <v>0</v>
      </c>
      <c r="R38" s="87">
        <f t="shared" ca="1" si="48"/>
        <v>0</v>
      </c>
      <c r="S38" s="85">
        <f ca="1">INDIRECT("Condiciones!"&amp;ADDRESS(VLOOKUP(S$2,Saltos,2,FALSE)+8*QUOTIENT((ROW()-3),13),MOD(ROW()-3,13)+COLUMN(Condiciones!$F$1)))</f>
        <v>0</v>
      </c>
      <c r="T38" s="87">
        <f t="shared" ca="1" si="49"/>
        <v>0</v>
      </c>
      <c r="U38" s="87">
        <f>IF(ISERROR(INDEX(PAGADO!$F$2:$R$321,MATCH(CONCATENATE($B$30,"Escala Crecimiento"),PAGADO!$E$2:$E$321,0),MATCH($D38,PAGADO!$F$1:$Q$1,0))),0,INDEX(PAGADO!$F$2:$R$321,MATCH(CONCATENATE($B$30,"Escala Crecimiento"),PAGADO!$E$2:$E$321,0),MATCH($D38,PAGADO!$F$1:$Q$1,0)))</f>
        <v>0</v>
      </c>
      <c r="V38" s="87">
        <f t="shared" ca="1" si="50"/>
        <v>0</v>
      </c>
      <c r="W38" s="85">
        <f ca="1">INDIRECT("Condiciones!"&amp;ADDRESS(VLOOKUP(W$2,Saltos,2,FALSE)+8*QUOTIENT((ROW()-3),13),MOD(ROW()-3,13)+COLUMN(Condiciones!$F$1)))</f>
        <v>0</v>
      </c>
      <c r="X38" s="87">
        <f t="shared" ca="1" si="51"/>
        <v>0</v>
      </c>
      <c r="Y38" s="87">
        <f>IF(ISERROR(INDEX(PAGADO!$F$2:$R$321,MATCH(CONCATENATE($B$30,"Escala Fija"),PAGADO!$E$2:$E$321,0),MATCH($D38,PAGADO!$F$1:$Q$1,0))),0,INDEX(PAGADO!$F$2:$R$321,MATCH(CONCATENATE($B$30,"Escala Fija"),PAGADO!$E$2:$E$321,0),MATCH($D38,PAGADO!$F$1:$Q$1,0)))</f>
        <v>-5761940</v>
      </c>
      <c r="Z38" s="87">
        <f t="shared" ca="1" si="52"/>
        <v>-5761940</v>
      </c>
      <c r="AA38" s="85">
        <f ca="1">INDIRECT("Condiciones!"&amp;ADDRESS(VLOOKUP(AA$2,Saltos,2,FALSE)+8*QUOTIENT((ROW()-3),13),MOD(ROW()-3,13)+COLUMN(Condiciones!$F$1)))</f>
        <v>0</v>
      </c>
      <c r="AB38" s="87">
        <f t="shared" ca="1" si="53"/>
        <v>0</v>
      </c>
      <c r="AC38" s="87">
        <f>IF(ISERROR(INDEX(PAGADO!$F$2:$R$321,MATCH(CONCATENATE($B$30,"Devoluciones"),PAGADO!$E$2:$E$321,0),MATCH($D38,PAGADO!$F$1:$Q$1,0))),0,INDEX(PAGADO!$F$2:$R$321,MATCH(CONCATENATE($B$30,"Devoluciones"),PAGADO!$E$2:$E$321,0),MATCH($D38,PAGADO!$F$1:$Q$1,0)))</f>
        <v>0</v>
      </c>
      <c r="AD38" s="87">
        <f t="shared" ca="1" si="54"/>
        <v>0</v>
      </c>
      <c r="AE38" s="85">
        <f ca="1">INDIRECT("Condiciones!"&amp;ADDRESS(VLOOKUP(AE$2,Saltos,2,FALSE)+8*QUOTIENT((ROW()-3),13),MOD(ROW()-3,13)+COLUMN(Condiciones!$F$1)))</f>
        <v>0</v>
      </c>
      <c r="AF38" s="87">
        <f t="shared" ca="1" si="55"/>
        <v>0</v>
      </c>
      <c r="AG38" s="87">
        <f>IF(ISERROR(INDEX(PAGADO!$F$2:$R$321,MATCH(CONCATENATE($B$30,"Otros"),PAGADO!$E$2:$E$321,0),MATCH($D38,PAGADO!$F$1:$Q$1,0))),0,INDEX(PAGADO!$F$2:$R$321,MATCH(CONCATENATE($B$30,"Otros"),PAGADO!$E$2:$E$321,0),MATCH($D38,PAGADO!$F$1:$Q$1,0)))</f>
        <v>0</v>
      </c>
      <c r="AH38" s="87">
        <f t="shared" ca="1" si="56"/>
        <v>0</v>
      </c>
      <c r="AI38" s="85">
        <f ca="1">INDIRECT("Condiciones!"&amp;ADDRESS(VLOOKUP(AI$2,Saltos,2,FALSE)+8*QUOTIENT((ROW()-3),13),MOD(ROW()-3,13)+COLUMN(Condiciones!$F$1)))</f>
        <v>0</v>
      </c>
      <c r="AJ38" s="87">
        <f t="shared" ca="1" si="57"/>
        <v>0</v>
      </c>
      <c r="AK38" s="87">
        <f>IF(ISERROR(INDEX(PAGADO!$F$2:$R$321,MATCH(CONCATENATE($B$30,"Aportes Manuales"),PAGADO!$E$2:$E$321,0),MATCH($D38,PAGADO!$F$1:$Q$1,0))),0,INDEX(PAGADO!$F$2:$R$321,MATCH(CONCATENATE($B$30,"Aportes Manuales"),PAGADO!$E$2:$E$321,0),MATCH($D38,PAGADO!$F$1:$Q$1,0)))</f>
        <v>0</v>
      </c>
      <c r="AL38" s="87">
        <f t="shared" ca="1" si="58"/>
        <v>0</v>
      </c>
      <c r="AM38" s="68"/>
      <c r="AN38" s="87">
        <f t="shared" ca="1" si="40"/>
        <v>11465658.380000001</v>
      </c>
      <c r="AO38" s="87">
        <f t="shared" si="41"/>
        <v>-35977395</v>
      </c>
      <c r="AP38" s="87">
        <f t="shared" ca="1" si="42"/>
        <v>-24511736.619999997</v>
      </c>
    </row>
    <row r="39" spans="2:42">
      <c r="B39" s="122"/>
      <c r="C39" s="82">
        <f>DATE($B$2,10,1)</f>
        <v>45931</v>
      </c>
      <c r="D39" s="83" t="str">
        <f t="shared" si="43"/>
        <v>202510</v>
      </c>
      <c r="E39" s="84">
        <f ca="1">IF(ISERROR(INDEX(IV_Compras_Totales_Base!$E$2:$P$300,MATCH(INDIRECT(ADDRESS(4+13*QUOTIENT(ROW()-3,13),2,1,1)),IV_Compras_Totales_Base!$C$2:$C$300,0),MATCH($D39,IV_Compras_Totales_Base!$E$1:$P$1,0))),0,INDEX(IV_Compras_Totales_Base!$E$2:$P$300,MATCH(INDIRECT(ADDRESS(4+13*QUOTIENT(ROW()-3,13),2,1,1)),IV_Compras_Totales_Base!$C$2:$C$300,0),MATCH($D39,IV_Compras_Totales_Base!$E$1:$P$1,0)))</f>
        <v>167521834</v>
      </c>
      <c r="F39" s="84">
        <f ca="1">IF(ISERROR(INDEX(V_Compras_Logistica_Base!$E$2:$P$300,MATCH(INDIRECT(ADDRESS(4+13*QUOTIENT(ROW()-3,13),2,1,1)),V_Compras_Logistica_Base!$C$2:$C$300,0),MATCH($D39,V_Compras_Logistica_Base!$E$1:$P$1,0))),0,INDEX(V_Compras_Logistica_Base!$E$2:$P$300,MATCH(INDIRECT(ADDRESS(4+13*QUOTIENT(ROW()-3,13),2,1,1)),V_Compras_Logistica_Base!$C$2:$C$300,0),MATCH($D39,V_Compras_Logistica_Base!$E$1:$P$1,0)))</f>
        <v>0</v>
      </c>
      <c r="G39" s="85">
        <f ca="1">INDIRECT("Condiciones!"&amp;ADDRESS(VLOOKUP(G$2,Saltos,2,FALSE)+8*QUOTIENT((ROW()-3),13),MOD(ROW()-3,13)+COLUMN(Condiciones!$F$1)))</f>
        <v>0</v>
      </c>
      <c r="H39" s="86">
        <f>'Base de Calculo'!K23</f>
        <v>11592969.4</v>
      </c>
      <c r="I39" s="87">
        <f>IF(ISERROR(INDEX(PAGADO!$F$2:$R$321,MATCH(CONCATENATE($B$30,"Publicidad"),PAGADO!$E$2:$E$321,0),MATCH($D39,PAGADO!$F$1:$Q$1,0))),0,INDEX(PAGADO!$F$2:$R$321,MATCH(CONCATENATE($B$30,"Publicidad"),PAGADO!$E$2:$E$321,0),MATCH($D39,PAGADO!$F$1:$Q$1,0)))</f>
        <v>-19311242</v>
      </c>
      <c r="J39" s="87">
        <f t="shared" si="44"/>
        <v>-7718272.5999999996</v>
      </c>
      <c r="K39" s="85">
        <f ca="1">INDIRECT("Condiciones!"&amp;ADDRESS(VLOOKUP(K$2,Saltos,2,FALSE)+8*QUOTIENT((ROW()-3),13),MOD(ROW()-3,13)+COLUMN(Condiciones!$F$1)))</f>
        <v>0</v>
      </c>
      <c r="L39" s="88">
        <f t="shared" ca="1" si="45"/>
        <v>0</v>
      </c>
      <c r="M39" s="87">
        <f>IF(ISERROR(INDEX(PAGADO!$F$2:$R$321,MATCH(CONCATENATE($B$30,"Logistica"),PAGADO!$E$2:$E$321,0),MATCH($D39,PAGADO!$F$1:$Q$1,0))),0,INDEX(PAGADO!$F$2:$R$321,MATCH(CONCATENATE($B$30,"Logistica"),PAGADO!$E$2:$E$321,0),MATCH($D39,PAGADO!$F$1:$Q$1,0)))</f>
        <v>0</v>
      </c>
      <c r="N39" s="87">
        <f t="shared" ca="1" si="46"/>
        <v>0</v>
      </c>
      <c r="O39" s="85">
        <f ca="1">INDIRECT("Condiciones!"&amp;ADDRESS(VLOOKUP(O$2,Saltos,2,FALSE)+8*QUOTIENT((ROW()-3),13),MOD(ROW()-3,13)+COLUMN(Condiciones!$F$1)))</f>
        <v>0</v>
      </c>
      <c r="P39" s="87">
        <f t="shared" ca="1" si="47"/>
        <v>0</v>
      </c>
      <c r="Q39" s="88">
        <f>IF(ISERROR(INDEX(PAGADO!$F$2:$R$321,MATCH(CONCATENATE($B$30,"Centralizada"),PAGADO!$E$2:$E$321,0),MATCH($D39,PAGADO!$F$1:$Q$1,0))),0,INDEX(PAGADO!$F$2:$R$321,MATCH(CONCATENATE($B$30,"Centralizada"),PAGADO!$E$2:$E$321,0),MATCH($D39,PAGADO!$F$1:$Q$1,0)))</f>
        <v>0</v>
      </c>
      <c r="R39" s="87">
        <f t="shared" ca="1" si="48"/>
        <v>0</v>
      </c>
      <c r="S39" s="85">
        <f ca="1">INDIRECT("Condiciones!"&amp;ADDRESS(VLOOKUP(S$2,Saltos,2,FALSE)+8*QUOTIENT((ROW()-3),13),MOD(ROW()-3,13)+COLUMN(Condiciones!$F$1)))</f>
        <v>0</v>
      </c>
      <c r="T39" s="87">
        <f t="shared" ca="1" si="49"/>
        <v>0</v>
      </c>
      <c r="U39" s="87">
        <f>IF(ISERROR(INDEX(PAGADO!$F$2:$R$321,MATCH(CONCATENATE($B$30,"Escala Crecimiento"),PAGADO!$E$2:$E$321,0),MATCH($D39,PAGADO!$F$1:$Q$1,0))),0,INDEX(PAGADO!$F$2:$R$321,MATCH(CONCATENATE($B$30,"Escala Crecimiento"),PAGADO!$E$2:$E$321,0),MATCH($D39,PAGADO!$F$1:$Q$1,0)))</f>
        <v>0</v>
      </c>
      <c r="V39" s="87">
        <f t="shared" ca="1" si="50"/>
        <v>0</v>
      </c>
      <c r="W39" s="85">
        <f ca="1">INDIRECT("Condiciones!"&amp;ADDRESS(VLOOKUP(W$2,Saltos,2,FALSE)+8*QUOTIENT((ROW()-3),13),MOD(ROW()-3,13)+COLUMN(Condiciones!$F$1)))</f>
        <v>0</v>
      </c>
      <c r="X39" s="87">
        <f t="shared" ca="1" si="51"/>
        <v>0</v>
      </c>
      <c r="Y39" s="87">
        <f>IF(ISERROR(INDEX(PAGADO!$F$2:$R$321,MATCH(CONCATENATE($B$30,"Escala Fija"),PAGADO!$E$2:$E$321,0),MATCH($D39,PAGADO!$F$1:$Q$1,0))),0,INDEX(PAGADO!$F$2:$R$321,MATCH(CONCATENATE($B$30,"Escala Fija"),PAGADO!$E$2:$E$321,0),MATCH($D39,PAGADO!$F$1:$Q$1,0)))</f>
        <v>-2840667</v>
      </c>
      <c r="Z39" s="87">
        <f t="shared" ca="1" si="52"/>
        <v>-2840667</v>
      </c>
      <c r="AA39" s="85">
        <f ca="1">INDIRECT("Condiciones!"&amp;ADDRESS(VLOOKUP(AA$2,Saltos,2,FALSE)+8*QUOTIENT((ROW()-3),13),MOD(ROW()-3,13)+COLUMN(Condiciones!$F$1)))</f>
        <v>0</v>
      </c>
      <c r="AB39" s="87">
        <f t="shared" ca="1" si="53"/>
        <v>0</v>
      </c>
      <c r="AC39" s="87">
        <f>IF(ISERROR(INDEX(PAGADO!$F$2:$R$321,MATCH(CONCATENATE($B$30,"Devoluciones"),PAGADO!$E$2:$E$321,0),MATCH($D39,PAGADO!$F$1:$Q$1,0))),0,INDEX(PAGADO!$F$2:$R$321,MATCH(CONCATENATE($B$30,"Devoluciones"),PAGADO!$E$2:$E$321,0),MATCH($D39,PAGADO!$F$1:$Q$1,0)))</f>
        <v>0</v>
      </c>
      <c r="AD39" s="87">
        <f t="shared" ca="1" si="54"/>
        <v>0</v>
      </c>
      <c r="AE39" s="85">
        <f ca="1">INDIRECT("Condiciones!"&amp;ADDRESS(VLOOKUP(AE$2,Saltos,2,FALSE)+8*QUOTIENT((ROW()-3),13),MOD(ROW()-3,13)+COLUMN(Condiciones!$F$1)))</f>
        <v>0</v>
      </c>
      <c r="AF39" s="87">
        <f t="shared" ca="1" si="55"/>
        <v>0</v>
      </c>
      <c r="AG39" s="87">
        <f>IF(ISERROR(INDEX(PAGADO!$F$2:$R$321,MATCH(CONCATENATE($B$30,"Otros"),PAGADO!$E$2:$E$321,0),MATCH($D39,PAGADO!$F$1:$Q$1,0))),0,INDEX(PAGADO!$F$2:$R$321,MATCH(CONCATENATE($B$30,"Otros"),PAGADO!$E$2:$E$321,0),MATCH($D39,PAGADO!$F$1:$Q$1,0)))</f>
        <v>0</v>
      </c>
      <c r="AH39" s="87">
        <f t="shared" ca="1" si="56"/>
        <v>0</v>
      </c>
      <c r="AI39" s="85">
        <f ca="1">INDIRECT("Condiciones!"&amp;ADDRESS(VLOOKUP(AI$2,Saltos,2,FALSE)+8*QUOTIENT((ROW()-3),13),MOD(ROW()-3,13)+COLUMN(Condiciones!$F$1)))</f>
        <v>0</v>
      </c>
      <c r="AJ39" s="87">
        <f t="shared" ca="1" si="57"/>
        <v>0</v>
      </c>
      <c r="AK39" s="87">
        <f>IF(ISERROR(INDEX(PAGADO!$F$2:$R$321,MATCH(CONCATENATE($B$30,"Aportes Manuales"),PAGADO!$E$2:$E$321,0),MATCH($D39,PAGADO!$F$1:$Q$1,0))),0,INDEX(PAGADO!$F$2:$R$321,MATCH(CONCATENATE($B$30,"Aportes Manuales"),PAGADO!$E$2:$E$321,0),MATCH($D39,PAGADO!$F$1:$Q$1,0)))</f>
        <v>-374459</v>
      </c>
      <c r="AL39" s="87">
        <f t="shared" ca="1" si="58"/>
        <v>-374459</v>
      </c>
      <c r="AM39" s="68"/>
      <c r="AN39" s="87">
        <f t="shared" ca="1" si="40"/>
        <v>11592969.4</v>
      </c>
      <c r="AO39" s="87">
        <f t="shared" si="41"/>
        <v>-22526368</v>
      </c>
      <c r="AP39" s="87">
        <f t="shared" ca="1" si="42"/>
        <v>-10933398.6</v>
      </c>
    </row>
    <row r="40" spans="2:42">
      <c r="B40" s="122"/>
      <c r="C40" s="82">
        <f>DATE($B$2,11,1)</f>
        <v>45962</v>
      </c>
      <c r="D40" s="83" t="str">
        <f t="shared" si="43"/>
        <v>202511</v>
      </c>
      <c r="E40" s="84">
        <f ca="1">IF(ISERROR(INDEX(IV_Compras_Totales_Base!$E$2:$P$300,MATCH(INDIRECT(ADDRESS(4+13*QUOTIENT(ROW()-3,13),2,1,1)),IV_Compras_Totales_Base!$C$2:$C$300,0),MATCH($D40,IV_Compras_Totales_Base!$E$1:$P$1,0))),0,INDEX(IV_Compras_Totales_Base!$E$2:$P$300,MATCH(INDIRECT(ADDRESS(4+13*QUOTIENT(ROW()-3,13),2,1,1)),IV_Compras_Totales_Base!$C$2:$C$300,0),MATCH($D40,IV_Compras_Totales_Base!$E$1:$P$1,0)))</f>
        <v>146679209</v>
      </c>
      <c r="F40" s="84">
        <f ca="1">IF(ISERROR(INDEX(V_Compras_Logistica_Base!$E$2:$P$300,MATCH(INDIRECT(ADDRESS(4+13*QUOTIENT(ROW()-3,13),2,1,1)),V_Compras_Logistica_Base!$C$2:$C$300,0),MATCH($D40,V_Compras_Logistica_Base!$E$1:$P$1,0))),0,INDEX(V_Compras_Logistica_Base!$E$2:$P$300,MATCH(INDIRECT(ADDRESS(4+13*QUOTIENT(ROW()-3,13),2,1,1)),V_Compras_Logistica_Base!$C$2:$C$300,0),MATCH($D40,V_Compras_Logistica_Base!$E$1:$P$1,0)))</f>
        <v>0</v>
      </c>
      <c r="G40" s="85">
        <f ca="1">INDIRECT("Condiciones!"&amp;ADDRESS(VLOOKUP(G$2,Saltos,2,FALSE)+8*QUOTIENT((ROW()-3),13),MOD(ROW()-3,13)+COLUMN(Condiciones!$F$1)))</f>
        <v>0</v>
      </c>
      <c r="H40" s="86">
        <f>'Base de Calculo'!L23</f>
        <v>12456669.26</v>
      </c>
      <c r="I40" s="87">
        <f>IF(ISERROR(INDEX(PAGADO!$F$2:$R$321,MATCH(CONCATENATE($B$30,"Publicidad"),PAGADO!$E$2:$E$321,0),MATCH($D40,PAGADO!$F$1:$Q$1,0))),0,INDEX(PAGADO!$F$2:$R$321,MATCH(CONCATENATE($B$30,"Publicidad"),PAGADO!$E$2:$E$321,0),MATCH($D40,PAGADO!$F$1:$Q$1,0)))</f>
        <v>-6855857</v>
      </c>
      <c r="J40" s="87">
        <f t="shared" si="44"/>
        <v>5600812.2599999998</v>
      </c>
      <c r="K40" s="85">
        <f ca="1">INDIRECT("Condiciones!"&amp;ADDRESS(VLOOKUP(K$2,Saltos,2,FALSE)+8*QUOTIENT((ROW()-3),13),MOD(ROW()-3,13)+COLUMN(Condiciones!$F$1)))</f>
        <v>0</v>
      </c>
      <c r="L40" s="88">
        <f t="shared" ca="1" si="45"/>
        <v>0</v>
      </c>
      <c r="M40" s="87">
        <f>IF(ISERROR(INDEX(PAGADO!$F$2:$R$321,MATCH(CONCATENATE($B$30,"Logistica"),PAGADO!$E$2:$E$321,0),MATCH($D40,PAGADO!$F$1:$Q$1,0))),0,INDEX(PAGADO!$F$2:$R$321,MATCH(CONCATENATE($B$30,"Logistica"),PAGADO!$E$2:$E$321,0),MATCH($D40,PAGADO!$F$1:$Q$1,0)))</f>
        <v>0</v>
      </c>
      <c r="N40" s="87">
        <f t="shared" ca="1" si="46"/>
        <v>0</v>
      </c>
      <c r="O40" s="85">
        <f ca="1">INDIRECT("Condiciones!"&amp;ADDRESS(VLOOKUP(O$2,Saltos,2,FALSE)+8*QUOTIENT((ROW()-3),13),MOD(ROW()-3,13)+COLUMN(Condiciones!$F$1)))</f>
        <v>0</v>
      </c>
      <c r="P40" s="87">
        <f t="shared" ca="1" si="47"/>
        <v>0</v>
      </c>
      <c r="Q40" s="88">
        <f>IF(ISERROR(INDEX(PAGADO!$F$2:$R$321,MATCH(CONCATENATE($B$30,"Centralizada"),PAGADO!$E$2:$E$321,0),MATCH($D40,PAGADO!$F$1:$Q$1,0))),0,INDEX(PAGADO!$F$2:$R$321,MATCH(CONCATENATE($B$30,"Centralizada"),PAGADO!$E$2:$E$321,0),MATCH($D40,PAGADO!$F$1:$Q$1,0)))</f>
        <v>0</v>
      </c>
      <c r="R40" s="87">
        <f t="shared" ca="1" si="48"/>
        <v>0</v>
      </c>
      <c r="S40" s="85">
        <f ca="1">INDIRECT("Condiciones!"&amp;ADDRESS(VLOOKUP(S$2,Saltos,2,FALSE)+8*QUOTIENT((ROW()-3),13),MOD(ROW()-3,13)+COLUMN(Condiciones!$F$1)))</f>
        <v>0</v>
      </c>
      <c r="T40" s="87">
        <f t="shared" ca="1" si="49"/>
        <v>0</v>
      </c>
      <c r="U40" s="87">
        <f>IF(ISERROR(INDEX(PAGADO!$F$2:$R$321,MATCH(CONCATENATE($B$30,"Escala Crecimiento"),PAGADO!$E$2:$E$321,0),MATCH($D40,PAGADO!$F$1:$Q$1,0))),0,INDEX(PAGADO!$F$2:$R$321,MATCH(CONCATENATE($B$30,"Escala Crecimiento"),PAGADO!$E$2:$E$321,0),MATCH($D40,PAGADO!$F$1:$Q$1,0)))</f>
        <v>0</v>
      </c>
      <c r="V40" s="87">
        <f t="shared" ca="1" si="50"/>
        <v>0</v>
      </c>
      <c r="W40" s="85">
        <f ca="1">INDIRECT("Condiciones!"&amp;ADDRESS(VLOOKUP(W$2,Saltos,2,FALSE)+8*QUOTIENT((ROW()-3),13),MOD(ROW()-3,13)+COLUMN(Condiciones!$F$1)))</f>
        <v>0</v>
      </c>
      <c r="X40" s="87">
        <f t="shared" ca="1" si="51"/>
        <v>0</v>
      </c>
      <c r="Y40" s="87">
        <f>IF(ISERROR(INDEX(PAGADO!$F$2:$R$321,MATCH(CONCATENATE($B$30,"Escala Fija"),PAGADO!$E$2:$E$321,0),MATCH($D40,PAGADO!$F$1:$Q$1,0))),0,INDEX(PAGADO!$F$2:$R$321,MATCH(CONCATENATE($B$30,"Escala Fija"),PAGADO!$E$2:$E$321,0),MATCH($D40,PAGADO!$F$1:$Q$1,0)))</f>
        <v>-1556192</v>
      </c>
      <c r="Z40" s="87">
        <f t="shared" ca="1" si="52"/>
        <v>-1556192</v>
      </c>
      <c r="AA40" s="85">
        <f ca="1">INDIRECT("Condiciones!"&amp;ADDRESS(VLOOKUP(AA$2,Saltos,2,FALSE)+8*QUOTIENT((ROW()-3),13),MOD(ROW()-3,13)+COLUMN(Condiciones!$F$1)))</f>
        <v>0</v>
      </c>
      <c r="AB40" s="87">
        <f t="shared" ca="1" si="53"/>
        <v>0</v>
      </c>
      <c r="AC40" s="87">
        <f>IF(ISERROR(INDEX(PAGADO!$F$2:$R$321,MATCH(CONCATENATE($B$30,"Devoluciones"),PAGADO!$E$2:$E$321,0),MATCH($D40,PAGADO!$F$1:$Q$1,0))),0,INDEX(PAGADO!$F$2:$R$321,MATCH(CONCATENATE($B$30,"Devoluciones"),PAGADO!$E$2:$E$321,0),MATCH($D40,PAGADO!$F$1:$Q$1,0)))</f>
        <v>0</v>
      </c>
      <c r="AD40" s="87">
        <f t="shared" ca="1" si="54"/>
        <v>0</v>
      </c>
      <c r="AE40" s="85">
        <f ca="1">INDIRECT("Condiciones!"&amp;ADDRESS(VLOOKUP(AE$2,Saltos,2,FALSE)+8*QUOTIENT((ROW()-3),13),MOD(ROW()-3,13)+COLUMN(Condiciones!$F$1)))</f>
        <v>0</v>
      </c>
      <c r="AF40" s="87">
        <f t="shared" ca="1" si="55"/>
        <v>0</v>
      </c>
      <c r="AG40" s="87">
        <f>IF(ISERROR(INDEX(PAGADO!$F$2:$R$321,MATCH(CONCATENATE($B$30,"Otros"),PAGADO!$E$2:$E$321,0),MATCH($D40,PAGADO!$F$1:$Q$1,0))),0,INDEX(PAGADO!$F$2:$R$321,MATCH(CONCATENATE($B$30,"Otros"),PAGADO!$E$2:$E$321,0),MATCH($D40,PAGADO!$F$1:$Q$1,0)))</f>
        <v>0</v>
      </c>
      <c r="AH40" s="87">
        <f t="shared" ca="1" si="56"/>
        <v>0</v>
      </c>
      <c r="AI40" s="85">
        <f ca="1">INDIRECT("Condiciones!"&amp;ADDRESS(VLOOKUP(AI$2,Saltos,2,FALSE)+8*QUOTIENT((ROW()-3),13),MOD(ROW()-3,13)+COLUMN(Condiciones!$F$1)))</f>
        <v>0</v>
      </c>
      <c r="AJ40" s="87">
        <f t="shared" ca="1" si="57"/>
        <v>0</v>
      </c>
      <c r="AK40" s="87">
        <f>IF(ISERROR(INDEX(PAGADO!$F$2:$R$321,MATCH(CONCATENATE($B$30,"Aportes Manuales"),PAGADO!$E$2:$E$321,0),MATCH($D40,PAGADO!$F$1:$Q$1,0))),0,INDEX(PAGADO!$F$2:$R$321,MATCH(CONCATENATE($B$30,"Aportes Manuales"),PAGADO!$E$2:$E$321,0),MATCH($D40,PAGADO!$F$1:$Q$1,0)))</f>
        <v>-82366</v>
      </c>
      <c r="AL40" s="87">
        <f t="shared" ca="1" si="58"/>
        <v>-82366</v>
      </c>
      <c r="AM40" s="68"/>
      <c r="AN40" s="87">
        <f t="shared" ca="1" si="40"/>
        <v>12456669.26</v>
      </c>
      <c r="AO40" s="87">
        <f t="shared" si="41"/>
        <v>-8494415</v>
      </c>
      <c r="AP40" s="87">
        <f t="shared" ca="1" si="42"/>
        <v>3962254.26</v>
      </c>
    </row>
    <row r="41" spans="2:42">
      <c r="B41" s="123"/>
      <c r="C41" s="82">
        <f>DATE($B$2,12,1)</f>
        <v>45992</v>
      </c>
      <c r="D41" s="83" t="str">
        <f t="shared" si="43"/>
        <v>202512</v>
      </c>
      <c r="E41" s="84">
        <f ca="1">IF(ISERROR(INDEX(IV_Compras_Totales_Base!$E$2:$P$300,MATCH(INDIRECT(ADDRESS(4+13*QUOTIENT(ROW()-3,13),2,1,1)),IV_Compras_Totales_Base!$C$2:$C$300,0),MATCH($D41,IV_Compras_Totales_Base!$E$1:$P$1,0))),0,INDEX(IV_Compras_Totales_Base!$E$2:$P$300,MATCH(INDIRECT(ADDRESS(4+13*QUOTIENT(ROW()-3,13),2,1,1)),IV_Compras_Totales_Base!$C$2:$C$300,0),MATCH($D41,IV_Compras_Totales_Base!$E$1:$P$1,0)))</f>
        <v>346177720</v>
      </c>
      <c r="F41" s="84">
        <f ca="1">IF(ISERROR(INDEX(V_Compras_Logistica_Base!$E$2:$P$300,MATCH(INDIRECT(ADDRESS(4+13*QUOTIENT(ROW()-3,13),2,1,1)),V_Compras_Logistica_Base!$C$2:$C$300,0),MATCH($D41,V_Compras_Logistica_Base!$E$1:$P$1,0))),0,INDEX(V_Compras_Logistica_Base!$E$2:$P$300,MATCH(INDIRECT(ADDRESS(4+13*QUOTIENT(ROW()-3,13),2,1,1)),V_Compras_Logistica_Base!$C$2:$C$300,0),MATCH($D41,V_Compras_Logistica_Base!$E$1:$P$1,0)))</f>
        <v>0</v>
      </c>
      <c r="G41" s="85">
        <f ca="1">INDIRECT("Condiciones!"&amp;ADDRESS(VLOOKUP(G$2,Saltos,2,FALSE)+8*QUOTIENT((ROW()-3),13),MOD(ROW()-3,13)+COLUMN(Condiciones!$F$1)))</f>
        <v>0</v>
      </c>
      <c r="H41" s="86">
        <f>'Base de Calculo'!M23</f>
        <v>7780906.2300000004</v>
      </c>
      <c r="I41" s="87">
        <f>IF(ISERROR(INDEX(PAGADO!$F$2:$R$321,MATCH(CONCATENATE($B$30,"Publicidad"),PAGADO!$E$2:$E$321,0),MATCH($D41,PAGADO!$F$1:$Q$1,0))),0,INDEX(PAGADO!$F$2:$R$321,MATCH(CONCATENATE($B$30,"Publicidad"),PAGADO!$E$2:$E$321,0),MATCH($D41,PAGADO!$F$1:$Q$1,0)))</f>
        <v>-15171249</v>
      </c>
      <c r="J41" s="87">
        <f t="shared" si="44"/>
        <v>-7390342.7699999996</v>
      </c>
      <c r="K41" s="85">
        <f ca="1">INDIRECT("Condiciones!"&amp;ADDRESS(VLOOKUP(K$2,Saltos,2,FALSE)+8*QUOTIENT((ROW()-3),13),MOD(ROW()-3,13)+COLUMN(Condiciones!$F$1)))</f>
        <v>0</v>
      </c>
      <c r="L41" s="88">
        <f t="shared" ca="1" si="45"/>
        <v>0</v>
      </c>
      <c r="M41" s="87">
        <f>IF(ISERROR(INDEX(PAGADO!$F$2:$R$321,MATCH(CONCATENATE($B$30,"Logistica"),PAGADO!$E$2:$E$321,0),MATCH($D41,PAGADO!$F$1:$Q$1,0))),0,INDEX(PAGADO!$F$2:$R$321,MATCH(CONCATENATE($B$30,"Logistica"),PAGADO!$E$2:$E$321,0),MATCH($D41,PAGADO!$F$1:$Q$1,0)))</f>
        <v>0</v>
      </c>
      <c r="N41" s="87">
        <f t="shared" ca="1" si="46"/>
        <v>0</v>
      </c>
      <c r="O41" s="85">
        <f ca="1">INDIRECT("Condiciones!"&amp;ADDRESS(VLOOKUP(O$2,Saltos,2,FALSE)+8*QUOTIENT((ROW()-3),13),MOD(ROW()-3,13)+COLUMN(Condiciones!$F$1)))</f>
        <v>0</v>
      </c>
      <c r="P41" s="87">
        <f t="shared" ca="1" si="47"/>
        <v>0</v>
      </c>
      <c r="Q41" s="88">
        <f>IF(ISERROR(INDEX(PAGADO!$F$2:$R$321,MATCH(CONCATENATE($B$30,"Centralizada"),PAGADO!$E$2:$E$321,0),MATCH($D41,PAGADO!$F$1:$Q$1,0))),0,INDEX(PAGADO!$F$2:$R$321,MATCH(CONCATENATE($B$30,"Centralizada"),PAGADO!$E$2:$E$321,0),MATCH($D41,PAGADO!$F$1:$Q$1,0)))</f>
        <v>0</v>
      </c>
      <c r="R41" s="87">
        <f t="shared" ca="1" si="48"/>
        <v>0</v>
      </c>
      <c r="S41" s="85">
        <f ca="1">INDIRECT("Condiciones!"&amp;ADDRESS(VLOOKUP(S$2,Saltos,2,FALSE)+8*QUOTIENT((ROW()-3),13),MOD(ROW()-3,13)+COLUMN(Condiciones!$F$1)))</f>
        <v>0</v>
      </c>
      <c r="T41" s="87">
        <f t="shared" ca="1" si="49"/>
        <v>0</v>
      </c>
      <c r="U41" s="87">
        <f>IF(ISERROR(INDEX(PAGADO!$F$2:$R$321,MATCH(CONCATENATE($B$30,"Escala Crecimiento"),PAGADO!$E$2:$E$321,0),MATCH($D41,PAGADO!$F$1:$Q$1,0))),0,INDEX(PAGADO!$F$2:$R$321,MATCH(CONCATENATE($B$30,"Escala Crecimiento"),PAGADO!$E$2:$E$321,0),MATCH($D41,PAGADO!$F$1:$Q$1,0)))</f>
        <v>0</v>
      </c>
      <c r="V41" s="87">
        <f t="shared" ca="1" si="50"/>
        <v>0</v>
      </c>
      <c r="W41" s="85">
        <f ca="1">INDIRECT("Condiciones!"&amp;ADDRESS(VLOOKUP(W$2,Saltos,2,FALSE)+8*QUOTIENT((ROW()-3),13),MOD(ROW()-3,13)+COLUMN(Condiciones!$F$1)))</f>
        <v>0</v>
      </c>
      <c r="X41" s="87">
        <f t="shared" ca="1" si="51"/>
        <v>0</v>
      </c>
      <c r="Y41" s="87">
        <f>IF(ISERROR(INDEX(PAGADO!$F$2:$R$321,MATCH(CONCATENATE($B$30,"Escala Fija"),PAGADO!$E$2:$E$321,0),MATCH($D41,PAGADO!$F$1:$Q$1,0))),0,INDEX(PAGADO!$F$2:$R$321,MATCH(CONCATENATE($B$30,"Escala Fija"),PAGADO!$E$2:$E$321,0),MATCH($D41,PAGADO!$F$1:$Q$1,0)))</f>
        <v>-3847445</v>
      </c>
      <c r="Z41" s="87">
        <f t="shared" ca="1" si="52"/>
        <v>-3847445</v>
      </c>
      <c r="AA41" s="85">
        <f ca="1">INDIRECT("Condiciones!"&amp;ADDRESS(VLOOKUP(AA$2,Saltos,2,FALSE)+8*QUOTIENT((ROW()-3),13),MOD(ROW()-3,13)+COLUMN(Condiciones!$F$1)))</f>
        <v>0</v>
      </c>
      <c r="AB41" s="87">
        <f t="shared" ca="1" si="53"/>
        <v>0</v>
      </c>
      <c r="AC41" s="87">
        <f>IF(ISERROR(INDEX(PAGADO!$F$2:$R$321,MATCH(CONCATENATE($B$30,"Devoluciones"),PAGADO!$E$2:$E$321,0),MATCH($D41,PAGADO!$F$1:$Q$1,0))),0,INDEX(PAGADO!$F$2:$R$321,MATCH(CONCATENATE($B$30,"Devoluciones"),PAGADO!$E$2:$E$321,0),MATCH($D41,PAGADO!$F$1:$Q$1,0)))</f>
        <v>0</v>
      </c>
      <c r="AD41" s="87">
        <f t="shared" ca="1" si="54"/>
        <v>0</v>
      </c>
      <c r="AE41" s="85">
        <f ca="1">INDIRECT("Condiciones!"&amp;ADDRESS(VLOOKUP(AE$2,Saltos,2,FALSE)+8*QUOTIENT((ROW()-3),13),MOD(ROW()-3,13)+COLUMN(Condiciones!$F$1)))</f>
        <v>0</v>
      </c>
      <c r="AF41" s="87">
        <f t="shared" ca="1" si="55"/>
        <v>0</v>
      </c>
      <c r="AG41" s="87">
        <f>IF(ISERROR(INDEX(PAGADO!$F$2:$R$321,MATCH(CONCATENATE($B$30,"Otros"),PAGADO!$E$2:$E$321,0),MATCH($D41,PAGADO!$F$1:$Q$1,0))),0,INDEX(PAGADO!$F$2:$R$321,MATCH(CONCATENATE($B$30,"Otros"),PAGADO!$E$2:$E$321,0),MATCH($D41,PAGADO!$F$1:$Q$1,0)))</f>
        <v>0</v>
      </c>
      <c r="AH41" s="87">
        <f t="shared" ca="1" si="56"/>
        <v>0</v>
      </c>
      <c r="AI41" s="85">
        <f ca="1">INDIRECT("Condiciones!"&amp;ADDRESS(VLOOKUP(AI$2,Saltos,2,FALSE)+8*QUOTIENT((ROW()-3),13),MOD(ROW()-3,13)+COLUMN(Condiciones!$F$1)))</f>
        <v>0</v>
      </c>
      <c r="AJ41" s="87">
        <f t="shared" ca="1" si="57"/>
        <v>0</v>
      </c>
      <c r="AK41" s="87">
        <f>IF(ISERROR(INDEX(PAGADO!$F$2:$R$321,MATCH(CONCATENATE($B$30,"Aportes Manuales"),PAGADO!$E$2:$E$321,0),MATCH($D41,PAGADO!$F$1:$Q$1,0))),0,INDEX(PAGADO!$F$2:$R$321,MATCH(CONCATENATE($B$30,"Aportes Manuales"),PAGADO!$E$2:$E$321,0),MATCH($D41,PAGADO!$F$1:$Q$1,0)))</f>
        <v>-5164103</v>
      </c>
      <c r="AL41" s="87">
        <f t="shared" ca="1" si="58"/>
        <v>-5164103</v>
      </c>
      <c r="AM41" s="68"/>
      <c r="AN41" s="87">
        <f t="shared" ca="1" si="40"/>
        <v>7780906.2300000004</v>
      </c>
      <c r="AO41" s="87">
        <f t="shared" si="41"/>
        <v>-24182797</v>
      </c>
      <c r="AP41" s="87">
        <f t="shared" ca="1" si="42"/>
        <v>-16401890.77</v>
      </c>
    </row>
    <row r="42" spans="2:42">
      <c r="B42" s="89"/>
      <c r="C42" s="90"/>
      <c r="D42" s="91"/>
      <c r="E42" s="92">
        <f ca="1">SUM(E30:E41)</f>
        <v>1651672308</v>
      </c>
      <c r="F42" s="92">
        <f ca="1">SUM(F30:F41)</f>
        <v>0</v>
      </c>
      <c r="G42" s="93"/>
      <c r="H42" s="94">
        <f>SUM(H30:H41)</f>
        <v>163256331.31999999</v>
      </c>
      <c r="I42" s="95">
        <f>SUM(I30:I41)</f>
        <v>-116405706</v>
      </c>
      <c r="J42" s="95">
        <f>SUM(J30:J41)</f>
        <v>46850625.319999993</v>
      </c>
      <c r="K42" s="93"/>
      <c r="L42" s="95">
        <f ca="1">SUM(L30:L41)</f>
        <v>0</v>
      </c>
      <c r="M42" s="95">
        <f>SUM(M30:M41)</f>
        <v>0</v>
      </c>
      <c r="N42" s="95">
        <f ca="1">SUM(N30:N41)</f>
        <v>0</v>
      </c>
      <c r="O42" s="93"/>
      <c r="P42" s="95">
        <f ca="1">SUM(P30:P41)</f>
        <v>0</v>
      </c>
      <c r="Q42" s="96">
        <f>SUM(Q30:Q41)</f>
        <v>0</v>
      </c>
      <c r="R42" s="95">
        <f ca="1">SUM(R30:R41)</f>
        <v>0</v>
      </c>
      <c r="S42" s="93"/>
      <c r="T42" s="95">
        <f ca="1">SUM(T30:T41)</f>
        <v>0</v>
      </c>
      <c r="U42" s="95">
        <f>SUM(U30:U41)</f>
        <v>0</v>
      </c>
      <c r="V42" s="95">
        <f ca="1">SUM(V30:V41)</f>
        <v>0</v>
      </c>
      <c r="W42" s="93"/>
      <c r="X42" s="95">
        <f ca="1">SUM(X30:X41)</f>
        <v>0</v>
      </c>
      <c r="Y42" s="95">
        <f>SUM(Y30:Y41)</f>
        <v>-26938596</v>
      </c>
      <c r="Z42" s="95">
        <f ca="1">SUM(Z30:Z41)</f>
        <v>-26938596</v>
      </c>
      <c r="AA42" s="93"/>
      <c r="AB42" s="95">
        <f ca="1">SUM(AB30:AB41)</f>
        <v>0</v>
      </c>
      <c r="AC42" s="95">
        <f>SUM(AC30:AC41)</f>
        <v>0</v>
      </c>
      <c r="AD42" s="95">
        <f ca="1">SUM(AD30:AD41)</f>
        <v>0</v>
      </c>
      <c r="AE42" s="93"/>
      <c r="AF42" s="95">
        <f ca="1">SUM(AF30:AF41)</f>
        <v>0</v>
      </c>
      <c r="AG42" s="95">
        <f>SUM(AG30:AG41)</f>
        <v>0</v>
      </c>
      <c r="AH42" s="95">
        <f ca="1">SUM(AH30:AH41)</f>
        <v>0</v>
      </c>
      <c r="AI42" s="93"/>
      <c r="AJ42" s="95">
        <f ca="1">SUM(AJ30:AJ41)</f>
        <v>0</v>
      </c>
      <c r="AK42" s="95">
        <f>SUM(AK30:AK41)</f>
        <v>-5163616</v>
      </c>
      <c r="AL42" s="95">
        <f ca="1">SUM(AL30:AL41)</f>
        <v>-5163616</v>
      </c>
      <c r="AM42" s="68"/>
      <c r="AN42" s="95">
        <f ca="1">SUM(AN30:AN41)</f>
        <v>163256331.31999999</v>
      </c>
      <c r="AO42" s="95">
        <f>SUM(AO30:AO41)</f>
        <v>-148507918</v>
      </c>
      <c r="AP42" s="95">
        <f ca="1">SUM(AP30:AP41)</f>
        <v>14748413.319999997</v>
      </c>
    </row>
    <row r="43" spans="2:42">
      <c r="B43" s="121" t="s">
        <v>758</v>
      </c>
      <c r="C43" s="82">
        <f>DATE($B$2,1,1)</f>
        <v>45658</v>
      </c>
      <c r="D43" s="83" t="str">
        <f>TEXT(C43,"YYYYMM")</f>
        <v>202501</v>
      </c>
      <c r="E43" s="84">
        <f ca="1">IF(ISERROR(INDEX(IV_Compras_Totales_Base!$E$2:$P$300,MATCH(INDIRECT(ADDRESS(4+13*QUOTIENT(ROW()-3,13),2,1,1)),IV_Compras_Totales_Base!$C$2:$C$300,0),MATCH($D43,IV_Compras_Totales_Base!$E$1:$P$1,0))),0,INDEX(IV_Compras_Totales_Base!$E$2:$P$300,MATCH(INDIRECT(ADDRESS(4+13*QUOTIENT(ROW()-3,13),2,1,1)),IV_Compras_Totales_Base!$C$2:$C$300,0),MATCH($D43,IV_Compras_Totales_Base!$E$1:$P$1,0)))</f>
        <v>0</v>
      </c>
      <c r="F43" s="84">
        <f ca="1">IF(ISERROR(INDEX(V_Compras_Logistica_Base!$E$2:$P$300,MATCH(INDIRECT(ADDRESS(4+13*QUOTIENT(ROW()-3,13),2,1,1)),V_Compras_Logistica_Base!$C$2:$C$300,0),MATCH($D43,V_Compras_Logistica_Base!$E$1:$P$1,0))),0,INDEX(V_Compras_Logistica_Base!$E$2:$P$300,MATCH(INDIRECT(ADDRESS(4+13*QUOTIENT(ROW()-3,13),2,1,1)),V_Compras_Logistica_Base!$C$2:$C$300,0),MATCH($D43,V_Compras_Logistica_Base!$E$1:$P$1,0)))</f>
        <v>0</v>
      </c>
      <c r="G43" s="85">
        <f ca="1">INDIRECT("Condiciones!"&amp;ADDRESS(VLOOKUP(G$2,Saltos,2,FALSE)+8*QUOTIENT((ROW()-3),13),MOD(ROW()-3,13)+COLUMN(Condiciones!$F$1)))</f>
        <v>0</v>
      </c>
      <c r="H43" s="86">
        <f ca="1">IF($E43="",0,G43*$E43)</f>
        <v>0</v>
      </c>
      <c r="I43" s="87">
        <f>IF(ISERROR(INDEX(PAGADO!$F$2:$R$321,MATCH(CONCATENATE($B$43,"Publicidad"),PAGADO!$E$2:$E$321,0),MATCH($D43,PAGADO!$F$1:$Q$1,0))),0,INDEX(PAGADO!$F$2:$R$321,MATCH(CONCATENATE($B$43,"Publicidad"),PAGADO!$E$2:$E$321,0),MATCH($D43,PAGADO!$F$1:$Q$1,0)))</f>
        <v>0</v>
      </c>
      <c r="J43" s="87">
        <f ca="1">H43+I43</f>
        <v>0</v>
      </c>
      <c r="K43" s="85">
        <f ca="1">INDIRECT("Condiciones!"&amp;ADDRESS(VLOOKUP(K$2,Saltos,2,FALSE)+8*QUOTIENT((ROW()-3),13),MOD(ROW()-3,13)+COLUMN(Condiciones!$F$1)))</f>
        <v>0</v>
      </c>
      <c r="L43" s="88">
        <f ca="1">IF($F43="",0,K43*$F43)</f>
        <v>0</v>
      </c>
      <c r="M43" s="87">
        <f>IF(ISERROR(INDEX(PAGADO!$F$2:$R$321,MATCH(CONCATENATE($B$43,"Logistica"),PAGADO!$E$2:$E$321,0),MATCH($D43,PAGADO!$F$1:$Q$1,0))),0,INDEX(PAGADO!$F$2:$R$321,MATCH(CONCATENATE($B$43,"Logistica"),PAGADO!$E$2:$E$321,0),MATCH($D43,PAGADO!$F$1:$Q$1,0)))</f>
        <v>0</v>
      </c>
      <c r="N43" s="87">
        <f ca="1">L43+M43</f>
        <v>0</v>
      </c>
      <c r="O43" s="85">
        <f ca="1">INDIRECT("Condiciones!"&amp;ADDRESS(VLOOKUP(O$2,Saltos,2,FALSE)+8*QUOTIENT((ROW()-3),13),MOD(ROW()-3,13)+COLUMN(Condiciones!$F$1)))</f>
        <v>0</v>
      </c>
      <c r="P43" s="87">
        <f ca="1">IF($E43="",0,O43*$E43)</f>
        <v>0</v>
      </c>
      <c r="Q43" s="88">
        <f>IF(ISERROR(INDEX(PAGADO!$F$2:$R$321,MATCH(CONCATENATE($B$43,"Centralizada"),PAGADO!$E$2:$E$321,0),MATCH($D43,PAGADO!$F$1:$Q$1,0))),0,INDEX(PAGADO!$F$2:$R$321,MATCH(CONCATENATE($B$43,"Centralizada"),PAGADO!$E$2:$E$321,0),MATCH($D43,PAGADO!$F$1:$Q$1,0)))</f>
        <v>0</v>
      </c>
      <c r="R43" s="87">
        <f ca="1">P43+Q43</f>
        <v>0</v>
      </c>
      <c r="S43" s="85">
        <f ca="1">INDIRECT("Condiciones!"&amp;ADDRESS(VLOOKUP(S$2,Saltos,2,FALSE)+8*QUOTIENT((ROW()-3),13),MOD(ROW()-3,13)+COLUMN(Condiciones!$F$1)))</f>
        <v>0</v>
      </c>
      <c r="T43" s="87">
        <f ca="1">IF($E43="",0,S43*$E43)</f>
        <v>0</v>
      </c>
      <c r="U43" s="87">
        <f>IF(ISERROR(INDEX(PAGADO!$F$2:$R$321,MATCH(CONCATENATE($B$43,"Escala Crecimiento"),PAGADO!$E$2:$E$321,0),MATCH($D43,PAGADO!$F$1:$Q$1,0))),0,INDEX(PAGADO!$F$2:$R$321,MATCH(CONCATENATE($B$43,"Escala Crecimiento"),PAGADO!$E$2:$E$321,0),MATCH($D43,PAGADO!$F$1:$Q$1,0)))</f>
        <v>0</v>
      </c>
      <c r="V43" s="87">
        <f ca="1">T43+U43</f>
        <v>0</v>
      </c>
      <c r="W43" s="85">
        <f ca="1">INDIRECT("Condiciones!"&amp;ADDRESS(VLOOKUP(W$2,Saltos,2,FALSE)+8*QUOTIENT((ROW()-3),13),MOD(ROW()-3,13)+COLUMN(Condiciones!$F$1)))</f>
        <v>0</v>
      </c>
      <c r="X43" s="87">
        <f ca="1">IF($E43="",0,W43*$E43)</f>
        <v>0</v>
      </c>
      <c r="Y43" s="87">
        <f>IF(ISERROR(INDEX(PAGADO!$F$2:$R$321,MATCH(CONCATENATE($B$43,"Escala Fija"),PAGADO!$E$2:$E$321,0),MATCH($D43,PAGADO!$F$1:$Q$1,0))),0,INDEX(PAGADO!$F$2:$R$321,MATCH(CONCATENATE($B$43,"Escala Fija"),PAGADO!$E$2:$E$321,0),MATCH($D43,PAGADO!$F$1:$Q$1,0)))</f>
        <v>0</v>
      </c>
      <c r="Z43" s="87">
        <f ca="1">X43+Y43</f>
        <v>0</v>
      </c>
      <c r="AA43" s="85">
        <f ca="1">INDIRECT("Condiciones!"&amp;ADDRESS(VLOOKUP(AA$2,Saltos,2,FALSE)+8*QUOTIENT((ROW()-3),13),MOD(ROW()-3,13)+COLUMN(Condiciones!$F$1)))</f>
        <v>0</v>
      </c>
      <c r="AB43" s="87">
        <f ca="1">IF($E43="",0,AA43*$E43)</f>
        <v>0</v>
      </c>
      <c r="AC43" s="87">
        <f>IF(ISERROR(INDEX(PAGADO!$F$2:$R$321,MATCH(CONCATENATE($B$43,"Devoluciones"),PAGADO!$E$2:$E$321,0),MATCH($D43,PAGADO!$F$1:$Q$1,0))),0,INDEX(PAGADO!$F$2:$R$321,MATCH(CONCATENATE($B$43,"Devoluciones"),PAGADO!$E$2:$E$321,0),MATCH($D43,PAGADO!$F$1:$Q$1,0)))</f>
        <v>0</v>
      </c>
      <c r="AD43" s="87">
        <f ca="1">AB43+AC43</f>
        <v>0</v>
      </c>
      <c r="AE43" s="85">
        <f ca="1">INDIRECT("Condiciones!"&amp;ADDRESS(VLOOKUP(AE$2,Saltos,2,FALSE)+8*QUOTIENT((ROW()-3),13),MOD(ROW()-3,13)+COLUMN(Condiciones!$F$1)))</f>
        <v>0</v>
      </c>
      <c r="AF43" s="87">
        <f ca="1">IF($E43="",0,AE43*$E43)</f>
        <v>0</v>
      </c>
      <c r="AG43" s="87">
        <f>IF(ISERROR(INDEX(PAGADO!$F$2:$R$321,MATCH(CONCATENATE($B$43,"Otros"),PAGADO!$E$2:$E$321,0),MATCH($D43,PAGADO!$F$1:$Q$1,0))),0,INDEX(PAGADO!$F$2:$R$321,MATCH(CONCATENATE($B$43,"Otros"),PAGADO!$E$2:$E$321,0),MATCH($D43,PAGADO!$F$1:$Q$1,0)))</f>
        <v>0</v>
      </c>
      <c r="AH43" s="87">
        <f ca="1">AF43+AG43</f>
        <v>0</v>
      </c>
      <c r="AI43" s="85">
        <f ca="1">INDIRECT("Condiciones!"&amp;ADDRESS(VLOOKUP(AI$2,Saltos,2,FALSE)+8*QUOTIENT((ROW()-3),13),MOD(ROW()-3,13)+COLUMN(Condiciones!$F$1)))</f>
        <v>0</v>
      </c>
      <c r="AJ43" s="87">
        <f ca="1">IF($E43="",0,AI43*$E43)</f>
        <v>0</v>
      </c>
      <c r="AK43" s="87">
        <f>IF(ISERROR(INDEX(PAGADO!$F$2:$R$321,MATCH(CONCATENATE($B$43,"Aportes Manuales"),PAGADO!$E$2:$E$321,0),MATCH($D43,PAGADO!$F$1:$Q$1,0))),0,INDEX(PAGADO!$F$2:$R$321,MATCH(CONCATENATE($B$43,"Aportes Manuales"),PAGADO!$E$2:$E$321,0),MATCH($D43,PAGADO!$F$1:$Q$1,0)))</f>
        <v>0</v>
      </c>
      <c r="AL43" s="87">
        <f ca="1">AJ43+AK43</f>
        <v>0</v>
      </c>
      <c r="AM43" s="68"/>
      <c r="AN43" s="87">
        <f t="shared" ref="AN43:AN54" ca="1" si="59">H43+L43+P43+T43+X43+AB43+AF43+AJ43</f>
        <v>0</v>
      </c>
      <c r="AO43" s="87">
        <f t="shared" ref="AO43:AO54" si="60">I43+M43+Q43+U43+Y43+AC43+AG43+AK43</f>
        <v>0</v>
      </c>
      <c r="AP43" s="87">
        <f t="shared" ref="AP43:AP54" ca="1" si="61">AN43+AO43</f>
        <v>0</v>
      </c>
    </row>
    <row r="44" spans="2:42">
      <c r="B44" s="122"/>
      <c r="C44" s="82">
        <f>DATE($B$2,2,1)</f>
        <v>45689</v>
      </c>
      <c r="D44" s="83" t="str">
        <f t="shared" ref="D44:D54" si="62">TEXT(C44,"YYYYMM")</f>
        <v>202502</v>
      </c>
      <c r="E44" s="84">
        <f ca="1">IF(ISERROR(INDEX(IV_Compras_Totales_Base!$E$2:$P$300,MATCH(INDIRECT(ADDRESS(4+13*QUOTIENT(ROW()-3,13),2,1,1)),IV_Compras_Totales_Base!$C$2:$C$300,0),MATCH($D44,IV_Compras_Totales_Base!$E$1:$P$1,0))),0,INDEX(IV_Compras_Totales_Base!$E$2:$P$300,MATCH(INDIRECT(ADDRESS(4+13*QUOTIENT(ROW()-3,13),2,1,1)),IV_Compras_Totales_Base!$C$2:$C$300,0),MATCH($D44,IV_Compras_Totales_Base!$E$1:$P$1,0)))</f>
        <v>0</v>
      </c>
      <c r="F44" s="84">
        <f ca="1">IF(ISERROR(INDEX(V_Compras_Logistica_Base!$E$2:$P$300,MATCH(INDIRECT(ADDRESS(4+13*QUOTIENT(ROW()-3,13),2,1,1)),V_Compras_Logistica_Base!$C$2:$C$300,0),MATCH($D44,V_Compras_Logistica_Base!$E$1:$P$1,0))),0,INDEX(V_Compras_Logistica_Base!$E$2:$P$300,MATCH(INDIRECT(ADDRESS(4+13*QUOTIENT(ROW()-3,13),2,1,1)),V_Compras_Logistica_Base!$C$2:$C$300,0),MATCH($D44,V_Compras_Logistica_Base!$E$1:$P$1,0)))</f>
        <v>0</v>
      </c>
      <c r="G44" s="85">
        <f ca="1">INDIRECT("Condiciones!"&amp;ADDRESS(VLOOKUP(G$2,Saltos,2,FALSE)+8*QUOTIENT((ROW()-3),13),MOD(ROW()-3,13)+COLUMN(Condiciones!$F$1)))</f>
        <v>0</v>
      </c>
      <c r="H44" s="86">
        <f t="shared" ref="H44:H54" ca="1" si="63">IF($E44="",0,G44*$E44)</f>
        <v>0</v>
      </c>
      <c r="I44" s="87">
        <f>IF(ISERROR(INDEX(PAGADO!$F$2:$R$321,MATCH(CONCATENATE($B$43,"Publicidad"),PAGADO!$E$2:$E$321,0),MATCH($D44,PAGADO!$F$1:$Q$1,0))),0,INDEX(PAGADO!$F$2:$R$321,MATCH(CONCATENATE($B$43,"Publicidad"),PAGADO!$E$2:$E$321,0),MATCH($D44,PAGADO!$F$1:$Q$1,0)))</f>
        <v>0</v>
      </c>
      <c r="J44" s="87">
        <f t="shared" ref="J44:J54" ca="1" si="64">H44+I44</f>
        <v>0</v>
      </c>
      <c r="K44" s="85">
        <f ca="1">INDIRECT("Condiciones!"&amp;ADDRESS(VLOOKUP(K$2,Saltos,2,FALSE)+8*QUOTIENT((ROW()-3),13),MOD(ROW()-3,13)+COLUMN(Condiciones!$F$1)))</f>
        <v>0</v>
      </c>
      <c r="L44" s="88">
        <f t="shared" ref="L44:L54" ca="1" si="65">IF($F44="",0,K44*$F44)</f>
        <v>0</v>
      </c>
      <c r="M44" s="87">
        <f>IF(ISERROR(INDEX(PAGADO!$F$2:$R$321,MATCH(CONCATENATE($B$43,"Logistica"),PAGADO!$E$2:$E$321,0),MATCH($D44,PAGADO!$F$1:$Q$1,0))),0,INDEX(PAGADO!$F$2:$R$321,MATCH(CONCATENATE($B$43,"Logistica"),PAGADO!$E$2:$E$321,0),MATCH($D44,PAGADO!$F$1:$Q$1,0)))</f>
        <v>0</v>
      </c>
      <c r="N44" s="87">
        <f t="shared" ref="N44:N54" ca="1" si="66">L44+M44</f>
        <v>0</v>
      </c>
      <c r="O44" s="85">
        <f ca="1">INDIRECT("Condiciones!"&amp;ADDRESS(VLOOKUP(O$2,Saltos,2,FALSE)+8*QUOTIENT((ROW()-3),13),MOD(ROW()-3,13)+COLUMN(Condiciones!$F$1)))</f>
        <v>0</v>
      </c>
      <c r="P44" s="87">
        <f t="shared" ref="P44:P54" ca="1" si="67">IF($E44="",0,O44*$E44)</f>
        <v>0</v>
      </c>
      <c r="Q44" s="88">
        <f>IF(ISERROR(INDEX(PAGADO!$F$2:$R$321,MATCH(CONCATENATE($B$43,"Centralizada"),PAGADO!$E$2:$E$321,0),MATCH($D44,PAGADO!$F$1:$Q$1,0))),0,INDEX(PAGADO!$F$2:$R$321,MATCH(CONCATENATE($B$43,"Centralizada"),PAGADO!$E$2:$E$321,0),MATCH($D44,PAGADO!$F$1:$Q$1,0)))</f>
        <v>0</v>
      </c>
      <c r="R44" s="87">
        <f t="shared" ref="R44:R54" ca="1" si="68">P44+Q44</f>
        <v>0</v>
      </c>
      <c r="S44" s="85">
        <f ca="1">INDIRECT("Condiciones!"&amp;ADDRESS(VLOOKUP(S$2,Saltos,2,FALSE)+8*QUOTIENT((ROW()-3),13),MOD(ROW()-3,13)+COLUMN(Condiciones!$F$1)))</f>
        <v>0</v>
      </c>
      <c r="T44" s="87">
        <f t="shared" ref="T44:T54" ca="1" si="69">IF($E44="",0,S44*$E44)</f>
        <v>0</v>
      </c>
      <c r="U44" s="87">
        <f>IF(ISERROR(INDEX(PAGADO!$F$2:$R$321,MATCH(CONCATENATE($B$43,"Escala Crecimiento"),PAGADO!$E$2:$E$321,0),MATCH($D44,PAGADO!$F$1:$Q$1,0))),0,INDEX(PAGADO!$F$2:$R$321,MATCH(CONCATENATE($B$43,"Escala Crecimiento"),PAGADO!$E$2:$E$321,0),MATCH($D44,PAGADO!$F$1:$Q$1,0)))</f>
        <v>0</v>
      </c>
      <c r="V44" s="87">
        <f t="shared" ref="V44:V54" ca="1" si="70">T44+U44</f>
        <v>0</v>
      </c>
      <c r="W44" s="85">
        <f ca="1">INDIRECT("Condiciones!"&amp;ADDRESS(VLOOKUP(W$2,Saltos,2,FALSE)+8*QUOTIENT((ROW()-3),13),MOD(ROW()-3,13)+COLUMN(Condiciones!$F$1)))</f>
        <v>0</v>
      </c>
      <c r="X44" s="87">
        <f t="shared" ref="X44:X54" ca="1" si="71">IF($E44="",0,W44*$E44)</f>
        <v>0</v>
      </c>
      <c r="Y44" s="87">
        <f>IF(ISERROR(INDEX(PAGADO!$F$2:$R$321,MATCH(CONCATENATE($B$43,"Escala Fija"),PAGADO!$E$2:$E$321,0),MATCH($D44,PAGADO!$F$1:$Q$1,0))),0,INDEX(PAGADO!$F$2:$R$321,MATCH(CONCATENATE($B$43,"Escala Fija"),PAGADO!$E$2:$E$321,0),MATCH($D44,PAGADO!$F$1:$Q$1,0)))</f>
        <v>0</v>
      </c>
      <c r="Z44" s="87">
        <f t="shared" ref="Z44:Z54" ca="1" si="72">X44+Y44</f>
        <v>0</v>
      </c>
      <c r="AA44" s="85">
        <f ca="1">INDIRECT("Condiciones!"&amp;ADDRESS(VLOOKUP(AA$2,Saltos,2,FALSE)+8*QUOTIENT((ROW()-3),13),MOD(ROW()-3,13)+COLUMN(Condiciones!$F$1)))</f>
        <v>0</v>
      </c>
      <c r="AB44" s="87">
        <f t="shared" ref="AB44:AB54" ca="1" si="73">IF($E44="",0,AA44*$E44)</f>
        <v>0</v>
      </c>
      <c r="AC44" s="87">
        <f>IF(ISERROR(INDEX(PAGADO!$F$2:$R$321,MATCH(CONCATENATE($B$43,"Devoluciones"),PAGADO!$E$2:$E$321,0),MATCH($D44,PAGADO!$F$1:$Q$1,0))),0,INDEX(PAGADO!$F$2:$R$321,MATCH(CONCATENATE($B$43,"Devoluciones"),PAGADO!$E$2:$E$321,0),MATCH($D44,PAGADO!$F$1:$Q$1,0)))</f>
        <v>0</v>
      </c>
      <c r="AD44" s="87">
        <f t="shared" ref="AD44:AD54" ca="1" si="74">AB44+AC44</f>
        <v>0</v>
      </c>
      <c r="AE44" s="85">
        <f ca="1">INDIRECT("Condiciones!"&amp;ADDRESS(VLOOKUP(AE$2,Saltos,2,FALSE)+8*QUOTIENT((ROW()-3),13),MOD(ROW()-3,13)+COLUMN(Condiciones!$F$1)))</f>
        <v>0</v>
      </c>
      <c r="AF44" s="87">
        <f t="shared" ref="AF44:AF54" ca="1" si="75">IF($E44="",0,AE44*$E44)</f>
        <v>0</v>
      </c>
      <c r="AG44" s="87">
        <f>IF(ISERROR(INDEX(PAGADO!$F$2:$R$321,MATCH(CONCATENATE($B$43,"Otros"),PAGADO!$E$2:$E$321,0),MATCH($D44,PAGADO!$F$1:$Q$1,0))),0,INDEX(PAGADO!$F$2:$R$321,MATCH(CONCATENATE($B$43,"Otros"),PAGADO!$E$2:$E$321,0),MATCH($D44,PAGADO!$F$1:$Q$1,0)))</f>
        <v>0</v>
      </c>
      <c r="AH44" s="87">
        <f t="shared" ref="AH44:AH54" ca="1" si="76">AF44+AG44</f>
        <v>0</v>
      </c>
      <c r="AI44" s="85">
        <f ca="1">INDIRECT("Condiciones!"&amp;ADDRESS(VLOOKUP(AI$2,Saltos,2,FALSE)+8*QUOTIENT((ROW()-3),13),MOD(ROW()-3,13)+COLUMN(Condiciones!$F$1)))</f>
        <v>0</v>
      </c>
      <c r="AJ44" s="87">
        <f t="shared" ref="AJ44:AJ54" ca="1" si="77">IF($E44="",0,AI44*$E44)</f>
        <v>0</v>
      </c>
      <c r="AK44" s="87">
        <f>IF(ISERROR(INDEX(PAGADO!$F$2:$R$321,MATCH(CONCATENATE($B$43,"Aportes Manuales"),PAGADO!$E$2:$E$321,0),MATCH($D44,PAGADO!$F$1:$Q$1,0))),0,INDEX(PAGADO!$F$2:$R$321,MATCH(CONCATENATE($B$43,"Aportes Manuales"),PAGADO!$E$2:$E$321,0),MATCH($D44,PAGADO!$F$1:$Q$1,0)))</f>
        <v>0</v>
      </c>
      <c r="AL44" s="87">
        <f t="shared" ref="AL44:AL54" ca="1" si="78">AJ44+AK44</f>
        <v>0</v>
      </c>
      <c r="AM44" s="68"/>
      <c r="AN44" s="87">
        <f t="shared" ca="1" si="59"/>
        <v>0</v>
      </c>
      <c r="AO44" s="87">
        <f t="shared" si="60"/>
        <v>0</v>
      </c>
      <c r="AP44" s="87">
        <f t="shared" ca="1" si="61"/>
        <v>0</v>
      </c>
    </row>
    <row r="45" spans="2:42">
      <c r="B45" s="122"/>
      <c r="C45" s="82">
        <f>DATE($B$2,3,1)</f>
        <v>45717</v>
      </c>
      <c r="D45" s="83" t="str">
        <f t="shared" si="62"/>
        <v>202503</v>
      </c>
      <c r="E45" s="84">
        <f ca="1">IF(ISERROR(INDEX(IV_Compras_Totales_Base!$E$2:$P$300,MATCH(INDIRECT(ADDRESS(4+13*QUOTIENT(ROW()-3,13),2,1,1)),IV_Compras_Totales_Base!$C$2:$C$300,0),MATCH($D45,IV_Compras_Totales_Base!$E$1:$P$1,0))),0,INDEX(IV_Compras_Totales_Base!$E$2:$P$300,MATCH(INDIRECT(ADDRESS(4+13*QUOTIENT(ROW()-3,13),2,1,1)),IV_Compras_Totales_Base!$C$2:$C$300,0),MATCH($D45,IV_Compras_Totales_Base!$E$1:$P$1,0)))</f>
        <v>0</v>
      </c>
      <c r="F45" s="84">
        <f ca="1">IF(ISERROR(INDEX(V_Compras_Logistica_Base!$E$2:$P$300,MATCH(INDIRECT(ADDRESS(4+13*QUOTIENT(ROW()-3,13),2,1,1)),V_Compras_Logistica_Base!$C$2:$C$300,0),MATCH($D45,V_Compras_Logistica_Base!$E$1:$P$1,0))),0,INDEX(V_Compras_Logistica_Base!$E$2:$P$300,MATCH(INDIRECT(ADDRESS(4+13*QUOTIENT(ROW()-3,13),2,1,1)),V_Compras_Logistica_Base!$C$2:$C$300,0),MATCH($D45,V_Compras_Logistica_Base!$E$1:$P$1,0)))</f>
        <v>0</v>
      </c>
      <c r="G45" s="85">
        <f ca="1">INDIRECT("Condiciones!"&amp;ADDRESS(VLOOKUP(G$2,Saltos,2,FALSE)+8*QUOTIENT((ROW()-3),13),MOD(ROW()-3,13)+COLUMN(Condiciones!$F$1)))</f>
        <v>0</v>
      </c>
      <c r="H45" s="86">
        <f t="shared" ca="1" si="63"/>
        <v>0</v>
      </c>
      <c r="I45" s="87">
        <f>IF(ISERROR(INDEX(PAGADO!$F$2:$R$321,MATCH(CONCATENATE($B$43,"Publicidad"),PAGADO!$E$2:$E$321,0),MATCH($D45,PAGADO!$F$1:$Q$1,0))),0,INDEX(PAGADO!$F$2:$R$321,MATCH(CONCATENATE($B$43,"Publicidad"),PAGADO!$E$2:$E$321,0),MATCH($D45,PAGADO!$F$1:$Q$1,0)))</f>
        <v>0</v>
      </c>
      <c r="J45" s="87">
        <f t="shared" ca="1" si="64"/>
        <v>0</v>
      </c>
      <c r="K45" s="85">
        <f ca="1">INDIRECT("Condiciones!"&amp;ADDRESS(VLOOKUP(K$2,Saltos,2,FALSE)+8*QUOTIENT((ROW()-3),13),MOD(ROW()-3,13)+COLUMN(Condiciones!$F$1)))</f>
        <v>0</v>
      </c>
      <c r="L45" s="88">
        <f t="shared" ca="1" si="65"/>
        <v>0</v>
      </c>
      <c r="M45" s="87">
        <f>IF(ISERROR(INDEX(PAGADO!$F$2:$R$321,MATCH(CONCATENATE($B$43,"Logistica"),PAGADO!$E$2:$E$321,0),MATCH($D45,PAGADO!$F$1:$Q$1,0))),0,INDEX(PAGADO!$F$2:$R$321,MATCH(CONCATENATE($B$43,"Logistica"),PAGADO!$E$2:$E$321,0),MATCH($D45,PAGADO!$F$1:$Q$1,0)))</f>
        <v>0</v>
      </c>
      <c r="N45" s="87">
        <f t="shared" ca="1" si="66"/>
        <v>0</v>
      </c>
      <c r="O45" s="85">
        <f ca="1">INDIRECT("Condiciones!"&amp;ADDRESS(VLOOKUP(O$2,Saltos,2,FALSE)+8*QUOTIENT((ROW()-3),13),MOD(ROW()-3,13)+COLUMN(Condiciones!$F$1)))</f>
        <v>0</v>
      </c>
      <c r="P45" s="87">
        <f t="shared" ca="1" si="67"/>
        <v>0</v>
      </c>
      <c r="Q45" s="88">
        <f>IF(ISERROR(INDEX(PAGADO!$F$2:$R$321,MATCH(CONCATENATE($B$43,"Centralizada"),PAGADO!$E$2:$E$321,0),MATCH($D45,PAGADO!$F$1:$Q$1,0))),0,INDEX(PAGADO!$F$2:$R$321,MATCH(CONCATENATE($B$43,"Centralizada"),PAGADO!$E$2:$E$321,0),MATCH($D45,PAGADO!$F$1:$Q$1,0)))</f>
        <v>0</v>
      </c>
      <c r="R45" s="87">
        <f t="shared" ca="1" si="68"/>
        <v>0</v>
      </c>
      <c r="S45" s="85">
        <f ca="1">INDIRECT("Condiciones!"&amp;ADDRESS(VLOOKUP(S$2,Saltos,2,FALSE)+8*QUOTIENT((ROW()-3),13),MOD(ROW()-3,13)+COLUMN(Condiciones!$F$1)))</f>
        <v>0</v>
      </c>
      <c r="T45" s="87">
        <f t="shared" ca="1" si="69"/>
        <v>0</v>
      </c>
      <c r="U45" s="87">
        <f>IF(ISERROR(INDEX(PAGADO!$F$2:$R$321,MATCH(CONCATENATE($B$43,"Escala Crecimiento"),PAGADO!$E$2:$E$321,0),MATCH($D45,PAGADO!$F$1:$Q$1,0))),0,INDEX(PAGADO!$F$2:$R$321,MATCH(CONCATENATE($B$43,"Escala Crecimiento"),PAGADO!$E$2:$E$321,0),MATCH($D45,PAGADO!$F$1:$Q$1,0)))</f>
        <v>0</v>
      </c>
      <c r="V45" s="87">
        <f t="shared" ca="1" si="70"/>
        <v>0</v>
      </c>
      <c r="W45" s="85">
        <f ca="1">INDIRECT("Condiciones!"&amp;ADDRESS(VLOOKUP(W$2,Saltos,2,FALSE)+8*QUOTIENT((ROW()-3),13),MOD(ROW()-3,13)+COLUMN(Condiciones!$F$1)))</f>
        <v>0</v>
      </c>
      <c r="X45" s="87">
        <f t="shared" ca="1" si="71"/>
        <v>0</v>
      </c>
      <c r="Y45" s="87">
        <f>IF(ISERROR(INDEX(PAGADO!$F$2:$R$321,MATCH(CONCATENATE($B$43,"Escala Fija"),PAGADO!$E$2:$E$321,0),MATCH($D45,PAGADO!$F$1:$Q$1,0))),0,INDEX(PAGADO!$F$2:$R$321,MATCH(CONCATENATE($B$43,"Escala Fija"),PAGADO!$E$2:$E$321,0),MATCH($D45,PAGADO!$F$1:$Q$1,0)))</f>
        <v>0</v>
      </c>
      <c r="Z45" s="87">
        <f t="shared" ca="1" si="72"/>
        <v>0</v>
      </c>
      <c r="AA45" s="85">
        <f ca="1">INDIRECT("Condiciones!"&amp;ADDRESS(VLOOKUP(AA$2,Saltos,2,FALSE)+8*QUOTIENT((ROW()-3),13),MOD(ROW()-3,13)+COLUMN(Condiciones!$F$1)))</f>
        <v>0</v>
      </c>
      <c r="AB45" s="87">
        <f t="shared" ca="1" si="73"/>
        <v>0</v>
      </c>
      <c r="AC45" s="87">
        <f>IF(ISERROR(INDEX(PAGADO!$F$2:$R$321,MATCH(CONCATENATE($B$43,"Devoluciones"),PAGADO!$E$2:$E$321,0),MATCH($D45,PAGADO!$F$1:$Q$1,0))),0,INDEX(PAGADO!$F$2:$R$321,MATCH(CONCATENATE($B$43,"Devoluciones"),PAGADO!$E$2:$E$321,0),MATCH($D45,PAGADO!$F$1:$Q$1,0)))</f>
        <v>0</v>
      </c>
      <c r="AD45" s="87">
        <f t="shared" ca="1" si="74"/>
        <v>0</v>
      </c>
      <c r="AE45" s="85">
        <f ca="1">INDIRECT("Condiciones!"&amp;ADDRESS(VLOOKUP(AE$2,Saltos,2,FALSE)+8*QUOTIENT((ROW()-3),13),MOD(ROW()-3,13)+COLUMN(Condiciones!$F$1)))</f>
        <v>0</v>
      </c>
      <c r="AF45" s="87">
        <f t="shared" ca="1" si="75"/>
        <v>0</v>
      </c>
      <c r="AG45" s="87">
        <f>IF(ISERROR(INDEX(PAGADO!$F$2:$R$321,MATCH(CONCATENATE($B$43,"Otros"),PAGADO!$E$2:$E$321,0),MATCH($D45,PAGADO!$F$1:$Q$1,0))),0,INDEX(PAGADO!$F$2:$R$321,MATCH(CONCATENATE($B$43,"Otros"),PAGADO!$E$2:$E$321,0),MATCH($D45,PAGADO!$F$1:$Q$1,0)))</f>
        <v>0</v>
      </c>
      <c r="AH45" s="87">
        <f t="shared" ca="1" si="76"/>
        <v>0</v>
      </c>
      <c r="AI45" s="85">
        <f ca="1">INDIRECT("Condiciones!"&amp;ADDRESS(VLOOKUP(AI$2,Saltos,2,FALSE)+8*QUOTIENT((ROW()-3),13),MOD(ROW()-3,13)+COLUMN(Condiciones!$F$1)))</f>
        <v>0</v>
      </c>
      <c r="AJ45" s="87">
        <f t="shared" ca="1" si="77"/>
        <v>0</v>
      </c>
      <c r="AK45" s="87">
        <f>IF(ISERROR(INDEX(PAGADO!$F$2:$R$321,MATCH(CONCATENATE($B$43,"Aportes Manuales"),PAGADO!$E$2:$E$321,0),MATCH($D45,PAGADO!$F$1:$Q$1,0))),0,INDEX(PAGADO!$F$2:$R$321,MATCH(CONCATENATE($B$43,"Aportes Manuales"),PAGADO!$E$2:$E$321,0),MATCH($D45,PAGADO!$F$1:$Q$1,0)))</f>
        <v>0</v>
      </c>
      <c r="AL45" s="87">
        <f t="shared" ca="1" si="78"/>
        <v>0</v>
      </c>
      <c r="AM45" s="68"/>
      <c r="AN45" s="87">
        <f t="shared" ca="1" si="59"/>
        <v>0</v>
      </c>
      <c r="AO45" s="87">
        <f t="shared" si="60"/>
        <v>0</v>
      </c>
      <c r="AP45" s="87">
        <f t="shared" ca="1" si="61"/>
        <v>0</v>
      </c>
    </row>
    <row r="46" spans="2:42">
      <c r="B46" s="122"/>
      <c r="C46" s="82">
        <f>DATE($B$2,4,1)</f>
        <v>45748</v>
      </c>
      <c r="D46" s="83" t="str">
        <f t="shared" si="62"/>
        <v>202504</v>
      </c>
      <c r="E46" s="84">
        <f ca="1">IF(ISERROR(INDEX(IV_Compras_Totales_Base!$E$2:$P$300,MATCH(INDIRECT(ADDRESS(4+13*QUOTIENT(ROW()-3,13),2,1,1)),IV_Compras_Totales_Base!$C$2:$C$300,0),MATCH($D46,IV_Compras_Totales_Base!$E$1:$P$1,0))),0,INDEX(IV_Compras_Totales_Base!$E$2:$P$300,MATCH(INDIRECT(ADDRESS(4+13*QUOTIENT(ROW()-3,13),2,1,1)),IV_Compras_Totales_Base!$C$2:$C$300,0),MATCH($D46,IV_Compras_Totales_Base!$E$1:$P$1,0)))</f>
        <v>0</v>
      </c>
      <c r="F46" s="84">
        <f ca="1">IF(ISERROR(INDEX(V_Compras_Logistica_Base!$E$2:$P$300,MATCH(INDIRECT(ADDRESS(4+13*QUOTIENT(ROW()-3,13),2,1,1)),V_Compras_Logistica_Base!$C$2:$C$300,0),MATCH($D46,V_Compras_Logistica_Base!$E$1:$P$1,0))),0,INDEX(V_Compras_Logistica_Base!$E$2:$P$300,MATCH(INDIRECT(ADDRESS(4+13*QUOTIENT(ROW()-3,13),2,1,1)),V_Compras_Logistica_Base!$C$2:$C$300,0),MATCH($D46,V_Compras_Logistica_Base!$E$1:$P$1,0)))</f>
        <v>0</v>
      </c>
      <c r="G46" s="85">
        <f ca="1">INDIRECT("Condiciones!"&amp;ADDRESS(VLOOKUP(G$2,Saltos,2,FALSE)+8*QUOTIENT((ROW()-3),13),MOD(ROW()-3,13)+COLUMN(Condiciones!$F$1)))</f>
        <v>0</v>
      </c>
      <c r="H46" s="86">
        <f t="shared" ca="1" si="63"/>
        <v>0</v>
      </c>
      <c r="I46" s="87">
        <f>IF(ISERROR(INDEX(PAGADO!$F$2:$R$321,MATCH(CONCATENATE($B$43,"Publicidad"),PAGADO!$E$2:$E$321,0),MATCH($D46,PAGADO!$F$1:$Q$1,0))),0,INDEX(PAGADO!$F$2:$R$321,MATCH(CONCATENATE($B$43,"Publicidad"),PAGADO!$E$2:$E$321,0),MATCH($D46,PAGADO!$F$1:$Q$1,0)))</f>
        <v>0</v>
      </c>
      <c r="J46" s="87">
        <f t="shared" ca="1" si="64"/>
        <v>0</v>
      </c>
      <c r="K46" s="85">
        <f ca="1">INDIRECT("Condiciones!"&amp;ADDRESS(VLOOKUP(K$2,Saltos,2,FALSE)+8*QUOTIENT((ROW()-3),13),MOD(ROW()-3,13)+COLUMN(Condiciones!$F$1)))</f>
        <v>0</v>
      </c>
      <c r="L46" s="88">
        <f t="shared" ca="1" si="65"/>
        <v>0</v>
      </c>
      <c r="M46" s="87">
        <f>IF(ISERROR(INDEX(PAGADO!$F$2:$R$321,MATCH(CONCATENATE($B$43,"Logistica"),PAGADO!$E$2:$E$321,0),MATCH($D46,PAGADO!$F$1:$Q$1,0))),0,INDEX(PAGADO!$F$2:$R$321,MATCH(CONCATENATE($B$43,"Logistica"),PAGADO!$E$2:$E$321,0),MATCH($D46,PAGADO!$F$1:$Q$1,0)))</f>
        <v>0</v>
      </c>
      <c r="N46" s="87">
        <f t="shared" ca="1" si="66"/>
        <v>0</v>
      </c>
      <c r="O46" s="85">
        <f ca="1">INDIRECT("Condiciones!"&amp;ADDRESS(VLOOKUP(O$2,Saltos,2,FALSE)+8*QUOTIENT((ROW()-3),13),MOD(ROW()-3,13)+COLUMN(Condiciones!$F$1)))</f>
        <v>0</v>
      </c>
      <c r="P46" s="87">
        <f t="shared" ca="1" si="67"/>
        <v>0</v>
      </c>
      <c r="Q46" s="88">
        <f>IF(ISERROR(INDEX(PAGADO!$F$2:$R$321,MATCH(CONCATENATE($B$43,"Centralizada"),PAGADO!$E$2:$E$321,0),MATCH($D46,PAGADO!$F$1:$Q$1,0))),0,INDEX(PAGADO!$F$2:$R$321,MATCH(CONCATENATE($B$43,"Centralizada"),PAGADO!$E$2:$E$321,0),MATCH($D46,PAGADO!$F$1:$Q$1,0)))</f>
        <v>0</v>
      </c>
      <c r="R46" s="87">
        <f t="shared" ca="1" si="68"/>
        <v>0</v>
      </c>
      <c r="S46" s="85">
        <f ca="1">INDIRECT("Condiciones!"&amp;ADDRESS(VLOOKUP(S$2,Saltos,2,FALSE)+8*QUOTIENT((ROW()-3),13),MOD(ROW()-3,13)+COLUMN(Condiciones!$F$1)))</f>
        <v>0</v>
      </c>
      <c r="T46" s="87">
        <f t="shared" ca="1" si="69"/>
        <v>0</v>
      </c>
      <c r="U46" s="87">
        <f>IF(ISERROR(INDEX(PAGADO!$F$2:$R$321,MATCH(CONCATENATE($B$43,"Escala Crecimiento"),PAGADO!$E$2:$E$321,0),MATCH($D46,PAGADO!$F$1:$Q$1,0))),0,INDEX(PAGADO!$F$2:$R$321,MATCH(CONCATENATE($B$43,"Escala Crecimiento"),PAGADO!$E$2:$E$321,0),MATCH($D46,PAGADO!$F$1:$Q$1,0)))</f>
        <v>0</v>
      </c>
      <c r="V46" s="87">
        <f t="shared" ca="1" si="70"/>
        <v>0</v>
      </c>
      <c r="W46" s="85">
        <f ca="1">INDIRECT("Condiciones!"&amp;ADDRESS(VLOOKUP(W$2,Saltos,2,FALSE)+8*QUOTIENT((ROW()-3),13),MOD(ROW()-3,13)+COLUMN(Condiciones!$F$1)))</f>
        <v>0</v>
      </c>
      <c r="X46" s="87">
        <f t="shared" ca="1" si="71"/>
        <v>0</v>
      </c>
      <c r="Y46" s="87">
        <f>IF(ISERROR(INDEX(PAGADO!$F$2:$R$321,MATCH(CONCATENATE($B$43,"Escala Fija"),PAGADO!$E$2:$E$321,0),MATCH($D46,PAGADO!$F$1:$Q$1,0))),0,INDEX(PAGADO!$F$2:$R$321,MATCH(CONCATENATE($B$43,"Escala Fija"),PAGADO!$E$2:$E$321,0),MATCH($D46,PAGADO!$F$1:$Q$1,0)))</f>
        <v>0</v>
      </c>
      <c r="Z46" s="87">
        <f t="shared" ca="1" si="72"/>
        <v>0</v>
      </c>
      <c r="AA46" s="85">
        <f ca="1">INDIRECT("Condiciones!"&amp;ADDRESS(VLOOKUP(AA$2,Saltos,2,FALSE)+8*QUOTIENT((ROW()-3),13),MOD(ROW()-3,13)+COLUMN(Condiciones!$F$1)))</f>
        <v>0</v>
      </c>
      <c r="AB46" s="87">
        <f t="shared" ca="1" si="73"/>
        <v>0</v>
      </c>
      <c r="AC46" s="87">
        <f>IF(ISERROR(INDEX(PAGADO!$F$2:$R$321,MATCH(CONCATENATE($B$43,"Devoluciones"),PAGADO!$E$2:$E$321,0),MATCH($D46,PAGADO!$F$1:$Q$1,0))),0,INDEX(PAGADO!$F$2:$R$321,MATCH(CONCATENATE($B$43,"Devoluciones"),PAGADO!$E$2:$E$321,0),MATCH($D46,PAGADO!$F$1:$Q$1,0)))</f>
        <v>0</v>
      </c>
      <c r="AD46" s="87">
        <f t="shared" ca="1" si="74"/>
        <v>0</v>
      </c>
      <c r="AE46" s="85">
        <f ca="1">INDIRECT("Condiciones!"&amp;ADDRESS(VLOOKUP(AE$2,Saltos,2,FALSE)+8*QUOTIENT((ROW()-3),13),MOD(ROW()-3,13)+COLUMN(Condiciones!$F$1)))</f>
        <v>0</v>
      </c>
      <c r="AF46" s="87">
        <f t="shared" ca="1" si="75"/>
        <v>0</v>
      </c>
      <c r="AG46" s="87">
        <f>IF(ISERROR(INDEX(PAGADO!$F$2:$R$321,MATCH(CONCATENATE($B$43,"Otros"),PAGADO!$E$2:$E$321,0),MATCH($D46,PAGADO!$F$1:$Q$1,0))),0,INDEX(PAGADO!$F$2:$R$321,MATCH(CONCATENATE($B$43,"Otros"),PAGADO!$E$2:$E$321,0),MATCH($D46,PAGADO!$F$1:$Q$1,0)))</f>
        <v>0</v>
      </c>
      <c r="AH46" s="87">
        <f t="shared" ca="1" si="76"/>
        <v>0</v>
      </c>
      <c r="AI46" s="85">
        <f ca="1">INDIRECT("Condiciones!"&amp;ADDRESS(VLOOKUP(AI$2,Saltos,2,FALSE)+8*QUOTIENT((ROW()-3),13),MOD(ROW()-3,13)+COLUMN(Condiciones!$F$1)))</f>
        <v>0</v>
      </c>
      <c r="AJ46" s="87">
        <f t="shared" ca="1" si="77"/>
        <v>0</v>
      </c>
      <c r="AK46" s="87">
        <f>IF(ISERROR(INDEX(PAGADO!$F$2:$R$321,MATCH(CONCATENATE($B$43,"Aportes Manuales"),PAGADO!$E$2:$E$321,0),MATCH($D46,PAGADO!$F$1:$Q$1,0))),0,INDEX(PAGADO!$F$2:$R$321,MATCH(CONCATENATE($B$43,"Aportes Manuales"),PAGADO!$E$2:$E$321,0),MATCH($D46,PAGADO!$F$1:$Q$1,0)))</f>
        <v>0</v>
      </c>
      <c r="AL46" s="87">
        <f t="shared" ca="1" si="78"/>
        <v>0</v>
      </c>
      <c r="AM46" s="68"/>
      <c r="AN46" s="87">
        <f t="shared" ca="1" si="59"/>
        <v>0</v>
      </c>
      <c r="AO46" s="87">
        <f t="shared" si="60"/>
        <v>0</v>
      </c>
      <c r="AP46" s="87">
        <f t="shared" ca="1" si="61"/>
        <v>0</v>
      </c>
    </row>
    <row r="47" spans="2:42">
      <c r="B47" s="122"/>
      <c r="C47" s="82">
        <f>DATE($B$2,6,)</f>
        <v>45808</v>
      </c>
      <c r="D47" s="83" t="str">
        <f t="shared" si="62"/>
        <v>202505</v>
      </c>
      <c r="E47" s="84">
        <f ca="1">IF(ISERROR(INDEX(IV_Compras_Totales_Base!$E$2:$P$300,MATCH(INDIRECT(ADDRESS(4+13*QUOTIENT(ROW()-3,13),2,1,1)),IV_Compras_Totales_Base!$C$2:$C$300,0),MATCH($D47,IV_Compras_Totales_Base!$E$1:$P$1,0))),0,INDEX(IV_Compras_Totales_Base!$E$2:$P$300,MATCH(INDIRECT(ADDRESS(4+13*QUOTIENT(ROW()-3,13),2,1,1)),IV_Compras_Totales_Base!$C$2:$C$300,0),MATCH($D47,IV_Compras_Totales_Base!$E$1:$P$1,0)))</f>
        <v>0</v>
      </c>
      <c r="F47" s="84">
        <f ca="1">IF(ISERROR(INDEX(V_Compras_Logistica_Base!$E$2:$P$300,MATCH(INDIRECT(ADDRESS(4+13*QUOTIENT(ROW()-3,13),2,1,1)),V_Compras_Logistica_Base!$C$2:$C$300,0),MATCH($D47,V_Compras_Logistica_Base!$E$1:$P$1,0))),0,INDEX(V_Compras_Logistica_Base!$E$2:$P$300,MATCH(INDIRECT(ADDRESS(4+13*QUOTIENT(ROW()-3,13),2,1,1)),V_Compras_Logistica_Base!$C$2:$C$300,0),MATCH($D47,V_Compras_Logistica_Base!$E$1:$P$1,0)))</f>
        <v>0</v>
      </c>
      <c r="G47" s="85">
        <f ca="1">INDIRECT("Condiciones!"&amp;ADDRESS(VLOOKUP(G$2,Saltos,2,FALSE)+8*QUOTIENT((ROW()-3),13),MOD(ROW()-3,13)+COLUMN(Condiciones!$F$1)))</f>
        <v>0</v>
      </c>
      <c r="H47" s="86">
        <f t="shared" ca="1" si="63"/>
        <v>0</v>
      </c>
      <c r="I47" s="87">
        <f>IF(ISERROR(INDEX(PAGADO!$F$2:$R$321,MATCH(CONCATENATE($B$43,"Publicidad"),PAGADO!$E$2:$E$321,0),MATCH($D47,PAGADO!$F$1:$Q$1,0))),0,INDEX(PAGADO!$F$2:$R$321,MATCH(CONCATENATE($B$43,"Publicidad"),PAGADO!$E$2:$E$321,0),MATCH($D47,PAGADO!$F$1:$Q$1,0)))</f>
        <v>0</v>
      </c>
      <c r="J47" s="87">
        <f t="shared" ca="1" si="64"/>
        <v>0</v>
      </c>
      <c r="K47" s="85">
        <f ca="1">INDIRECT("Condiciones!"&amp;ADDRESS(VLOOKUP(K$2,Saltos,2,FALSE)+8*QUOTIENT((ROW()-3),13),MOD(ROW()-3,13)+COLUMN(Condiciones!$F$1)))</f>
        <v>0</v>
      </c>
      <c r="L47" s="88">
        <f t="shared" ca="1" si="65"/>
        <v>0</v>
      </c>
      <c r="M47" s="87">
        <f>IF(ISERROR(INDEX(PAGADO!$F$2:$R$321,MATCH(CONCATENATE($B$43,"Logistica"),PAGADO!$E$2:$E$321,0),MATCH($D47,PAGADO!$F$1:$Q$1,0))),0,INDEX(PAGADO!$F$2:$R$321,MATCH(CONCATENATE($B$43,"Logistica"),PAGADO!$E$2:$E$321,0),MATCH($D47,PAGADO!$F$1:$Q$1,0)))</f>
        <v>0</v>
      </c>
      <c r="N47" s="87">
        <f t="shared" ca="1" si="66"/>
        <v>0</v>
      </c>
      <c r="O47" s="85">
        <f ca="1">INDIRECT("Condiciones!"&amp;ADDRESS(VLOOKUP(O$2,Saltos,2,FALSE)+8*QUOTIENT((ROW()-3),13),MOD(ROW()-3,13)+COLUMN(Condiciones!$F$1)))</f>
        <v>0</v>
      </c>
      <c r="P47" s="87">
        <f t="shared" ca="1" si="67"/>
        <v>0</v>
      </c>
      <c r="Q47" s="88">
        <f>IF(ISERROR(INDEX(PAGADO!$F$2:$R$321,MATCH(CONCATENATE($B$43,"Centralizada"),PAGADO!$E$2:$E$321,0),MATCH($D47,PAGADO!$F$1:$Q$1,0))),0,INDEX(PAGADO!$F$2:$R$321,MATCH(CONCATENATE($B$43,"Centralizada"),PAGADO!$E$2:$E$321,0),MATCH($D47,PAGADO!$F$1:$Q$1,0)))</f>
        <v>0</v>
      </c>
      <c r="R47" s="87">
        <f t="shared" ca="1" si="68"/>
        <v>0</v>
      </c>
      <c r="S47" s="85">
        <f ca="1">INDIRECT("Condiciones!"&amp;ADDRESS(VLOOKUP(S$2,Saltos,2,FALSE)+8*QUOTIENT((ROW()-3),13),MOD(ROW()-3,13)+COLUMN(Condiciones!$F$1)))</f>
        <v>0</v>
      </c>
      <c r="T47" s="87">
        <f t="shared" ca="1" si="69"/>
        <v>0</v>
      </c>
      <c r="U47" s="87">
        <f>IF(ISERROR(INDEX(PAGADO!$F$2:$R$321,MATCH(CONCATENATE($B$43,"Escala Crecimiento"),PAGADO!$E$2:$E$321,0),MATCH($D47,PAGADO!$F$1:$Q$1,0))),0,INDEX(PAGADO!$F$2:$R$321,MATCH(CONCATENATE($B$43,"Escala Crecimiento"),PAGADO!$E$2:$E$321,0),MATCH($D47,PAGADO!$F$1:$Q$1,0)))</f>
        <v>0</v>
      </c>
      <c r="V47" s="87">
        <f t="shared" ca="1" si="70"/>
        <v>0</v>
      </c>
      <c r="W47" s="85">
        <f ca="1">INDIRECT("Condiciones!"&amp;ADDRESS(VLOOKUP(W$2,Saltos,2,FALSE)+8*QUOTIENT((ROW()-3),13),MOD(ROW()-3,13)+COLUMN(Condiciones!$F$1)))</f>
        <v>0</v>
      </c>
      <c r="X47" s="87">
        <f t="shared" ca="1" si="71"/>
        <v>0</v>
      </c>
      <c r="Y47" s="87">
        <f>IF(ISERROR(INDEX(PAGADO!$F$2:$R$321,MATCH(CONCATENATE($B$43,"Escala Fija"),PAGADO!$E$2:$E$321,0),MATCH($D47,PAGADO!$F$1:$Q$1,0))),0,INDEX(PAGADO!$F$2:$R$321,MATCH(CONCATENATE($B$43,"Escala Fija"),PAGADO!$E$2:$E$321,0),MATCH($D47,PAGADO!$F$1:$Q$1,0)))</f>
        <v>0</v>
      </c>
      <c r="Z47" s="87">
        <f t="shared" ca="1" si="72"/>
        <v>0</v>
      </c>
      <c r="AA47" s="85">
        <f ca="1">INDIRECT("Condiciones!"&amp;ADDRESS(VLOOKUP(AA$2,Saltos,2,FALSE)+8*QUOTIENT((ROW()-3),13),MOD(ROW()-3,13)+COLUMN(Condiciones!$F$1)))</f>
        <v>0</v>
      </c>
      <c r="AB47" s="87">
        <f t="shared" ca="1" si="73"/>
        <v>0</v>
      </c>
      <c r="AC47" s="87">
        <f>IF(ISERROR(INDEX(PAGADO!$F$2:$R$321,MATCH(CONCATENATE($B$43,"Devoluciones"),PAGADO!$E$2:$E$321,0),MATCH($D47,PAGADO!$F$1:$Q$1,0))),0,INDEX(PAGADO!$F$2:$R$321,MATCH(CONCATENATE($B$43,"Devoluciones"),PAGADO!$E$2:$E$321,0),MATCH($D47,PAGADO!$F$1:$Q$1,0)))</f>
        <v>0</v>
      </c>
      <c r="AD47" s="87">
        <f t="shared" ca="1" si="74"/>
        <v>0</v>
      </c>
      <c r="AE47" s="85">
        <f ca="1">INDIRECT("Condiciones!"&amp;ADDRESS(VLOOKUP(AE$2,Saltos,2,FALSE)+8*QUOTIENT((ROW()-3),13),MOD(ROW()-3,13)+COLUMN(Condiciones!$F$1)))</f>
        <v>0</v>
      </c>
      <c r="AF47" s="87">
        <f t="shared" ca="1" si="75"/>
        <v>0</v>
      </c>
      <c r="AG47" s="87">
        <f>IF(ISERROR(INDEX(PAGADO!$F$2:$R$321,MATCH(CONCATENATE($B$43,"Otros"),PAGADO!$E$2:$E$321,0),MATCH($D47,PAGADO!$F$1:$Q$1,0))),0,INDEX(PAGADO!$F$2:$R$321,MATCH(CONCATENATE($B$43,"Otros"),PAGADO!$E$2:$E$321,0),MATCH($D47,PAGADO!$F$1:$Q$1,0)))</f>
        <v>0</v>
      </c>
      <c r="AH47" s="87">
        <f t="shared" ca="1" si="76"/>
        <v>0</v>
      </c>
      <c r="AI47" s="85">
        <f ca="1">INDIRECT("Condiciones!"&amp;ADDRESS(VLOOKUP(AI$2,Saltos,2,FALSE)+8*QUOTIENT((ROW()-3),13),MOD(ROW()-3,13)+COLUMN(Condiciones!$F$1)))</f>
        <v>0</v>
      </c>
      <c r="AJ47" s="87">
        <f t="shared" ca="1" si="77"/>
        <v>0</v>
      </c>
      <c r="AK47" s="87">
        <f>IF(ISERROR(INDEX(PAGADO!$F$2:$R$321,MATCH(CONCATENATE($B$43,"Aportes Manuales"),PAGADO!$E$2:$E$321,0),MATCH($D47,PAGADO!$F$1:$Q$1,0))),0,INDEX(PAGADO!$F$2:$R$321,MATCH(CONCATENATE($B$43,"Aportes Manuales"),PAGADO!$E$2:$E$321,0),MATCH($D47,PAGADO!$F$1:$Q$1,0)))</f>
        <v>0</v>
      </c>
      <c r="AL47" s="87">
        <f t="shared" ca="1" si="78"/>
        <v>0</v>
      </c>
      <c r="AM47" s="68"/>
      <c r="AN47" s="87">
        <f t="shared" ca="1" si="59"/>
        <v>0</v>
      </c>
      <c r="AO47" s="87">
        <f t="shared" si="60"/>
        <v>0</v>
      </c>
      <c r="AP47" s="87">
        <f t="shared" ca="1" si="61"/>
        <v>0</v>
      </c>
    </row>
    <row r="48" spans="2:42">
      <c r="B48" s="122"/>
      <c r="C48" s="82">
        <f>DATE($B$2,6,1)</f>
        <v>45809</v>
      </c>
      <c r="D48" s="83" t="str">
        <f t="shared" si="62"/>
        <v>202506</v>
      </c>
      <c r="E48" s="84">
        <f ca="1">IF(ISERROR(INDEX(IV_Compras_Totales_Base!$E$2:$P$300,MATCH(INDIRECT(ADDRESS(4+13*QUOTIENT(ROW()-3,13),2,1,1)),IV_Compras_Totales_Base!$C$2:$C$300,0),MATCH($D48,IV_Compras_Totales_Base!$E$1:$P$1,0))),0,INDEX(IV_Compras_Totales_Base!$E$2:$P$300,MATCH(INDIRECT(ADDRESS(4+13*QUOTIENT(ROW()-3,13),2,1,1)),IV_Compras_Totales_Base!$C$2:$C$300,0),MATCH($D48,IV_Compras_Totales_Base!$E$1:$P$1,0)))</f>
        <v>0</v>
      </c>
      <c r="F48" s="84">
        <f ca="1">IF(ISERROR(INDEX(V_Compras_Logistica_Base!$E$2:$P$300,MATCH(INDIRECT(ADDRESS(4+13*QUOTIENT(ROW()-3,13),2,1,1)),V_Compras_Logistica_Base!$C$2:$C$300,0),MATCH($D48,V_Compras_Logistica_Base!$E$1:$P$1,0))),0,INDEX(V_Compras_Logistica_Base!$E$2:$P$300,MATCH(INDIRECT(ADDRESS(4+13*QUOTIENT(ROW()-3,13),2,1,1)),V_Compras_Logistica_Base!$C$2:$C$300,0),MATCH($D48,V_Compras_Logistica_Base!$E$1:$P$1,0)))</f>
        <v>0</v>
      </c>
      <c r="G48" s="85">
        <f ca="1">INDIRECT("Condiciones!"&amp;ADDRESS(VLOOKUP(G$2,Saltos,2,FALSE)+8*QUOTIENT((ROW()-3),13),MOD(ROW()-3,13)+COLUMN(Condiciones!$F$1)))</f>
        <v>0</v>
      </c>
      <c r="H48" s="86">
        <f t="shared" ca="1" si="63"/>
        <v>0</v>
      </c>
      <c r="I48" s="87">
        <f>IF(ISERROR(INDEX(PAGADO!$F$2:$R$321,MATCH(CONCATENATE($B$43,"Publicidad"),PAGADO!$E$2:$E$321,0),MATCH($D48,PAGADO!$F$1:$Q$1,0))),0,INDEX(PAGADO!$F$2:$R$321,MATCH(CONCATENATE($B$43,"Publicidad"),PAGADO!$E$2:$E$321,0),MATCH($D48,PAGADO!$F$1:$Q$1,0)))</f>
        <v>0</v>
      </c>
      <c r="J48" s="87">
        <f t="shared" ca="1" si="64"/>
        <v>0</v>
      </c>
      <c r="K48" s="85">
        <f ca="1">INDIRECT("Condiciones!"&amp;ADDRESS(VLOOKUP(K$2,Saltos,2,FALSE)+8*QUOTIENT((ROW()-3),13),MOD(ROW()-3,13)+COLUMN(Condiciones!$F$1)))</f>
        <v>0</v>
      </c>
      <c r="L48" s="88">
        <f t="shared" ca="1" si="65"/>
        <v>0</v>
      </c>
      <c r="M48" s="87">
        <f>IF(ISERROR(INDEX(PAGADO!$F$2:$R$321,MATCH(CONCATENATE($B$43,"Logistica"),PAGADO!$E$2:$E$321,0),MATCH($D48,PAGADO!$F$1:$Q$1,0))),0,INDEX(PAGADO!$F$2:$R$321,MATCH(CONCATENATE($B$43,"Logistica"),PAGADO!$E$2:$E$321,0),MATCH($D48,PAGADO!$F$1:$Q$1,0)))</f>
        <v>0</v>
      </c>
      <c r="N48" s="87">
        <f t="shared" ca="1" si="66"/>
        <v>0</v>
      </c>
      <c r="O48" s="85">
        <f ca="1">INDIRECT("Condiciones!"&amp;ADDRESS(VLOOKUP(O$2,Saltos,2,FALSE)+8*QUOTIENT((ROW()-3),13),MOD(ROW()-3,13)+COLUMN(Condiciones!$F$1)))</f>
        <v>0</v>
      </c>
      <c r="P48" s="87">
        <f t="shared" ca="1" si="67"/>
        <v>0</v>
      </c>
      <c r="Q48" s="88">
        <f>IF(ISERROR(INDEX(PAGADO!$F$2:$R$321,MATCH(CONCATENATE($B$43,"Centralizada"),PAGADO!$E$2:$E$321,0),MATCH($D48,PAGADO!$F$1:$Q$1,0))),0,INDEX(PAGADO!$F$2:$R$321,MATCH(CONCATENATE($B$43,"Centralizada"),PAGADO!$E$2:$E$321,0),MATCH($D48,PAGADO!$F$1:$Q$1,0)))</f>
        <v>0</v>
      </c>
      <c r="R48" s="87">
        <f t="shared" ca="1" si="68"/>
        <v>0</v>
      </c>
      <c r="S48" s="85">
        <f ca="1">INDIRECT("Condiciones!"&amp;ADDRESS(VLOOKUP(S$2,Saltos,2,FALSE)+8*QUOTIENT((ROW()-3),13),MOD(ROW()-3,13)+COLUMN(Condiciones!$F$1)))</f>
        <v>0</v>
      </c>
      <c r="T48" s="87">
        <f t="shared" ca="1" si="69"/>
        <v>0</v>
      </c>
      <c r="U48" s="87">
        <f>IF(ISERROR(INDEX(PAGADO!$F$2:$R$321,MATCH(CONCATENATE($B$43,"Escala Crecimiento"),PAGADO!$E$2:$E$321,0),MATCH($D48,PAGADO!$F$1:$Q$1,0))),0,INDEX(PAGADO!$F$2:$R$321,MATCH(CONCATENATE($B$43,"Escala Crecimiento"),PAGADO!$E$2:$E$321,0),MATCH($D48,PAGADO!$F$1:$Q$1,0)))</f>
        <v>0</v>
      </c>
      <c r="V48" s="87">
        <f t="shared" ca="1" si="70"/>
        <v>0</v>
      </c>
      <c r="W48" s="85">
        <f ca="1">INDIRECT("Condiciones!"&amp;ADDRESS(VLOOKUP(W$2,Saltos,2,FALSE)+8*QUOTIENT((ROW()-3),13),MOD(ROW()-3,13)+COLUMN(Condiciones!$F$1)))</f>
        <v>0</v>
      </c>
      <c r="X48" s="87">
        <f t="shared" ca="1" si="71"/>
        <v>0</v>
      </c>
      <c r="Y48" s="87">
        <f>IF(ISERROR(INDEX(PAGADO!$F$2:$R$321,MATCH(CONCATENATE($B$43,"Escala Fija"),PAGADO!$E$2:$E$321,0),MATCH($D48,PAGADO!$F$1:$Q$1,0))),0,INDEX(PAGADO!$F$2:$R$321,MATCH(CONCATENATE($B$43,"Escala Fija"),PAGADO!$E$2:$E$321,0),MATCH($D48,PAGADO!$F$1:$Q$1,0)))</f>
        <v>0</v>
      </c>
      <c r="Z48" s="87">
        <f t="shared" ca="1" si="72"/>
        <v>0</v>
      </c>
      <c r="AA48" s="85">
        <f ca="1">INDIRECT("Condiciones!"&amp;ADDRESS(VLOOKUP(AA$2,Saltos,2,FALSE)+8*QUOTIENT((ROW()-3),13),MOD(ROW()-3,13)+COLUMN(Condiciones!$F$1)))</f>
        <v>0</v>
      </c>
      <c r="AB48" s="87">
        <f t="shared" ca="1" si="73"/>
        <v>0</v>
      </c>
      <c r="AC48" s="87">
        <f>IF(ISERROR(INDEX(PAGADO!$F$2:$R$321,MATCH(CONCATENATE($B$43,"Devoluciones"),PAGADO!$E$2:$E$321,0),MATCH($D48,PAGADO!$F$1:$Q$1,0))),0,INDEX(PAGADO!$F$2:$R$321,MATCH(CONCATENATE($B$43,"Devoluciones"),PAGADO!$E$2:$E$321,0),MATCH($D48,PAGADO!$F$1:$Q$1,0)))</f>
        <v>0</v>
      </c>
      <c r="AD48" s="87">
        <f t="shared" ca="1" si="74"/>
        <v>0</v>
      </c>
      <c r="AE48" s="85">
        <f ca="1">INDIRECT("Condiciones!"&amp;ADDRESS(VLOOKUP(AE$2,Saltos,2,FALSE)+8*QUOTIENT((ROW()-3),13),MOD(ROW()-3,13)+COLUMN(Condiciones!$F$1)))</f>
        <v>0</v>
      </c>
      <c r="AF48" s="87">
        <f t="shared" ca="1" si="75"/>
        <v>0</v>
      </c>
      <c r="AG48" s="87">
        <f>IF(ISERROR(INDEX(PAGADO!$F$2:$R$321,MATCH(CONCATENATE($B$43,"Otros"),PAGADO!$E$2:$E$321,0),MATCH($D48,PAGADO!$F$1:$Q$1,0))),0,INDEX(PAGADO!$F$2:$R$321,MATCH(CONCATENATE($B$43,"Otros"),PAGADO!$E$2:$E$321,0),MATCH($D48,PAGADO!$F$1:$Q$1,0)))</f>
        <v>0</v>
      </c>
      <c r="AH48" s="87">
        <f t="shared" ca="1" si="76"/>
        <v>0</v>
      </c>
      <c r="AI48" s="85">
        <f ca="1">INDIRECT("Condiciones!"&amp;ADDRESS(VLOOKUP(AI$2,Saltos,2,FALSE)+8*QUOTIENT((ROW()-3),13),MOD(ROW()-3,13)+COLUMN(Condiciones!$F$1)))</f>
        <v>0</v>
      </c>
      <c r="AJ48" s="87">
        <f t="shared" ca="1" si="77"/>
        <v>0</v>
      </c>
      <c r="AK48" s="87">
        <f>IF(ISERROR(INDEX(PAGADO!$F$2:$R$321,MATCH(CONCATENATE($B$43,"Aportes Manuales"),PAGADO!$E$2:$E$321,0),MATCH($D48,PAGADO!$F$1:$Q$1,0))),0,INDEX(PAGADO!$F$2:$R$321,MATCH(CONCATENATE($B$43,"Aportes Manuales"),PAGADO!$E$2:$E$321,0),MATCH($D48,PAGADO!$F$1:$Q$1,0)))</f>
        <v>0</v>
      </c>
      <c r="AL48" s="87">
        <f t="shared" ca="1" si="78"/>
        <v>0</v>
      </c>
      <c r="AM48" s="68"/>
      <c r="AN48" s="87">
        <f t="shared" ca="1" si="59"/>
        <v>0</v>
      </c>
      <c r="AO48" s="87">
        <f t="shared" si="60"/>
        <v>0</v>
      </c>
      <c r="AP48" s="87">
        <f t="shared" ca="1" si="61"/>
        <v>0</v>
      </c>
    </row>
    <row r="49" spans="2:42">
      <c r="B49" s="122"/>
      <c r="C49" s="82">
        <f>DATE($B$2,7,1)</f>
        <v>45839</v>
      </c>
      <c r="D49" s="83" t="str">
        <f t="shared" si="62"/>
        <v>202507</v>
      </c>
      <c r="E49" s="84">
        <f ca="1">IF(ISERROR(INDEX(IV_Compras_Totales_Base!$E$2:$P$300,MATCH(INDIRECT(ADDRESS(4+13*QUOTIENT(ROW()-3,13),2,1,1)),IV_Compras_Totales_Base!$C$2:$C$300,0),MATCH($D49,IV_Compras_Totales_Base!$E$1:$P$1,0))),0,INDEX(IV_Compras_Totales_Base!$E$2:$P$300,MATCH(INDIRECT(ADDRESS(4+13*QUOTIENT(ROW()-3,13),2,1,1)),IV_Compras_Totales_Base!$C$2:$C$300,0),MATCH($D49,IV_Compras_Totales_Base!$E$1:$P$1,0)))</f>
        <v>0</v>
      </c>
      <c r="F49" s="84">
        <f ca="1">IF(ISERROR(INDEX(V_Compras_Logistica_Base!$E$2:$P$300,MATCH(INDIRECT(ADDRESS(4+13*QUOTIENT(ROW()-3,13),2,1,1)),V_Compras_Logistica_Base!$C$2:$C$300,0),MATCH($D49,V_Compras_Logistica_Base!$E$1:$P$1,0))),0,INDEX(V_Compras_Logistica_Base!$E$2:$P$300,MATCH(INDIRECT(ADDRESS(4+13*QUOTIENT(ROW()-3,13),2,1,1)),V_Compras_Logistica_Base!$C$2:$C$300,0),MATCH($D49,V_Compras_Logistica_Base!$E$1:$P$1,0)))</f>
        <v>0</v>
      </c>
      <c r="G49" s="85">
        <f ca="1">INDIRECT("Condiciones!"&amp;ADDRESS(VLOOKUP(G$2,Saltos,2,FALSE)+8*QUOTIENT((ROW()-3),13),MOD(ROW()-3,13)+COLUMN(Condiciones!$F$1)))</f>
        <v>0</v>
      </c>
      <c r="H49" s="86">
        <f t="shared" ca="1" si="63"/>
        <v>0</v>
      </c>
      <c r="I49" s="87">
        <f>IF(ISERROR(INDEX(PAGADO!$F$2:$R$321,MATCH(CONCATENATE($B$43,"Publicidad"),PAGADO!$E$2:$E$321,0),MATCH($D49,PAGADO!$F$1:$Q$1,0))),0,INDEX(PAGADO!$F$2:$R$321,MATCH(CONCATENATE($B$43,"Publicidad"),PAGADO!$E$2:$E$321,0),MATCH($D49,PAGADO!$F$1:$Q$1,0)))</f>
        <v>0</v>
      </c>
      <c r="J49" s="87">
        <f t="shared" ca="1" si="64"/>
        <v>0</v>
      </c>
      <c r="K49" s="85">
        <f ca="1">INDIRECT("Condiciones!"&amp;ADDRESS(VLOOKUP(K$2,Saltos,2,FALSE)+8*QUOTIENT((ROW()-3),13),MOD(ROW()-3,13)+COLUMN(Condiciones!$F$1)))</f>
        <v>0</v>
      </c>
      <c r="L49" s="88">
        <f t="shared" ca="1" si="65"/>
        <v>0</v>
      </c>
      <c r="M49" s="87">
        <f>IF(ISERROR(INDEX(PAGADO!$F$2:$R$321,MATCH(CONCATENATE($B$43,"Logistica"),PAGADO!$E$2:$E$321,0),MATCH($D49,PAGADO!$F$1:$Q$1,0))),0,INDEX(PAGADO!$F$2:$R$321,MATCH(CONCATENATE($B$43,"Logistica"),PAGADO!$E$2:$E$321,0),MATCH($D49,PAGADO!$F$1:$Q$1,0)))</f>
        <v>0</v>
      </c>
      <c r="N49" s="87">
        <f t="shared" ca="1" si="66"/>
        <v>0</v>
      </c>
      <c r="O49" s="85">
        <f ca="1">INDIRECT("Condiciones!"&amp;ADDRESS(VLOOKUP(O$2,Saltos,2,FALSE)+8*QUOTIENT((ROW()-3),13),MOD(ROW()-3,13)+COLUMN(Condiciones!$F$1)))</f>
        <v>0</v>
      </c>
      <c r="P49" s="87">
        <f t="shared" ca="1" si="67"/>
        <v>0</v>
      </c>
      <c r="Q49" s="88">
        <f>IF(ISERROR(INDEX(PAGADO!$F$2:$R$321,MATCH(CONCATENATE($B$43,"Centralizada"),PAGADO!$E$2:$E$321,0),MATCH($D49,PAGADO!$F$1:$Q$1,0))),0,INDEX(PAGADO!$F$2:$R$321,MATCH(CONCATENATE($B$43,"Centralizada"),PAGADO!$E$2:$E$321,0),MATCH($D49,PAGADO!$F$1:$Q$1,0)))</f>
        <v>0</v>
      </c>
      <c r="R49" s="87">
        <f t="shared" ca="1" si="68"/>
        <v>0</v>
      </c>
      <c r="S49" s="85">
        <f ca="1">INDIRECT("Condiciones!"&amp;ADDRESS(VLOOKUP(S$2,Saltos,2,FALSE)+8*QUOTIENT((ROW()-3),13),MOD(ROW()-3,13)+COLUMN(Condiciones!$F$1)))</f>
        <v>0</v>
      </c>
      <c r="T49" s="87">
        <f t="shared" ca="1" si="69"/>
        <v>0</v>
      </c>
      <c r="U49" s="87">
        <f>IF(ISERROR(INDEX(PAGADO!$F$2:$R$321,MATCH(CONCATENATE($B$43,"Escala Crecimiento"),PAGADO!$E$2:$E$321,0),MATCH($D49,PAGADO!$F$1:$Q$1,0))),0,INDEX(PAGADO!$F$2:$R$321,MATCH(CONCATENATE($B$43,"Escala Crecimiento"),PAGADO!$E$2:$E$321,0),MATCH($D49,PAGADO!$F$1:$Q$1,0)))</f>
        <v>0</v>
      </c>
      <c r="V49" s="87">
        <f t="shared" ca="1" si="70"/>
        <v>0</v>
      </c>
      <c r="W49" s="85">
        <f ca="1">INDIRECT("Condiciones!"&amp;ADDRESS(VLOOKUP(W$2,Saltos,2,FALSE)+8*QUOTIENT((ROW()-3),13),MOD(ROW()-3,13)+COLUMN(Condiciones!$F$1)))</f>
        <v>0</v>
      </c>
      <c r="X49" s="87">
        <f t="shared" ca="1" si="71"/>
        <v>0</v>
      </c>
      <c r="Y49" s="87">
        <f>IF(ISERROR(INDEX(PAGADO!$F$2:$R$321,MATCH(CONCATENATE($B$43,"Escala Fija"),PAGADO!$E$2:$E$321,0),MATCH($D49,PAGADO!$F$1:$Q$1,0))),0,INDEX(PAGADO!$F$2:$R$321,MATCH(CONCATENATE($B$43,"Escala Fija"),PAGADO!$E$2:$E$321,0),MATCH($D49,PAGADO!$F$1:$Q$1,0)))</f>
        <v>0</v>
      </c>
      <c r="Z49" s="87">
        <f t="shared" ca="1" si="72"/>
        <v>0</v>
      </c>
      <c r="AA49" s="85">
        <f ca="1">INDIRECT("Condiciones!"&amp;ADDRESS(VLOOKUP(AA$2,Saltos,2,FALSE)+8*QUOTIENT((ROW()-3),13),MOD(ROW()-3,13)+COLUMN(Condiciones!$F$1)))</f>
        <v>0</v>
      </c>
      <c r="AB49" s="87">
        <f t="shared" ca="1" si="73"/>
        <v>0</v>
      </c>
      <c r="AC49" s="87">
        <f>IF(ISERROR(INDEX(PAGADO!$F$2:$R$321,MATCH(CONCATENATE($B$43,"Devoluciones"),PAGADO!$E$2:$E$321,0),MATCH($D49,PAGADO!$F$1:$Q$1,0))),0,INDEX(PAGADO!$F$2:$R$321,MATCH(CONCATENATE($B$43,"Devoluciones"),PAGADO!$E$2:$E$321,0),MATCH($D49,PAGADO!$F$1:$Q$1,0)))</f>
        <v>0</v>
      </c>
      <c r="AD49" s="87">
        <f t="shared" ca="1" si="74"/>
        <v>0</v>
      </c>
      <c r="AE49" s="85">
        <f ca="1">INDIRECT("Condiciones!"&amp;ADDRESS(VLOOKUP(AE$2,Saltos,2,FALSE)+8*QUOTIENT((ROW()-3),13),MOD(ROW()-3,13)+COLUMN(Condiciones!$F$1)))</f>
        <v>0</v>
      </c>
      <c r="AF49" s="87">
        <f t="shared" ca="1" si="75"/>
        <v>0</v>
      </c>
      <c r="AG49" s="87">
        <f>IF(ISERROR(INDEX(PAGADO!$F$2:$R$321,MATCH(CONCATENATE($B$43,"Otros"),PAGADO!$E$2:$E$321,0),MATCH($D49,PAGADO!$F$1:$Q$1,0))),0,INDEX(PAGADO!$F$2:$R$321,MATCH(CONCATENATE($B$43,"Otros"),PAGADO!$E$2:$E$321,0),MATCH($D49,PAGADO!$F$1:$Q$1,0)))</f>
        <v>0</v>
      </c>
      <c r="AH49" s="87">
        <f t="shared" ca="1" si="76"/>
        <v>0</v>
      </c>
      <c r="AI49" s="85">
        <f ca="1">INDIRECT("Condiciones!"&amp;ADDRESS(VLOOKUP(AI$2,Saltos,2,FALSE)+8*QUOTIENT((ROW()-3),13),MOD(ROW()-3,13)+COLUMN(Condiciones!$F$1)))</f>
        <v>0</v>
      </c>
      <c r="AJ49" s="87">
        <f t="shared" ca="1" si="77"/>
        <v>0</v>
      </c>
      <c r="AK49" s="87">
        <f>IF(ISERROR(INDEX(PAGADO!$F$2:$R$321,MATCH(CONCATENATE($B$43,"Aportes Manuales"),PAGADO!$E$2:$E$321,0),MATCH($D49,PAGADO!$F$1:$Q$1,0))),0,INDEX(PAGADO!$F$2:$R$321,MATCH(CONCATENATE($B$43,"Aportes Manuales"),PAGADO!$E$2:$E$321,0),MATCH($D49,PAGADO!$F$1:$Q$1,0)))</f>
        <v>0</v>
      </c>
      <c r="AL49" s="87">
        <f t="shared" ca="1" si="78"/>
        <v>0</v>
      </c>
      <c r="AM49" s="68"/>
      <c r="AN49" s="87">
        <f t="shared" ca="1" si="59"/>
        <v>0</v>
      </c>
      <c r="AO49" s="87">
        <f t="shared" si="60"/>
        <v>0</v>
      </c>
      <c r="AP49" s="87">
        <f t="shared" ca="1" si="61"/>
        <v>0</v>
      </c>
    </row>
    <row r="50" spans="2:42">
      <c r="B50" s="122"/>
      <c r="C50" s="82">
        <f>DATE($B$2,8,1)</f>
        <v>45870</v>
      </c>
      <c r="D50" s="83" t="str">
        <f t="shared" si="62"/>
        <v>202508</v>
      </c>
      <c r="E50" s="84">
        <f ca="1">IF(ISERROR(INDEX(IV_Compras_Totales_Base!$E$2:$P$300,MATCH(INDIRECT(ADDRESS(4+13*QUOTIENT(ROW()-3,13),2,1,1)),IV_Compras_Totales_Base!$C$2:$C$300,0),MATCH($D50,IV_Compras_Totales_Base!$E$1:$P$1,0))),0,INDEX(IV_Compras_Totales_Base!$E$2:$P$300,MATCH(INDIRECT(ADDRESS(4+13*QUOTIENT(ROW()-3,13),2,1,1)),IV_Compras_Totales_Base!$C$2:$C$300,0),MATCH($D50,IV_Compras_Totales_Base!$E$1:$P$1,0)))</f>
        <v>0</v>
      </c>
      <c r="F50" s="84">
        <f ca="1">IF(ISERROR(INDEX(V_Compras_Logistica_Base!$E$2:$P$300,MATCH(INDIRECT(ADDRESS(4+13*QUOTIENT(ROW()-3,13),2,1,1)),V_Compras_Logistica_Base!$C$2:$C$300,0),MATCH($D50,V_Compras_Logistica_Base!$E$1:$P$1,0))),0,INDEX(V_Compras_Logistica_Base!$E$2:$P$300,MATCH(INDIRECT(ADDRESS(4+13*QUOTIENT(ROW()-3,13),2,1,1)),V_Compras_Logistica_Base!$C$2:$C$300,0),MATCH($D50,V_Compras_Logistica_Base!$E$1:$P$1,0)))</f>
        <v>0</v>
      </c>
      <c r="G50" s="85">
        <f ca="1">INDIRECT("Condiciones!"&amp;ADDRESS(VLOOKUP(G$2,Saltos,2,FALSE)+8*QUOTIENT((ROW()-3),13),MOD(ROW()-3,13)+COLUMN(Condiciones!$F$1)))</f>
        <v>0</v>
      </c>
      <c r="H50" s="86">
        <f t="shared" ca="1" si="63"/>
        <v>0</v>
      </c>
      <c r="I50" s="87">
        <f>IF(ISERROR(INDEX(PAGADO!$F$2:$R$321,MATCH(CONCATENATE($B$43,"Publicidad"),PAGADO!$E$2:$E$321,0),MATCH($D50,PAGADO!$F$1:$Q$1,0))),0,INDEX(PAGADO!$F$2:$R$321,MATCH(CONCATENATE($B$43,"Publicidad"),PAGADO!$E$2:$E$321,0),MATCH($D50,PAGADO!$F$1:$Q$1,0)))</f>
        <v>0</v>
      </c>
      <c r="J50" s="87">
        <f t="shared" ca="1" si="64"/>
        <v>0</v>
      </c>
      <c r="K50" s="85">
        <f ca="1">INDIRECT("Condiciones!"&amp;ADDRESS(VLOOKUP(K$2,Saltos,2,FALSE)+8*QUOTIENT((ROW()-3),13),MOD(ROW()-3,13)+COLUMN(Condiciones!$F$1)))</f>
        <v>0</v>
      </c>
      <c r="L50" s="88">
        <f t="shared" ca="1" si="65"/>
        <v>0</v>
      </c>
      <c r="M50" s="87">
        <f>IF(ISERROR(INDEX(PAGADO!$F$2:$R$321,MATCH(CONCATENATE($B$43,"Logistica"),PAGADO!$E$2:$E$321,0),MATCH($D50,PAGADO!$F$1:$Q$1,0))),0,INDEX(PAGADO!$F$2:$R$321,MATCH(CONCATENATE($B$43,"Logistica"),PAGADO!$E$2:$E$321,0),MATCH($D50,PAGADO!$F$1:$Q$1,0)))</f>
        <v>0</v>
      </c>
      <c r="N50" s="87">
        <f t="shared" ca="1" si="66"/>
        <v>0</v>
      </c>
      <c r="O50" s="85">
        <f ca="1">INDIRECT("Condiciones!"&amp;ADDRESS(VLOOKUP(O$2,Saltos,2,FALSE)+8*QUOTIENT((ROW()-3),13),MOD(ROW()-3,13)+COLUMN(Condiciones!$F$1)))</f>
        <v>0</v>
      </c>
      <c r="P50" s="87">
        <f t="shared" ca="1" si="67"/>
        <v>0</v>
      </c>
      <c r="Q50" s="88">
        <f>IF(ISERROR(INDEX(PAGADO!$F$2:$R$321,MATCH(CONCATENATE($B$43,"Centralizada"),PAGADO!$E$2:$E$321,0),MATCH($D50,PAGADO!$F$1:$Q$1,0))),0,INDEX(PAGADO!$F$2:$R$321,MATCH(CONCATENATE($B$43,"Centralizada"),PAGADO!$E$2:$E$321,0),MATCH($D50,PAGADO!$F$1:$Q$1,0)))</f>
        <v>0</v>
      </c>
      <c r="R50" s="87">
        <f t="shared" ca="1" si="68"/>
        <v>0</v>
      </c>
      <c r="S50" s="85">
        <f ca="1">INDIRECT("Condiciones!"&amp;ADDRESS(VLOOKUP(S$2,Saltos,2,FALSE)+8*QUOTIENT((ROW()-3),13),MOD(ROW()-3,13)+COLUMN(Condiciones!$F$1)))</f>
        <v>0</v>
      </c>
      <c r="T50" s="87">
        <f t="shared" ca="1" si="69"/>
        <v>0</v>
      </c>
      <c r="U50" s="87">
        <f>IF(ISERROR(INDEX(PAGADO!$F$2:$R$321,MATCH(CONCATENATE($B$43,"Escala Crecimiento"),PAGADO!$E$2:$E$321,0),MATCH($D50,PAGADO!$F$1:$Q$1,0))),0,INDEX(PAGADO!$F$2:$R$321,MATCH(CONCATENATE($B$43,"Escala Crecimiento"),PAGADO!$E$2:$E$321,0),MATCH($D50,PAGADO!$F$1:$Q$1,0)))</f>
        <v>0</v>
      </c>
      <c r="V50" s="87">
        <f t="shared" ca="1" si="70"/>
        <v>0</v>
      </c>
      <c r="W50" s="85">
        <f ca="1">INDIRECT("Condiciones!"&amp;ADDRESS(VLOOKUP(W$2,Saltos,2,FALSE)+8*QUOTIENT((ROW()-3),13),MOD(ROW()-3,13)+COLUMN(Condiciones!$F$1)))</f>
        <v>0</v>
      </c>
      <c r="X50" s="87">
        <f t="shared" ca="1" si="71"/>
        <v>0</v>
      </c>
      <c r="Y50" s="87">
        <f>IF(ISERROR(INDEX(PAGADO!$F$2:$R$321,MATCH(CONCATENATE($B$43,"Escala Fija"),PAGADO!$E$2:$E$321,0),MATCH($D50,PAGADO!$F$1:$Q$1,0))),0,INDEX(PAGADO!$F$2:$R$321,MATCH(CONCATENATE($B$43,"Escala Fija"),PAGADO!$E$2:$E$321,0),MATCH($D50,PAGADO!$F$1:$Q$1,0)))</f>
        <v>0</v>
      </c>
      <c r="Z50" s="87">
        <f t="shared" ca="1" si="72"/>
        <v>0</v>
      </c>
      <c r="AA50" s="85">
        <f ca="1">INDIRECT("Condiciones!"&amp;ADDRESS(VLOOKUP(AA$2,Saltos,2,FALSE)+8*QUOTIENT((ROW()-3),13),MOD(ROW()-3,13)+COLUMN(Condiciones!$F$1)))</f>
        <v>0</v>
      </c>
      <c r="AB50" s="87">
        <f t="shared" ca="1" si="73"/>
        <v>0</v>
      </c>
      <c r="AC50" s="87">
        <f>IF(ISERROR(INDEX(PAGADO!$F$2:$R$321,MATCH(CONCATENATE($B$43,"Devoluciones"),PAGADO!$E$2:$E$321,0),MATCH($D50,PAGADO!$F$1:$Q$1,0))),0,INDEX(PAGADO!$F$2:$R$321,MATCH(CONCATENATE($B$43,"Devoluciones"),PAGADO!$E$2:$E$321,0),MATCH($D50,PAGADO!$F$1:$Q$1,0)))</f>
        <v>0</v>
      </c>
      <c r="AD50" s="87">
        <f t="shared" ca="1" si="74"/>
        <v>0</v>
      </c>
      <c r="AE50" s="85">
        <f ca="1">INDIRECT("Condiciones!"&amp;ADDRESS(VLOOKUP(AE$2,Saltos,2,FALSE)+8*QUOTIENT((ROW()-3),13),MOD(ROW()-3,13)+COLUMN(Condiciones!$F$1)))</f>
        <v>0</v>
      </c>
      <c r="AF50" s="87">
        <f t="shared" ca="1" si="75"/>
        <v>0</v>
      </c>
      <c r="AG50" s="87">
        <f>IF(ISERROR(INDEX(PAGADO!$F$2:$R$321,MATCH(CONCATENATE($B$43,"Otros"),PAGADO!$E$2:$E$321,0),MATCH($D50,PAGADO!$F$1:$Q$1,0))),0,INDEX(PAGADO!$F$2:$R$321,MATCH(CONCATENATE($B$43,"Otros"),PAGADO!$E$2:$E$321,0),MATCH($D50,PAGADO!$F$1:$Q$1,0)))</f>
        <v>0</v>
      </c>
      <c r="AH50" s="87">
        <f t="shared" ca="1" si="76"/>
        <v>0</v>
      </c>
      <c r="AI50" s="85">
        <f ca="1">INDIRECT("Condiciones!"&amp;ADDRESS(VLOOKUP(AI$2,Saltos,2,FALSE)+8*QUOTIENT((ROW()-3),13),MOD(ROW()-3,13)+COLUMN(Condiciones!$F$1)))</f>
        <v>0</v>
      </c>
      <c r="AJ50" s="87">
        <f t="shared" ca="1" si="77"/>
        <v>0</v>
      </c>
      <c r="AK50" s="87">
        <f>IF(ISERROR(INDEX(PAGADO!$F$2:$R$321,MATCH(CONCATENATE($B$43,"Aportes Manuales"),PAGADO!$E$2:$E$321,0),MATCH($D50,PAGADO!$F$1:$Q$1,0))),0,INDEX(PAGADO!$F$2:$R$321,MATCH(CONCATENATE($B$43,"Aportes Manuales"),PAGADO!$E$2:$E$321,0),MATCH($D50,PAGADO!$F$1:$Q$1,0)))</f>
        <v>0</v>
      </c>
      <c r="AL50" s="87">
        <f t="shared" ca="1" si="78"/>
        <v>0</v>
      </c>
      <c r="AM50" s="68"/>
      <c r="AN50" s="87">
        <f t="shared" ca="1" si="59"/>
        <v>0</v>
      </c>
      <c r="AO50" s="87">
        <f t="shared" si="60"/>
        <v>0</v>
      </c>
      <c r="AP50" s="87">
        <f t="shared" ca="1" si="61"/>
        <v>0</v>
      </c>
    </row>
    <row r="51" spans="2:42">
      <c r="B51" s="122"/>
      <c r="C51" s="82">
        <f>DATE($B$2,9,1)</f>
        <v>45901</v>
      </c>
      <c r="D51" s="83" t="str">
        <f t="shared" si="62"/>
        <v>202509</v>
      </c>
      <c r="E51" s="84">
        <f ca="1">IF(ISERROR(INDEX(IV_Compras_Totales_Base!$E$2:$P$300,MATCH(INDIRECT(ADDRESS(4+13*QUOTIENT(ROW()-3,13),2,1,1)),IV_Compras_Totales_Base!$C$2:$C$300,0),MATCH($D51,IV_Compras_Totales_Base!$E$1:$P$1,0))),0,INDEX(IV_Compras_Totales_Base!$E$2:$P$300,MATCH(INDIRECT(ADDRESS(4+13*QUOTIENT(ROW()-3,13),2,1,1)),IV_Compras_Totales_Base!$C$2:$C$300,0),MATCH($D51,IV_Compras_Totales_Base!$E$1:$P$1,0)))</f>
        <v>0</v>
      </c>
      <c r="F51" s="84">
        <f ca="1">IF(ISERROR(INDEX(V_Compras_Logistica_Base!$E$2:$P$300,MATCH(INDIRECT(ADDRESS(4+13*QUOTIENT(ROW()-3,13),2,1,1)),V_Compras_Logistica_Base!$C$2:$C$300,0),MATCH($D51,V_Compras_Logistica_Base!$E$1:$P$1,0))),0,INDEX(V_Compras_Logistica_Base!$E$2:$P$300,MATCH(INDIRECT(ADDRESS(4+13*QUOTIENT(ROW()-3,13),2,1,1)),V_Compras_Logistica_Base!$C$2:$C$300,0),MATCH($D51,V_Compras_Logistica_Base!$E$1:$P$1,0)))</f>
        <v>0</v>
      </c>
      <c r="G51" s="85">
        <f ca="1">INDIRECT("Condiciones!"&amp;ADDRESS(VLOOKUP(G$2,Saltos,2,FALSE)+8*QUOTIENT((ROW()-3),13),MOD(ROW()-3,13)+COLUMN(Condiciones!$F$1)))</f>
        <v>0</v>
      </c>
      <c r="H51" s="86">
        <f t="shared" ca="1" si="63"/>
        <v>0</v>
      </c>
      <c r="I51" s="87">
        <f>IF(ISERROR(INDEX(PAGADO!$F$2:$R$321,MATCH(CONCATENATE($B$43,"Publicidad"),PAGADO!$E$2:$E$321,0),MATCH($D51,PAGADO!$F$1:$Q$1,0))),0,INDEX(PAGADO!$F$2:$R$321,MATCH(CONCATENATE($B$43,"Publicidad"),PAGADO!$E$2:$E$321,0),MATCH($D51,PAGADO!$F$1:$Q$1,0)))</f>
        <v>0</v>
      </c>
      <c r="J51" s="87">
        <f t="shared" ca="1" si="64"/>
        <v>0</v>
      </c>
      <c r="K51" s="85">
        <f ca="1">INDIRECT("Condiciones!"&amp;ADDRESS(VLOOKUP(K$2,Saltos,2,FALSE)+8*QUOTIENT((ROW()-3),13),MOD(ROW()-3,13)+COLUMN(Condiciones!$F$1)))</f>
        <v>0</v>
      </c>
      <c r="L51" s="88">
        <f t="shared" ca="1" si="65"/>
        <v>0</v>
      </c>
      <c r="M51" s="87">
        <f>IF(ISERROR(INDEX(PAGADO!$F$2:$R$321,MATCH(CONCATENATE($B$43,"Logistica"),PAGADO!$E$2:$E$321,0),MATCH($D51,PAGADO!$F$1:$Q$1,0))),0,INDEX(PAGADO!$F$2:$R$321,MATCH(CONCATENATE($B$43,"Logistica"),PAGADO!$E$2:$E$321,0),MATCH($D51,PAGADO!$F$1:$Q$1,0)))</f>
        <v>0</v>
      </c>
      <c r="N51" s="87">
        <f t="shared" ca="1" si="66"/>
        <v>0</v>
      </c>
      <c r="O51" s="85">
        <f ca="1">INDIRECT("Condiciones!"&amp;ADDRESS(VLOOKUP(O$2,Saltos,2,FALSE)+8*QUOTIENT((ROW()-3),13),MOD(ROW()-3,13)+COLUMN(Condiciones!$F$1)))</f>
        <v>0</v>
      </c>
      <c r="P51" s="87">
        <f t="shared" ca="1" si="67"/>
        <v>0</v>
      </c>
      <c r="Q51" s="88">
        <f>IF(ISERROR(INDEX(PAGADO!$F$2:$R$321,MATCH(CONCATENATE($B$43,"Centralizada"),PAGADO!$E$2:$E$321,0),MATCH($D51,PAGADO!$F$1:$Q$1,0))),0,INDEX(PAGADO!$F$2:$R$321,MATCH(CONCATENATE($B$43,"Centralizada"),PAGADO!$E$2:$E$321,0),MATCH($D51,PAGADO!$F$1:$Q$1,0)))</f>
        <v>0</v>
      </c>
      <c r="R51" s="87">
        <f t="shared" ca="1" si="68"/>
        <v>0</v>
      </c>
      <c r="S51" s="85">
        <f ca="1">INDIRECT("Condiciones!"&amp;ADDRESS(VLOOKUP(S$2,Saltos,2,FALSE)+8*QUOTIENT((ROW()-3),13),MOD(ROW()-3,13)+COLUMN(Condiciones!$F$1)))</f>
        <v>0</v>
      </c>
      <c r="T51" s="87">
        <f t="shared" ca="1" si="69"/>
        <v>0</v>
      </c>
      <c r="U51" s="87">
        <f>IF(ISERROR(INDEX(PAGADO!$F$2:$R$321,MATCH(CONCATENATE($B$43,"Escala Crecimiento"),PAGADO!$E$2:$E$321,0),MATCH($D51,PAGADO!$F$1:$Q$1,0))),0,INDEX(PAGADO!$F$2:$R$321,MATCH(CONCATENATE($B$43,"Escala Crecimiento"),PAGADO!$E$2:$E$321,0),MATCH($D51,PAGADO!$F$1:$Q$1,0)))</f>
        <v>0</v>
      </c>
      <c r="V51" s="87">
        <f t="shared" ca="1" si="70"/>
        <v>0</v>
      </c>
      <c r="W51" s="85">
        <f ca="1">INDIRECT("Condiciones!"&amp;ADDRESS(VLOOKUP(W$2,Saltos,2,FALSE)+8*QUOTIENT((ROW()-3),13),MOD(ROW()-3,13)+COLUMN(Condiciones!$F$1)))</f>
        <v>0</v>
      </c>
      <c r="X51" s="87">
        <f t="shared" ca="1" si="71"/>
        <v>0</v>
      </c>
      <c r="Y51" s="87">
        <f>IF(ISERROR(INDEX(PAGADO!$F$2:$R$321,MATCH(CONCATENATE($B$43,"Escala Fija"),PAGADO!$E$2:$E$321,0),MATCH($D51,PAGADO!$F$1:$Q$1,0))),0,INDEX(PAGADO!$F$2:$R$321,MATCH(CONCATENATE($B$43,"Escala Fija"),PAGADO!$E$2:$E$321,0),MATCH($D51,PAGADO!$F$1:$Q$1,0)))</f>
        <v>0</v>
      </c>
      <c r="Z51" s="87">
        <f t="shared" ca="1" si="72"/>
        <v>0</v>
      </c>
      <c r="AA51" s="85">
        <f ca="1">INDIRECT("Condiciones!"&amp;ADDRESS(VLOOKUP(AA$2,Saltos,2,FALSE)+8*QUOTIENT((ROW()-3),13),MOD(ROW()-3,13)+COLUMN(Condiciones!$F$1)))</f>
        <v>0</v>
      </c>
      <c r="AB51" s="87">
        <f t="shared" ca="1" si="73"/>
        <v>0</v>
      </c>
      <c r="AC51" s="87">
        <f>IF(ISERROR(INDEX(PAGADO!$F$2:$R$321,MATCH(CONCATENATE($B$43,"Devoluciones"),PAGADO!$E$2:$E$321,0),MATCH($D51,PAGADO!$F$1:$Q$1,0))),0,INDEX(PAGADO!$F$2:$R$321,MATCH(CONCATENATE($B$43,"Devoluciones"),PAGADO!$E$2:$E$321,0),MATCH($D51,PAGADO!$F$1:$Q$1,0)))</f>
        <v>0</v>
      </c>
      <c r="AD51" s="87">
        <f t="shared" ca="1" si="74"/>
        <v>0</v>
      </c>
      <c r="AE51" s="85">
        <f ca="1">INDIRECT("Condiciones!"&amp;ADDRESS(VLOOKUP(AE$2,Saltos,2,FALSE)+8*QUOTIENT((ROW()-3),13),MOD(ROW()-3,13)+COLUMN(Condiciones!$F$1)))</f>
        <v>0</v>
      </c>
      <c r="AF51" s="87">
        <f t="shared" ca="1" si="75"/>
        <v>0</v>
      </c>
      <c r="AG51" s="87">
        <f>IF(ISERROR(INDEX(PAGADO!$F$2:$R$321,MATCH(CONCATENATE($B$43,"Otros"),PAGADO!$E$2:$E$321,0),MATCH($D51,PAGADO!$F$1:$Q$1,0))),0,INDEX(PAGADO!$F$2:$R$321,MATCH(CONCATENATE($B$43,"Otros"),PAGADO!$E$2:$E$321,0),MATCH($D51,PAGADO!$F$1:$Q$1,0)))</f>
        <v>0</v>
      </c>
      <c r="AH51" s="87">
        <f t="shared" ca="1" si="76"/>
        <v>0</v>
      </c>
      <c r="AI51" s="85">
        <f ca="1">INDIRECT("Condiciones!"&amp;ADDRESS(VLOOKUP(AI$2,Saltos,2,FALSE)+8*QUOTIENT((ROW()-3),13),MOD(ROW()-3,13)+COLUMN(Condiciones!$F$1)))</f>
        <v>0</v>
      </c>
      <c r="AJ51" s="87">
        <f t="shared" ca="1" si="77"/>
        <v>0</v>
      </c>
      <c r="AK51" s="87">
        <f>IF(ISERROR(INDEX(PAGADO!$F$2:$R$321,MATCH(CONCATENATE($B$43,"Aportes Manuales"),PAGADO!$E$2:$E$321,0),MATCH($D51,PAGADO!$F$1:$Q$1,0))),0,INDEX(PAGADO!$F$2:$R$321,MATCH(CONCATENATE($B$43,"Aportes Manuales"),PAGADO!$E$2:$E$321,0),MATCH($D51,PAGADO!$F$1:$Q$1,0)))</f>
        <v>0</v>
      </c>
      <c r="AL51" s="87">
        <f t="shared" ca="1" si="78"/>
        <v>0</v>
      </c>
      <c r="AM51" s="68"/>
      <c r="AN51" s="87">
        <f t="shared" ca="1" si="59"/>
        <v>0</v>
      </c>
      <c r="AO51" s="87">
        <f t="shared" si="60"/>
        <v>0</v>
      </c>
      <c r="AP51" s="87">
        <f t="shared" ca="1" si="61"/>
        <v>0</v>
      </c>
    </row>
    <row r="52" spans="2:42">
      <c r="B52" s="122"/>
      <c r="C52" s="82">
        <f>DATE($B$2,10,1)</f>
        <v>45931</v>
      </c>
      <c r="D52" s="83" t="str">
        <f t="shared" si="62"/>
        <v>202510</v>
      </c>
      <c r="E52" s="84">
        <f ca="1">IF(ISERROR(INDEX(IV_Compras_Totales_Base!$E$2:$P$300,MATCH(INDIRECT(ADDRESS(4+13*QUOTIENT(ROW()-3,13),2,1,1)),IV_Compras_Totales_Base!$C$2:$C$300,0),MATCH($D52,IV_Compras_Totales_Base!$E$1:$P$1,0))),0,INDEX(IV_Compras_Totales_Base!$E$2:$P$300,MATCH(INDIRECT(ADDRESS(4+13*QUOTIENT(ROW()-3,13),2,1,1)),IV_Compras_Totales_Base!$C$2:$C$300,0),MATCH($D52,IV_Compras_Totales_Base!$E$1:$P$1,0)))</f>
        <v>0</v>
      </c>
      <c r="F52" s="84">
        <f ca="1">IF(ISERROR(INDEX(V_Compras_Logistica_Base!$E$2:$P$300,MATCH(INDIRECT(ADDRESS(4+13*QUOTIENT(ROW()-3,13),2,1,1)),V_Compras_Logistica_Base!$C$2:$C$300,0),MATCH($D52,V_Compras_Logistica_Base!$E$1:$P$1,0))),0,INDEX(V_Compras_Logistica_Base!$E$2:$P$300,MATCH(INDIRECT(ADDRESS(4+13*QUOTIENT(ROW()-3,13),2,1,1)),V_Compras_Logistica_Base!$C$2:$C$300,0),MATCH($D52,V_Compras_Logistica_Base!$E$1:$P$1,0)))</f>
        <v>0</v>
      </c>
      <c r="G52" s="85">
        <f ca="1">INDIRECT("Condiciones!"&amp;ADDRESS(VLOOKUP(G$2,Saltos,2,FALSE)+8*QUOTIENT((ROW()-3),13),MOD(ROW()-3,13)+COLUMN(Condiciones!$F$1)))</f>
        <v>0</v>
      </c>
      <c r="H52" s="86">
        <f t="shared" ca="1" si="63"/>
        <v>0</v>
      </c>
      <c r="I52" s="87">
        <f>IF(ISERROR(INDEX(PAGADO!$F$2:$R$321,MATCH(CONCATENATE($B$43,"Publicidad"),PAGADO!$E$2:$E$321,0),MATCH($D52,PAGADO!$F$1:$Q$1,0))),0,INDEX(PAGADO!$F$2:$R$321,MATCH(CONCATENATE($B$43,"Publicidad"),PAGADO!$E$2:$E$321,0),MATCH($D52,PAGADO!$F$1:$Q$1,0)))</f>
        <v>-1</v>
      </c>
      <c r="J52" s="87">
        <f t="shared" ca="1" si="64"/>
        <v>-1</v>
      </c>
      <c r="K52" s="85">
        <f ca="1">INDIRECT("Condiciones!"&amp;ADDRESS(VLOOKUP(K$2,Saltos,2,FALSE)+8*QUOTIENT((ROW()-3),13),MOD(ROW()-3,13)+COLUMN(Condiciones!$F$1)))</f>
        <v>0</v>
      </c>
      <c r="L52" s="88">
        <f t="shared" ca="1" si="65"/>
        <v>0</v>
      </c>
      <c r="M52" s="87">
        <f>IF(ISERROR(INDEX(PAGADO!$F$2:$R$321,MATCH(CONCATENATE($B$43,"Logistica"),PAGADO!$E$2:$E$321,0),MATCH($D52,PAGADO!$F$1:$Q$1,0))),0,INDEX(PAGADO!$F$2:$R$321,MATCH(CONCATENATE($B$43,"Logistica"),PAGADO!$E$2:$E$321,0),MATCH($D52,PAGADO!$F$1:$Q$1,0)))</f>
        <v>0</v>
      </c>
      <c r="N52" s="87">
        <f t="shared" ca="1" si="66"/>
        <v>0</v>
      </c>
      <c r="O52" s="85">
        <f ca="1">INDIRECT("Condiciones!"&amp;ADDRESS(VLOOKUP(O$2,Saltos,2,FALSE)+8*QUOTIENT((ROW()-3),13),MOD(ROW()-3,13)+COLUMN(Condiciones!$F$1)))</f>
        <v>0</v>
      </c>
      <c r="P52" s="87">
        <f t="shared" ca="1" si="67"/>
        <v>0</v>
      </c>
      <c r="Q52" s="88">
        <f>IF(ISERROR(INDEX(PAGADO!$F$2:$R$321,MATCH(CONCATENATE($B$43,"Centralizada"),PAGADO!$E$2:$E$321,0),MATCH($D52,PAGADO!$F$1:$Q$1,0))),0,INDEX(PAGADO!$F$2:$R$321,MATCH(CONCATENATE($B$43,"Centralizada"),PAGADO!$E$2:$E$321,0),MATCH($D52,PAGADO!$F$1:$Q$1,0)))</f>
        <v>0</v>
      </c>
      <c r="R52" s="87">
        <f t="shared" ca="1" si="68"/>
        <v>0</v>
      </c>
      <c r="S52" s="85">
        <f ca="1">INDIRECT("Condiciones!"&amp;ADDRESS(VLOOKUP(S$2,Saltos,2,FALSE)+8*QUOTIENT((ROW()-3),13),MOD(ROW()-3,13)+COLUMN(Condiciones!$F$1)))</f>
        <v>0</v>
      </c>
      <c r="T52" s="87">
        <f t="shared" ca="1" si="69"/>
        <v>0</v>
      </c>
      <c r="U52" s="87">
        <f>IF(ISERROR(INDEX(PAGADO!$F$2:$R$321,MATCH(CONCATENATE($B$43,"Escala Crecimiento"),PAGADO!$E$2:$E$321,0),MATCH($D52,PAGADO!$F$1:$Q$1,0))),0,INDEX(PAGADO!$F$2:$R$321,MATCH(CONCATENATE($B$43,"Escala Crecimiento"),PAGADO!$E$2:$E$321,0),MATCH($D52,PAGADO!$F$1:$Q$1,0)))</f>
        <v>0</v>
      </c>
      <c r="V52" s="87">
        <f t="shared" ca="1" si="70"/>
        <v>0</v>
      </c>
      <c r="W52" s="85">
        <f ca="1">INDIRECT("Condiciones!"&amp;ADDRESS(VLOOKUP(W$2,Saltos,2,FALSE)+8*QUOTIENT((ROW()-3),13),MOD(ROW()-3,13)+COLUMN(Condiciones!$F$1)))</f>
        <v>0</v>
      </c>
      <c r="X52" s="87">
        <f t="shared" ca="1" si="71"/>
        <v>0</v>
      </c>
      <c r="Y52" s="87">
        <f>IF(ISERROR(INDEX(PAGADO!$F$2:$R$321,MATCH(CONCATENATE($B$43,"Escala Fija"),PAGADO!$E$2:$E$321,0),MATCH($D52,PAGADO!$F$1:$Q$1,0))),0,INDEX(PAGADO!$F$2:$R$321,MATCH(CONCATENATE($B$43,"Escala Fija"),PAGADO!$E$2:$E$321,0),MATCH($D52,PAGADO!$F$1:$Q$1,0)))</f>
        <v>0</v>
      </c>
      <c r="Z52" s="87">
        <f t="shared" ca="1" si="72"/>
        <v>0</v>
      </c>
      <c r="AA52" s="85">
        <f ca="1">INDIRECT("Condiciones!"&amp;ADDRESS(VLOOKUP(AA$2,Saltos,2,FALSE)+8*QUOTIENT((ROW()-3),13),MOD(ROW()-3,13)+COLUMN(Condiciones!$F$1)))</f>
        <v>0</v>
      </c>
      <c r="AB52" s="87">
        <f t="shared" ca="1" si="73"/>
        <v>0</v>
      </c>
      <c r="AC52" s="87">
        <f>IF(ISERROR(INDEX(PAGADO!$F$2:$R$321,MATCH(CONCATENATE($B$43,"Devoluciones"),PAGADO!$E$2:$E$321,0),MATCH($D52,PAGADO!$F$1:$Q$1,0))),0,INDEX(PAGADO!$F$2:$R$321,MATCH(CONCATENATE($B$43,"Devoluciones"),PAGADO!$E$2:$E$321,0),MATCH($D52,PAGADO!$F$1:$Q$1,0)))</f>
        <v>0</v>
      </c>
      <c r="AD52" s="87">
        <f t="shared" ca="1" si="74"/>
        <v>0</v>
      </c>
      <c r="AE52" s="85">
        <f ca="1">INDIRECT("Condiciones!"&amp;ADDRESS(VLOOKUP(AE$2,Saltos,2,FALSE)+8*QUOTIENT((ROW()-3),13),MOD(ROW()-3,13)+COLUMN(Condiciones!$F$1)))</f>
        <v>0</v>
      </c>
      <c r="AF52" s="87">
        <f t="shared" ca="1" si="75"/>
        <v>0</v>
      </c>
      <c r="AG52" s="87">
        <f>IF(ISERROR(INDEX(PAGADO!$F$2:$R$321,MATCH(CONCATENATE($B$43,"Otros"),PAGADO!$E$2:$E$321,0),MATCH($D52,PAGADO!$F$1:$Q$1,0))),0,INDEX(PAGADO!$F$2:$R$321,MATCH(CONCATENATE($B$43,"Otros"),PAGADO!$E$2:$E$321,0),MATCH($D52,PAGADO!$F$1:$Q$1,0)))</f>
        <v>0</v>
      </c>
      <c r="AH52" s="87">
        <f t="shared" ca="1" si="76"/>
        <v>0</v>
      </c>
      <c r="AI52" s="85">
        <f ca="1">INDIRECT("Condiciones!"&amp;ADDRESS(VLOOKUP(AI$2,Saltos,2,FALSE)+8*QUOTIENT((ROW()-3),13),MOD(ROW()-3,13)+COLUMN(Condiciones!$F$1)))</f>
        <v>0</v>
      </c>
      <c r="AJ52" s="87">
        <f t="shared" ca="1" si="77"/>
        <v>0</v>
      </c>
      <c r="AK52" s="87">
        <f>IF(ISERROR(INDEX(PAGADO!$F$2:$R$321,MATCH(CONCATENATE($B$43,"Aportes Manuales"),PAGADO!$E$2:$E$321,0),MATCH($D52,PAGADO!$F$1:$Q$1,0))),0,INDEX(PAGADO!$F$2:$R$321,MATCH(CONCATENATE($B$43,"Aportes Manuales"),PAGADO!$E$2:$E$321,0),MATCH($D52,PAGADO!$F$1:$Q$1,0)))</f>
        <v>0</v>
      </c>
      <c r="AL52" s="87">
        <f t="shared" ca="1" si="78"/>
        <v>0</v>
      </c>
      <c r="AM52" s="68"/>
      <c r="AN52" s="87">
        <f t="shared" ca="1" si="59"/>
        <v>0</v>
      </c>
      <c r="AO52" s="87">
        <f t="shared" si="60"/>
        <v>-1</v>
      </c>
      <c r="AP52" s="87">
        <f t="shared" ca="1" si="61"/>
        <v>-1</v>
      </c>
    </row>
    <row r="53" spans="2:42">
      <c r="B53" s="122"/>
      <c r="C53" s="82">
        <f>DATE($B$2,11,1)</f>
        <v>45962</v>
      </c>
      <c r="D53" s="83" t="str">
        <f t="shared" si="62"/>
        <v>202511</v>
      </c>
      <c r="E53" s="84">
        <f ca="1">IF(ISERROR(INDEX(IV_Compras_Totales_Base!$E$2:$P$300,MATCH(INDIRECT(ADDRESS(4+13*QUOTIENT(ROW()-3,13),2,1,1)),IV_Compras_Totales_Base!$C$2:$C$300,0),MATCH($D53,IV_Compras_Totales_Base!$E$1:$P$1,0))),0,INDEX(IV_Compras_Totales_Base!$E$2:$P$300,MATCH(INDIRECT(ADDRESS(4+13*QUOTIENT(ROW()-3,13),2,1,1)),IV_Compras_Totales_Base!$C$2:$C$300,0),MATCH($D53,IV_Compras_Totales_Base!$E$1:$P$1,0)))</f>
        <v>0</v>
      </c>
      <c r="F53" s="84">
        <f ca="1">IF(ISERROR(INDEX(V_Compras_Logistica_Base!$E$2:$P$300,MATCH(INDIRECT(ADDRESS(4+13*QUOTIENT(ROW()-3,13),2,1,1)),V_Compras_Logistica_Base!$C$2:$C$300,0),MATCH($D53,V_Compras_Logistica_Base!$E$1:$P$1,0))),0,INDEX(V_Compras_Logistica_Base!$E$2:$P$300,MATCH(INDIRECT(ADDRESS(4+13*QUOTIENT(ROW()-3,13),2,1,1)),V_Compras_Logistica_Base!$C$2:$C$300,0),MATCH($D53,V_Compras_Logistica_Base!$E$1:$P$1,0)))</f>
        <v>0</v>
      </c>
      <c r="G53" s="85">
        <f ca="1">INDIRECT("Condiciones!"&amp;ADDRESS(VLOOKUP(G$2,Saltos,2,FALSE)+8*QUOTIENT((ROW()-3),13),MOD(ROW()-3,13)+COLUMN(Condiciones!$F$1)))</f>
        <v>0</v>
      </c>
      <c r="H53" s="86">
        <f t="shared" ca="1" si="63"/>
        <v>0</v>
      </c>
      <c r="I53" s="87">
        <f>IF(ISERROR(INDEX(PAGADO!$F$2:$R$321,MATCH(CONCATENATE($B$43,"Publicidad"),PAGADO!$E$2:$E$321,0),MATCH($D53,PAGADO!$F$1:$Q$1,0))),0,INDEX(PAGADO!$F$2:$R$321,MATCH(CONCATENATE($B$43,"Publicidad"),PAGADO!$E$2:$E$321,0),MATCH($D53,PAGADO!$F$1:$Q$1,0)))</f>
        <v>0</v>
      </c>
      <c r="J53" s="87">
        <f t="shared" ca="1" si="64"/>
        <v>0</v>
      </c>
      <c r="K53" s="85">
        <f ca="1">INDIRECT("Condiciones!"&amp;ADDRESS(VLOOKUP(K$2,Saltos,2,FALSE)+8*QUOTIENT((ROW()-3),13),MOD(ROW()-3,13)+COLUMN(Condiciones!$F$1)))</f>
        <v>0</v>
      </c>
      <c r="L53" s="88">
        <f t="shared" ca="1" si="65"/>
        <v>0</v>
      </c>
      <c r="M53" s="87">
        <f>IF(ISERROR(INDEX(PAGADO!$F$2:$R$321,MATCH(CONCATENATE($B$43,"Logistica"),PAGADO!$E$2:$E$321,0),MATCH($D53,PAGADO!$F$1:$Q$1,0))),0,INDEX(PAGADO!$F$2:$R$321,MATCH(CONCATENATE($B$43,"Logistica"),PAGADO!$E$2:$E$321,0),MATCH($D53,PAGADO!$F$1:$Q$1,0)))</f>
        <v>0</v>
      </c>
      <c r="N53" s="87">
        <f t="shared" ca="1" si="66"/>
        <v>0</v>
      </c>
      <c r="O53" s="85">
        <f ca="1">INDIRECT("Condiciones!"&amp;ADDRESS(VLOOKUP(O$2,Saltos,2,FALSE)+8*QUOTIENT((ROW()-3),13),MOD(ROW()-3,13)+COLUMN(Condiciones!$F$1)))</f>
        <v>0</v>
      </c>
      <c r="P53" s="87">
        <f t="shared" ca="1" si="67"/>
        <v>0</v>
      </c>
      <c r="Q53" s="88">
        <f>IF(ISERROR(INDEX(PAGADO!$F$2:$R$321,MATCH(CONCATENATE($B$43,"Centralizada"),PAGADO!$E$2:$E$321,0),MATCH($D53,PAGADO!$F$1:$Q$1,0))),0,INDEX(PAGADO!$F$2:$R$321,MATCH(CONCATENATE($B$43,"Centralizada"),PAGADO!$E$2:$E$321,0),MATCH($D53,PAGADO!$F$1:$Q$1,0)))</f>
        <v>0</v>
      </c>
      <c r="R53" s="87">
        <f t="shared" ca="1" si="68"/>
        <v>0</v>
      </c>
      <c r="S53" s="85">
        <f ca="1">INDIRECT("Condiciones!"&amp;ADDRESS(VLOOKUP(S$2,Saltos,2,FALSE)+8*QUOTIENT((ROW()-3),13),MOD(ROW()-3,13)+COLUMN(Condiciones!$F$1)))</f>
        <v>0</v>
      </c>
      <c r="T53" s="87">
        <f t="shared" ca="1" si="69"/>
        <v>0</v>
      </c>
      <c r="U53" s="87">
        <f>IF(ISERROR(INDEX(PAGADO!$F$2:$R$321,MATCH(CONCATENATE($B$43,"Escala Crecimiento"),PAGADO!$E$2:$E$321,0),MATCH($D53,PAGADO!$F$1:$Q$1,0))),0,INDEX(PAGADO!$F$2:$R$321,MATCH(CONCATENATE($B$43,"Escala Crecimiento"),PAGADO!$E$2:$E$321,0),MATCH($D53,PAGADO!$F$1:$Q$1,0)))</f>
        <v>0</v>
      </c>
      <c r="V53" s="87">
        <f t="shared" ca="1" si="70"/>
        <v>0</v>
      </c>
      <c r="W53" s="85">
        <f ca="1">INDIRECT("Condiciones!"&amp;ADDRESS(VLOOKUP(W$2,Saltos,2,FALSE)+8*QUOTIENT((ROW()-3),13),MOD(ROW()-3,13)+COLUMN(Condiciones!$F$1)))</f>
        <v>0</v>
      </c>
      <c r="X53" s="87">
        <f t="shared" ca="1" si="71"/>
        <v>0</v>
      </c>
      <c r="Y53" s="87">
        <f>IF(ISERROR(INDEX(PAGADO!$F$2:$R$321,MATCH(CONCATENATE($B$43,"Escala Fija"),PAGADO!$E$2:$E$321,0),MATCH($D53,PAGADO!$F$1:$Q$1,0))),0,INDEX(PAGADO!$F$2:$R$321,MATCH(CONCATENATE($B$43,"Escala Fija"),PAGADO!$E$2:$E$321,0),MATCH($D53,PAGADO!$F$1:$Q$1,0)))</f>
        <v>0</v>
      </c>
      <c r="Z53" s="87">
        <f t="shared" ca="1" si="72"/>
        <v>0</v>
      </c>
      <c r="AA53" s="85">
        <f ca="1">INDIRECT("Condiciones!"&amp;ADDRESS(VLOOKUP(AA$2,Saltos,2,FALSE)+8*QUOTIENT((ROW()-3),13),MOD(ROW()-3,13)+COLUMN(Condiciones!$F$1)))</f>
        <v>0</v>
      </c>
      <c r="AB53" s="87">
        <f t="shared" ca="1" si="73"/>
        <v>0</v>
      </c>
      <c r="AC53" s="87">
        <f>IF(ISERROR(INDEX(PAGADO!$F$2:$R$321,MATCH(CONCATENATE($B$43,"Devoluciones"),PAGADO!$E$2:$E$321,0),MATCH($D53,PAGADO!$F$1:$Q$1,0))),0,INDEX(PAGADO!$F$2:$R$321,MATCH(CONCATENATE($B$43,"Devoluciones"),PAGADO!$E$2:$E$321,0),MATCH($D53,PAGADO!$F$1:$Q$1,0)))</f>
        <v>0</v>
      </c>
      <c r="AD53" s="87">
        <f t="shared" ca="1" si="74"/>
        <v>0</v>
      </c>
      <c r="AE53" s="85">
        <f ca="1">INDIRECT("Condiciones!"&amp;ADDRESS(VLOOKUP(AE$2,Saltos,2,FALSE)+8*QUOTIENT((ROW()-3),13),MOD(ROW()-3,13)+COLUMN(Condiciones!$F$1)))</f>
        <v>0</v>
      </c>
      <c r="AF53" s="87">
        <f t="shared" ca="1" si="75"/>
        <v>0</v>
      </c>
      <c r="AG53" s="87">
        <f>IF(ISERROR(INDEX(PAGADO!$F$2:$R$321,MATCH(CONCATENATE($B$43,"Otros"),PAGADO!$E$2:$E$321,0),MATCH($D53,PAGADO!$F$1:$Q$1,0))),0,INDEX(PAGADO!$F$2:$R$321,MATCH(CONCATENATE($B$43,"Otros"),PAGADO!$E$2:$E$321,0),MATCH($D53,PAGADO!$F$1:$Q$1,0)))</f>
        <v>0</v>
      </c>
      <c r="AH53" s="87">
        <f t="shared" ca="1" si="76"/>
        <v>0</v>
      </c>
      <c r="AI53" s="85">
        <f ca="1">INDIRECT("Condiciones!"&amp;ADDRESS(VLOOKUP(AI$2,Saltos,2,FALSE)+8*QUOTIENT((ROW()-3),13),MOD(ROW()-3,13)+COLUMN(Condiciones!$F$1)))</f>
        <v>0</v>
      </c>
      <c r="AJ53" s="87">
        <f t="shared" ca="1" si="77"/>
        <v>0</v>
      </c>
      <c r="AK53" s="87">
        <f>IF(ISERROR(INDEX(PAGADO!$F$2:$R$321,MATCH(CONCATENATE($B$43,"Aportes Manuales"),PAGADO!$E$2:$E$321,0),MATCH($D53,PAGADO!$F$1:$Q$1,0))),0,INDEX(PAGADO!$F$2:$R$321,MATCH(CONCATENATE($B$43,"Aportes Manuales"),PAGADO!$E$2:$E$321,0),MATCH($D53,PAGADO!$F$1:$Q$1,0)))</f>
        <v>0</v>
      </c>
      <c r="AL53" s="87">
        <f t="shared" ca="1" si="78"/>
        <v>0</v>
      </c>
      <c r="AM53" s="68"/>
      <c r="AN53" s="87">
        <f t="shared" ca="1" si="59"/>
        <v>0</v>
      </c>
      <c r="AO53" s="87">
        <f t="shared" si="60"/>
        <v>0</v>
      </c>
      <c r="AP53" s="87">
        <f t="shared" ca="1" si="61"/>
        <v>0</v>
      </c>
    </row>
    <row r="54" spans="2:42">
      <c r="B54" s="123"/>
      <c r="C54" s="82">
        <f>DATE($B$2,12,1)</f>
        <v>45992</v>
      </c>
      <c r="D54" s="83" t="str">
        <f t="shared" si="62"/>
        <v>202512</v>
      </c>
      <c r="E54" s="84">
        <f ca="1">IF(ISERROR(INDEX(IV_Compras_Totales_Base!$E$2:$P$300,MATCH(INDIRECT(ADDRESS(4+13*QUOTIENT(ROW()-3,13),2,1,1)),IV_Compras_Totales_Base!$C$2:$C$300,0),MATCH($D54,IV_Compras_Totales_Base!$E$1:$P$1,0))),0,INDEX(IV_Compras_Totales_Base!$E$2:$P$300,MATCH(INDIRECT(ADDRESS(4+13*QUOTIENT(ROW()-3,13),2,1,1)),IV_Compras_Totales_Base!$C$2:$C$300,0),MATCH($D54,IV_Compras_Totales_Base!$E$1:$P$1,0)))</f>
        <v>0</v>
      </c>
      <c r="F54" s="84">
        <f ca="1">IF(ISERROR(INDEX(V_Compras_Logistica_Base!$E$2:$P$300,MATCH(INDIRECT(ADDRESS(4+13*QUOTIENT(ROW()-3,13),2,1,1)),V_Compras_Logistica_Base!$C$2:$C$300,0),MATCH($D54,V_Compras_Logistica_Base!$E$1:$P$1,0))),0,INDEX(V_Compras_Logistica_Base!$E$2:$P$300,MATCH(INDIRECT(ADDRESS(4+13*QUOTIENT(ROW()-3,13),2,1,1)),V_Compras_Logistica_Base!$C$2:$C$300,0),MATCH($D54,V_Compras_Logistica_Base!$E$1:$P$1,0)))</f>
        <v>0</v>
      </c>
      <c r="G54" s="85">
        <f ca="1">INDIRECT("Condiciones!"&amp;ADDRESS(VLOOKUP(G$2,Saltos,2,FALSE)+8*QUOTIENT((ROW()-3),13),MOD(ROW()-3,13)+COLUMN(Condiciones!$F$1)))</f>
        <v>0</v>
      </c>
      <c r="H54" s="86">
        <f t="shared" ca="1" si="63"/>
        <v>0</v>
      </c>
      <c r="I54" s="87">
        <f>IF(ISERROR(INDEX(PAGADO!$F$2:$R$321,MATCH(CONCATENATE($B$43,"Publicidad"),PAGADO!$E$2:$E$321,0),MATCH($D54,PAGADO!$F$1:$Q$1,0))),0,INDEX(PAGADO!$F$2:$R$321,MATCH(CONCATENATE($B$43,"Publicidad"),PAGADO!$E$2:$E$321,0),MATCH($D54,PAGADO!$F$1:$Q$1,0)))</f>
        <v>0</v>
      </c>
      <c r="J54" s="87">
        <f t="shared" ca="1" si="64"/>
        <v>0</v>
      </c>
      <c r="K54" s="85">
        <f ca="1">INDIRECT("Condiciones!"&amp;ADDRESS(VLOOKUP(K$2,Saltos,2,FALSE)+8*QUOTIENT((ROW()-3),13),MOD(ROW()-3,13)+COLUMN(Condiciones!$F$1)))</f>
        <v>0</v>
      </c>
      <c r="L54" s="88">
        <f t="shared" ca="1" si="65"/>
        <v>0</v>
      </c>
      <c r="M54" s="87">
        <f>IF(ISERROR(INDEX(PAGADO!$F$2:$R$321,MATCH(CONCATENATE($B$43,"Logistica"),PAGADO!$E$2:$E$321,0),MATCH($D54,PAGADO!$F$1:$Q$1,0))),0,INDEX(PAGADO!$F$2:$R$321,MATCH(CONCATENATE($B$43,"Logistica"),PAGADO!$E$2:$E$321,0),MATCH($D54,PAGADO!$F$1:$Q$1,0)))</f>
        <v>0</v>
      </c>
      <c r="N54" s="87">
        <f t="shared" ca="1" si="66"/>
        <v>0</v>
      </c>
      <c r="O54" s="85">
        <f ca="1">INDIRECT("Condiciones!"&amp;ADDRESS(VLOOKUP(O$2,Saltos,2,FALSE)+8*QUOTIENT((ROW()-3),13),MOD(ROW()-3,13)+COLUMN(Condiciones!$F$1)))</f>
        <v>0</v>
      </c>
      <c r="P54" s="87">
        <f t="shared" ca="1" si="67"/>
        <v>0</v>
      </c>
      <c r="Q54" s="88">
        <f>IF(ISERROR(INDEX(PAGADO!$F$2:$R$321,MATCH(CONCATENATE($B$43,"Centralizada"),PAGADO!$E$2:$E$321,0),MATCH($D54,PAGADO!$F$1:$Q$1,0))),0,INDEX(PAGADO!$F$2:$R$321,MATCH(CONCATENATE($B$43,"Centralizada"),PAGADO!$E$2:$E$321,0),MATCH($D54,PAGADO!$F$1:$Q$1,0)))</f>
        <v>0</v>
      </c>
      <c r="R54" s="87">
        <f t="shared" ca="1" si="68"/>
        <v>0</v>
      </c>
      <c r="S54" s="85">
        <f ca="1">INDIRECT("Condiciones!"&amp;ADDRESS(VLOOKUP(S$2,Saltos,2,FALSE)+8*QUOTIENT((ROW()-3),13),MOD(ROW()-3,13)+COLUMN(Condiciones!$F$1)))</f>
        <v>0</v>
      </c>
      <c r="T54" s="87">
        <f t="shared" ca="1" si="69"/>
        <v>0</v>
      </c>
      <c r="U54" s="87">
        <f>IF(ISERROR(INDEX(PAGADO!$F$2:$R$321,MATCH(CONCATENATE($B$43,"Escala Crecimiento"),PAGADO!$E$2:$E$321,0),MATCH($D54,PAGADO!$F$1:$Q$1,0))),0,INDEX(PAGADO!$F$2:$R$321,MATCH(CONCATENATE($B$43,"Escala Crecimiento"),PAGADO!$E$2:$E$321,0),MATCH($D54,PAGADO!$F$1:$Q$1,0)))</f>
        <v>0</v>
      </c>
      <c r="V54" s="87">
        <f t="shared" ca="1" si="70"/>
        <v>0</v>
      </c>
      <c r="W54" s="85">
        <f ca="1">INDIRECT("Condiciones!"&amp;ADDRESS(VLOOKUP(W$2,Saltos,2,FALSE)+8*QUOTIENT((ROW()-3),13),MOD(ROW()-3,13)+COLUMN(Condiciones!$F$1)))</f>
        <v>0</v>
      </c>
      <c r="X54" s="87">
        <f t="shared" ca="1" si="71"/>
        <v>0</v>
      </c>
      <c r="Y54" s="87">
        <f>IF(ISERROR(INDEX(PAGADO!$F$2:$R$321,MATCH(CONCATENATE($B$43,"Escala Fija"),PAGADO!$E$2:$E$321,0),MATCH($D54,PAGADO!$F$1:$Q$1,0))),0,INDEX(PAGADO!$F$2:$R$321,MATCH(CONCATENATE($B$43,"Escala Fija"),PAGADO!$E$2:$E$321,0),MATCH($D54,PAGADO!$F$1:$Q$1,0)))</f>
        <v>0</v>
      </c>
      <c r="Z54" s="87">
        <f t="shared" ca="1" si="72"/>
        <v>0</v>
      </c>
      <c r="AA54" s="85">
        <f ca="1">INDIRECT("Condiciones!"&amp;ADDRESS(VLOOKUP(AA$2,Saltos,2,FALSE)+8*QUOTIENT((ROW()-3),13),MOD(ROW()-3,13)+COLUMN(Condiciones!$F$1)))</f>
        <v>0</v>
      </c>
      <c r="AB54" s="87">
        <f t="shared" ca="1" si="73"/>
        <v>0</v>
      </c>
      <c r="AC54" s="87">
        <f>IF(ISERROR(INDEX(PAGADO!$F$2:$R$321,MATCH(CONCATENATE($B$43,"Devoluciones"),PAGADO!$E$2:$E$321,0),MATCH($D54,PAGADO!$F$1:$Q$1,0))),0,INDEX(PAGADO!$F$2:$R$321,MATCH(CONCATENATE($B$43,"Devoluciones"),PAGADO!$E$2:$E$321,0),MATCH($D54,PAGADO!$F$1:$Q$1,0)))</f>
        <v>0</v>
      </c>
      <c r="AD54" s="87">
        <f t="shared" ca="1" si="74"/>
        <v>0</v>
      </c>
      <c r="AE54" s="85">
        <f ca="1">INDIRECT("Condiciones!"&amp;ADDRESS(VLOOKUP(AE$2,Saltos,2,FALSE)+8*QUOTIENT((ROW()-3),13),MOD(ROW()-3,13)+COLUMN(Condiciones!$F$1)))</f>
        <v>0</v>
      </c>
      <c r="AF54" s="87">
        <f t="shared" ca="1" si="75"/>
        <v>0</v>
      </c>
      <c r="AG54" s="87">
        <f>IF(ISERROR(INDEX(PAGADO!$F$2:$R$321,MATCH(CONCATENATE($B$43,"Otros"),PAGADO!$E$2:$E$321,0),MATCH($D54,PAGADO!$F$1:$Q$1,0))),0,INDEX(PAGADO!$F$2:$R$321,MATCH(CONCATENATE($B$43,"Otros"),PAGADO!$E$2:$E$321,0),MATCH($D54,PAGADO!$F$1:$Q$1,0)))</f>
        <v>0</v>
      </c>
      <c r="AH54" s="87">
        <f t="shared" ca="1" si="76"/>
        <v>0</v>
      </c>
      <c r="AI54" s="85">
        <f ca="1">INDIRECT("Condiciones!"&amp;ADDRESS(VLOOKUP(AI$2,Saltos,2,FALSE)+8*QUOTIENT((ROW()-3),13),MOD(ROW()-3,13)+COLUMN(Condiciones!$F$1)))</f>
        <v>0</v>
      </c>
      <c r="AJ54" s="87">
        <f t="shared" ca="1" si="77"/>
        <v>0</v>
      </c>
      <c r="AK54" s="87">
        <f>IF(ISERROR(INDEX(PAGADO!$F$2:$R$321,MATCH(CONCATENATE($B$43,"Aportes Manuales"),PAGADO!$E$2:$E$321,0),MATCH($D54,PAGADO!$F$1:$Q$1,0))),0,INDEX(PAGADO!$F$2:$R$321,MATCH(CONCATENATE($B$43,"Aportes Manuales"),PAGADO!$E$2:$E$321,0),MATCH($D54,PAGADO!$F$1:$Q$1,0)))</f>
        <v>0</v>
      </c>
      <c r="AL54" s="87">
        <f t="shared" ca="1" si="78"/>
        <v>0</v>
      </c>
      <c r="AM54" s="68"/>
      <c r="AN54" s="87">
        <f t="shared" ca="1" si="59"/>
        <v>0</v>
      </c>
      <c r="AO54" s="87">
        <f t="shared" si="60"/>
        <v>0</v>
      </c>
      <c r="AP54" s="87">
        <f t="shared" ca="1" si="61"/>
        <v>0</v>
      </c>
    </row>
    <row r="55" spans="2:42">
      <c r="B55" s="89"/>
      <c r="C55" s="90"/>
      <c r="D55" s="91"/>
      <c r="E55" s="92">
        <f ca="1">SUM(E43:E54)</f>
        <v>0</v>
      </c>
      <c r="F55" s="92">
        <f ca="1">SUM(F43:F54)</f>
        <v>0</v>
      </c>
      <c r="G55" s="93"/>
      <c r="H55" s="94">
        <f ca="1">SUM(H43:H54)</f>
        <v>0</v>
      </c>
      <c r="I55" s="95">
        <f>SUM(I43:I54)</f>
        <v>-1</v>
      </c>
      <c r="J55" s="95">
        <f ca="1">SUM(J43:J54)</f>
        <v>-1</v>
      </c>
      <c r="K55" s="93"/>
      <c r="L55" s="95">
        <f ca="1">SUM(L43:L54)</f>
        <v>0</v>
      </c>
      <c r="M55" s="95">
        <f>SUM(M43:M54)</f>
        <v>0</v>
      </c>
      <c r="N55" s="95">
        <f ca="1">SUM(N43:N54)</f>
        <v>0</v>
      </c>
      <c r="O55" s="93"/>
      <c r="P55" s="95">
        <f ca="1">SUM(P43:P54)</f>
        <v>0</v>
      </c>
      <c r="Q55" s="96">
        <f>SUM(Q43:Q54)</f>
        <v>0</v>
      </c>
      <c r="R55" s="95">
        <f ca="1">SUM(R43:R54)</f>
        <v>0</v>
      </c>
      <c r="S55" s="93"/>
      <c r="T55" s="95">
        <f ca="1">SUM(T43:T54)</f>
        <v>0</v>
      </c>
      <c r="U55" s="95">
        <f>SUM(U43:U54)</f>
        <v>0</v>
      </c>
      <c r="V55" s="95">
        <f ca="1">SUM(V43:V54)</f>
        <v>0</v>
      </c>
      <c r="W55" s="93"/>
      <c r="X55" s="95">
        <f ca="1">SUM(X43:X54)</f>
        <v>0</v>
      </c>
      <c r="Y55" s="95">
        <f>SUM(Y43:Y54)</f>
        <v>0</v>
      </c>
      <c r="Z55" s="95">
        <f ca="1">SUM(Z43:Z54)</f>
        <v>0</v>
      </c>
      <c r="AA55" s="93"/>
      <c r="AB55" s="95">
        <f ca="1">SUM(AB43:AB54)</f>
        <v>0</v>
      </c>
      <c r="AC55" s="95">
        <f>SUM(AC43:AC54)</f>
        <v>0</v>
      </c>
      <c r="AD55" s="95">
        <f ca="1">SUM(AD43:AD54)</f>
        <v>0</v>
      </c>
      <c r="AE55" s="93"/>
      <c r="AF55" s="95">
        <f ca="1">SUM(AF43:AF54)</f>
        <v>0</v>
      </c>
      <c r="AG55" s="95">
        <f>SUM(AG43:AG54)</f>
        <v>0</v>
      </c>
      <c r="AH55" s="95">
        <f ca="1">SUM(AH43:AH54)</f>
        <v>0</v>
      </c>
      <c r="AI55" s="93"/>
      <c r="AJ55" s="95">
        <f ca="1">SUM(AJ43:AJ54)</f>
        <v>0</v>
      </c>
      <c r="AK55" s="95">
        <f>SUM(AK43:AK54)</f>
        <v>0</v>
      </c>
      <c r="AL55" s="95">
        <f ca="1">SUM(AL43:AL54)</f>
        <v>0</v>
      </c>
      <c r="AM55" s="68"/>
      <c r="AN55" s="95">
        <f ca="1">SUM(AN43:AN54)</f>
        <v>0</v>
      </c>
      <c r="AO55" s="95">
        <f>SUM(AO43:AO54)</f>
        <v>-1</v>
      </c>
      <c r="AP55" s="95">
        <f ca="1">SUM(AP43:AP54)</f>
        <v>-1</v>
      </c>
    </row>
    <row r="57" spans="2:42">
      <c r="B57" s="124" t="s">
        <v>759</v>
      </c>
      <c r="C57" s="124"/>
      <c r="D57" s="124"/>
      <c r="E57" s="124"/>
      <c r="F57" s="124"/>
      <c r="G57" s="97"/>
      <c r="H57" s="119" t="s">
        <v>742</v>
      </c>
      <c r="I57" s="119"/>
      <c r="J57" s="119"/>
      <c r="L57" s="119" t="s">
        <v>743</v>
      </c>
      <c r="M57" s="119"/>
      <c r="N57" s="119"/>
      <c r="P57" s="119" t="s">
        <v>744</v>
      </c>
      <c r="Q57" s="119"/>
      <c r="R57" s="119"/>
      <c r="T57" s="119" t="s">
        <v>745</v>
      </c>
      <c r="U57" s="119"/>
      <c r="V57" s="119"/>
      <c r="X57" s="119" t="s">
        <v>746</v>
      </c>
      <c r="Y57" s="119"/>
      <c r="Z57" s="119"/>
      <c r="AB57" s="119" t="s">
        <v>747</v>
      </c>
      <c r="AC57" s="119"/>
      <c r="AD57" s="119"/>
      <c r="AF57" s="119" t="s">
        <v>748</v>
      </c>
      <c r="AG57" s="119"/>
      <c r="AH57" s="119"/>
      <c r="AJ57" s="119" t="s">
        <v>749</v>
      </c>
      <c r="AK57" s="119"/>
      <c r="AL57" s="119"/>
      <c r="AM57" s="98"/>
      <c r="AN57" s="119" t="s">
        <v>3</v>
      </c>
      <c r="AO57" s="119"/>
      <c r="AP57" s="119"/>
    </row>
    <row r="58" spans="2:42">
      <c r="B58" s="124"/>
      <c r="C58" s="124"/>
      <c r="D58" s="124"/>
      <c r="E58" s="124"/>
      <c r="F58" s="124"/>
      <c r="G58" s="97"/>
      <c r="H58" s="99" t="s">
        <v>754</v>
      </c>
      <c r="I58" s="100" t="s">
        <v>755</v>
      </c>
      <c r="J58" s="101" t="s">
        <v>756</v>
      </c>
      <c r="L58" s="101" t="s">
        <v>754</v>
      </c>
      <c r="M58" s="100" t="s">
        <v>755</v>
      </c>
      <c r="N58" s="101" t="s">
        <v>756</v>
      </c>
      <c r="P58" s="101" t="s">
        <v>754</v>
      </c>
      <c r="Q58" s="102" t="s">
        <v>755</v>
      </c>
      <c r="R58" s="101" t="s">
        <v>756</v>
      </c>
      <c r="T58" s="101" t="s">
        <v>754</v>
      </c>
      <c r="U58" s="100" t="s">
        <v>755</v>
      </c>
      <c r="V58" s="101" t="s">
        <v>756</v>
      </c>
      <c r="X58" s="101" t="s">
        <v>754</v>
      </c>
      <c r="Y58" s="100" t="s">
        <v>755</v>
      </c>
      <c r="Z58" s="101" t="s">
        <v>756</v>
      </c>
      <c r="AB58" s="101" t="s">
        <v>754</v>
      </c>
      <c r="AC58" s="100" t="s">
        <v>755</v>
      </c>
      <c r="AD58" s="101" t="s">
        <v>756</v>
      </c>
      <c r="AF58" s="101" t="s">
        <v>754</v>
      </c>
      <c r="AG58" s="100" t="s">
        <v>755</v>
      </c>
      <c r="AH58" s="101" t="s">
        <v>756</v>
      </c>
      <c r="AJ58" s="101" t="s">
        <v>754</v>
      </c>
      <c r="AK58" s="100" t="s">
        <v>755</v>
      </c>
      <c r="AL58" s="101" t="s">
        <v>756</v>
      </c>
      <c r="AM58" s="103"/>
      <c r="AN58" s="101" t="s">
        <v>754</v>
      </c>
      <c r="AO58" s="101" t="s">
        <v>755</v>
      </c>
      <c r="AP58" s="101" t="s">
        <v>756</v>
      </c>
    </row>
    <row r="59" spans="2:42">
      <c r="B59" s="124"/>
      <c r="C59" s="124"/>
      <c r="D59" s="124"/>
      <c r="E59" s="124"/>
      <c r="F59" s="124"/>
      <c r="G59" s="97"/>
      <c r="H59" s="87">
        <f ca="1">SUMIFS(H4:H55,G4:G55,"=")</f>
        <v>163256331.31999999</v>
      </c>
      <c r="I59" s="87">
        <f ca="1">SUMIFS(I4:I55,G4:G55,"=")</f>
        <v>-116798337</v>
      </c>
      <c r="J59" s="87">
        <f ca="1">SUMIFS(J4:J55,$G4:$G55,"=")</f>
        <v>46457994.319999993</v>
      </c>
      <c r="L59" s="87">
        <f ca="1">SUMIFS(L4:L55,$G4:$G55,"=")</f>
        <v>0</v>
      </c>
      <c r="M59" s="87">
        <f ca="1">SUMIFS(M4:M55,$G4:$G55,"=")</f>
        <v>0</v>
      </c>
      <c r="N59" s="87">
        <f ca="1">SUMIFS(N4:N55,$G4:$G55,"=")</f>
        <v>0</v>
      </c>
      <c r="P59" s="87">
        <f ca="1">SUMIFS(P4:P55,$G4:$G55,"=")</f>
        <v>0</v>
      </c>
      <c r="Q59" s="88">
        <f ca="1">SUMIFS(Q4:Q55,$G4:$G55,"=")</f>
        <v>0</v>
      </c>
      <c r="R59" s="87">
        <f ca="1">SUMIFS(R4:R55,$G4:$G55,"=")</f>
        <v>0</v>
      </c>
      <c r="T59" s="87">
        <f ca="1">SUMIFS(T4:T55,$G4:$G55,"=")</f>
        <v>0</v>
      </c>
      <c r="U59" s="87">
        <f ca="1">SUMIFS(U4:U55,$G4:$G55,"=")</f>
        <v>0</v>
      </c>
      <c r="V59" s="87">
        <f ca="1">SUMIFS(V4:V55,$G4:$G55,"=")</f>
        <v>0</v>
      </c>
      <c r="X59" s="87">
        <f ca="1">SUMIFS(X4:X55,$G4:$G55,"=")</f>
        <v>0</v>
      </c>
      <c r="Y59" s="87">
        <f ca="1">SUMIFS(Y4:Y55,$G4:$G55,"=")</f>
        <v>-26938596</v>
      </c>
      <c r="Z59" s="87">
        <f ca="1">SUMIFS(Z4:Z55,$G4:$G55,"=")</f>
        <v>-26938596</v>
      </c>
      <c r="AB59" s="87">
        <f ca="1">SUMIFS(AB4:AB55,$G4:$G55,"=")</f>
        <v>0</v>
      </c>
      <c r="AC59" s="87">
        <f ca="1">SUMIFS(AC4:AC55,$G4:$G55,"=")</f>
        <v>0</v>
      </c>
      <c r="AD59" s="87">
        <f ca="1">SUMIFS(AD4:AD55,$G4:$G55,"=")</f>
        <v>0</v>
      </c>
      <c r="AF59" s="87">
        <f ca="1">SUMIFS(AF4:AF55,$G4:$G55,"=")</f>
        <v>0</v>
      </c>
      <c r="AG59" s="87">
        <f ca="1">SUMIFS(AG4:AG55,$G4:$G55,"=")</f>
        <v>0</v>
      </c>
      <c r="AH59" s="87">
        <f ca="1">SUMIFS(AH4:AH55,$G4:$G55,"=")</f>
        <v>0</v>
      </c>
      <c r="AJ59" s="87">
        <f ca="1">SUMIFS(AJ4:AJ55,$G4:$G55,"=")</f>
        <v>0</v>
      </c>
      <c r="AK59" s="87">
        <f ca="1">SUMIFS(AK4:AK55,$G4:$G55,"=")</f>
        <v>-5163616</v>
      </c>
      <c r="AL59" s="87">
        <f ca="1">SUMIFS(AL4:AL55,$G4:$G55,"=")</f>
        <v>-5163616</v>
      </c>
      <c r="AN59" s="87">
        <f ca="1">SUMIFS(AN4:AN55,$G4:$G55,"=")</f>
        <v>163256331.31999999</v>
      </c>
      <c r="AO59" s="87">
        <f ca="1">SUMIFS(AO4:AO55,$G4:$G55,"=")</f>
        <v>-148900549</v>
      </c>
      <c r="AP59" s="87">
        <f ca="1">SUMIFS(AP4:AP55,$G4:$G55,"=")</f>
        <v>14355782.319999997</v>
      </c>
    </row>
  </sheetData>
  <mergeCells count="23">
    <mergeCell ref="B4:B15"/>
    <mergeCell ref="B17:B28"/>
    <mergeCell ref="B30:B41"/>
    <mergeCell ref="B43:B54"/>
    <mergeCell ref="X57:Z57"/>
    <mergeCell ref="B57:F59"/>
    <mergeCell ref="AB57:AD57"/>
    <mergeCell ref="G2:J2"/>
    <mergeCell ref="K2:N2"/>
    <mergeCell ref="O2:R2"/>
    <mergeCell ref="S2:V2"/>
    <mergeCell ref="W2:Z2"/>
    <mergeCell ref="AA2:AD2"/>
    <mergeCell ref="H57:J57"/>
    <mergeCell ref="L57:N57"/>
    <mergeCell ref="P57:R57"/>
    <mergeCell ref="T57:V57"/>
    <mergeCell ref="AF57:AH57"/>
    <mergeCell ref="AJ57:AL57"/>
    <mergeCell ref="AN57:AP57"/>
    <mergeCell ref="AE2:AH2"/>
    <mergeCell ref="AI2:AL2"/>
    <mergeCell ref="AN2:AP2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A3BB-F936-4981-89A5-57D6541A8790}">
  <dimension ref="A3:O28"/>
  <sheetViews>
    <sheetView tabSelected="1" topLeftCell="A4" workbookViewId="0">
      <selection activeCell="B24" sqref="B24"/>
    </sheetView>
  </sheetViews>
  <sheetFormatPr baseColWidth="10" defaultRowHeight="14.4"/>
  <cols>
    <col min="1" max="1" width="29.5546875" bestFit="1" customWidth="1"/>
    <col min="2" max="2" width="21.5546875" bestFit="1" customWidth="1"/>
    <col min="3" max="3" width="13.88671875" bestFit="1" customWidth="1"/>
    <col min="4" max="4" width="14.88671875" bestFit="1" customWidth="1"/>
    <col min="5" max="8" width="13.88671875" bestFit="1" customWidth="1"/>
    <col min="9" max="9" width="14.88671875" bestFit="1" customWidth="1"/>
    <col min="10" max="11" width="13.88671875" bestFit="1" customWidth="1"/>
    <col min="12" max="12" width="14.88671875" bestFit="1" customWidth="1"/>
    <col min="13" max="13" width="13.88671875" bestFit="1" customWidth="1"/>
    <col min="14" max="14" width="14.88671875" bestFit="1" customWidth="1"/>
    <col min="15" max="15" width="12.6640625" bestFit="1" customWidth="1"/>
  </cols>
  <sheetData>
    <row r="3" spans="1:14">
      <c r="A3" s="114" t="s">
        <v>1123</v>
      </c>
      <c r="B3" s="114" t="s">
        <v>1124</v>
      </c>
    </row>
    <row r="4" spans="1:14">
      <c r="A4" s="114" t="s">
        <v>1122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1109</v>
      </c>
    </row>
    <row r="5" spans="1:14">
      <c r="A5" s="113" t="s">
        <v>116</v>
      </c>
      <c r="B5" s="42">
        <v>18173760</v>
      </c>
      <c r="C5" s="42">
        <v>28940000</v>
      </c>
      <c r="D5" s="42">
        <v>19757600</v>
      </c>
      <c r="E5" s="42">
        <v>27704310</v>
      </c>
      <c r="F5" s="42">
        <v>19811980</v>
      </c>
      <c r="G5" s="42">
        <v>27818790</v>
      </c>
      <c r="H5" s="42">
        <v>28226724</v>
      </c>
      <c r="I5" s="42">
        <v>21491140</v>
      </c>
      <c r="J5" s="42">
        <v>24509420</v>
      </c>
      <c r="K5" s="42">
        <v>23399628</v>
      </c>
      <c r="L5" s="42">
        <v>19101230</v>
      </c>
      <c r="M5" s="42">
        <v>21130900</v>
      </c>
      <c r="N5" s="42">
        <v>280065482</v>
      </c>
    </row>
    <row r="6" spans="1:14">
      <c r="A6" s="115" t="s">
        <v>58</v>
      </c>
      <c r="B6" s="42">
        <v>18173760</v>
      </c>
      <c r="C6" s="42">
        <v>28940000</v>
      </c>
      <c r="D6" s="42">
        <v>19757600</v>
      </c>
      <c r="E6" s="42">
        <v>27704310</v>
      </c>
      <c r="F6" s="42">
        <v>19811980</v>
      </c>
      <c r="G6" s="42">
        <v>27818790</v>
      </c>
      <c r="H6" s="42">
        <v>28226724</v>
      </c>
      <c r="I6" s="42">
        <v>21491140</v>
      </c>
      <c r="J6" s="42">
        <v>24509420</v>
      </c>
      <c r="K6" s="42">
        <v>23399628</v>
      </c>
      <c r="L6" s="42">
        <v>19101230</v>
      </c>
      <c r="M6" s="42">
        <v>21130900</v>
      </c>
      <c r="N6" s="42">
        <v>280065482</v>
      </c>
    </row>
    <row r="7" spans="1:14">
      <c r="A7" s="116" t="s">
        <v>56</v>
      </c>
      <c r="B7" s="42">
        <v>18173760</v>
      </c>
      <c r="C7" s="42">
        <v>28940000</v>
      </c>
      <c r="D7" s="42">
        <v>19757600</v>
      </c>
      <c r="E7" s="42">
        <v>27704310</v>
      </c>
      <c r="F7" s="42">
        <v>19811980</v>
      </c>
      <c r="G7" s="42">
        <v>27818790</v>
      </c>
      <c r="H7" s="42">
        <v>28226724</v>
      </c>
      <c r="I7" s="42">
        <v>21491140</v>
      </c>
      <c r="J7" s="42">
        <v>24509420</v>
      </c>
      <c r="K7" s="42">
        <v>23399628</v>
      </c>
      <c r="L7" s="42">
        <v>19101230</v>
      </c>
      <c r="M7" s="42">
        <v>21130900</v>
      </c>
      <c r="N7" s="42">
        <v>280065482</v>
      </c>
    </row>
    <row r="8" spans="1:14">
      <c r="A8" s="113" t="s">
        <v>51</v>
      </c>
      <c r="B8" s="42">
        <v>114630098</v>
      </c>
      <c r="C8" s="42">
        <v>34431818</v>
      </c>
      <c r="D8" s="42">
        <v>319511358</v>
      </c>
      <c r="E8" s="42">
        <v>23234040</v>
      </c>
      <c r="F8" s="42">
        <v>18350468</v>
      </c>
      <c r="G8" s="42">
        <v>81768275</v>
      </c>
      <c r="H8" s="42">
        <v>90327910</v>
      </c>
      <c r="I8" s="42">
        <v>190852777</v>
      </c>
      <c r="J8" s="42">
        <v>142741732</v>
      </c>
      <c r="K8" s="42">
        <v>150584545</v>
      </c>
      <c r="L8" s="42">
        <v>127577979</v>
      </c>
      <c r="M8" s="42">
        <v>87557836</v>
      </c>
      <c r="N8" s="42">
        <v>1381568836</v>
      </c>
    </row>
    <row r="9" spans="1:14">
      <c r="A9" s="115" t="s">
        <v>58</v>
      </c>
      <c r="B9" s="42">
        <v>114630098</v>
      </c>
      <c r="C9" s="42">
        <v>34431818</v>
      </c>
      <c r="D9" s="42">
        <v>319511358</v>
      </c>
      <c r="E9" s="42">
        <v>23234040</v>
      </c>
      <c r="F9" s="42">
        <v>18350468</v>
      </c>
      <c r="G9" s="42">
        <v>81768275</v>
      </c>
      <c r="H9" s="42">
        <v>90327910</v>
      </c>
      <c r="I9" s="42">
        <v>190852777</v>
      </c>
      <c r="J9" s="42">
        <v>142741732</v>
      </c>
      <c r="K9" s="42">
        <v>150584545</v>
      </c>
      <c r="L9" s="42">
        <v>127577979</v>
      </c>
      <c r="M9" s="42">
        <v>87557836</v>
      </c>
      <c r="N9" s="42">
        <v>1381568836</v>
      </c>
    </row>
    <row r="10" spans="1:14">
      <c r="A10" s="116" t="s">
        <v>84</v>
      </c>
      <c r="B10" s="42">
        <v>0</v>
      </c>
      <c r="C10" s="42"/>
      <c r="D10" s="42"/>
      <c r="E10" s="42"/>
      <c r="F10" s="42"/>
      <c r="G10" s="42">
        <v>0</v>
      </c>
      <c r="H10" s="42"/>
      <c r="I10" s="42"/>
      <c r="J10" s="42">
        <v>1431300</v>
      </c>
      <c r="K10" s="42">
        <v>6462339</v>
      </c>
      <c r="L10" s="42"/>
      <c r="M10" s="42">
        <v>2068371</v>
      </c>
      <c r="N10" s="42">
        <v>9962010</v>
      </c>
    </row>
    <row r="11" spans="1:14">
      <c r="A11" s="116" t="s">
        <v>56</v>
      </c>
      <c r="B11" s="42">
        <v>114630098</v>
      </c>
      <c r="C11" s="42">
        <v>34431818</v>
      </c>
      <c r="D11" s="42">
        <v>319511358</v>
      </c>
      <c r="E11" s="42">
        <v>23234040</v>
      </c>
      <c r="F11" s="42">
        <v>18350468</v>
      </c>
      <c r="G11" s="42">
        <v>81768275</v>
      </c>
      <c r="H11" s="42">
        <v>90327910</v>
      </c>
      <c r="I11" s="42">
        <v>190852777</v>
      </c>
      <c r="J11" s="42">
        <v>141310432</v>
      </c>
      <c r="K11" s="42">
        <v>144122206</v>
      </c>
      <c r="L11" s="42">
        <v>127577979</v>
      </c>
      <c r="M11" s="42">
        <v>85489465</v>
      </c>
      <c r="N11" s="42">
        <v>1371606826</v>
      </c>
    </row>
    <row r="12" spans="1:14">
      <c r="A12" s="113" t="s">
        <v>1109</v>
      </c>
      <c r="B12" s="42">
        <v>132803858</v>
      </c>
      <c r="C12" s="42">
        <v>63371818</v>
      </c>
      <c r="D12" s="42">
        <v>339268958</v>
      </c>
      <c r="E12" s="42">
        <v>50938350</v>
      </c>
      <c r="F12" s="42">
        <v>38162448</v>
      </c>
      <c r="G12" s="42">
        <v>109587065</v>
      </c>
      <c r="H12" s="42">
        <v>118554634</v>
      </c>
      <c r="I12" s="42">
        <v>212343917</v>
      </c>
      <c r="J12" s="42">
        <v>167251152</v>
      </c>
      <c r="K12" s="42">
        <v>173984173</v>
      </c>
      <c r="L12" s="42">
        <v>146679209</v>
      </c>
      <c r="M12" s="42">
        <v>108688736</v>
      </c>
      <c r="N12" s="42">
        <v>1661634318</v>
      </c>
    </row>
    <row r="13" spans="1:14">
      <c r="A13" s="113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>
      <c r="A14" s="113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>
      <c r="A15" s="113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>
      <c r="A16" t="s">
        <v>1175</v>
      </c>
    </row>
    <row r="17" spans="1:15">
      <c r="A17" s="136" t="s">
        <v>1200</v>
      </c>
      <c r="B17" s="135">
        <v>1</v>
      </c>
      <c r="C17" s="135">
        <v>2</v>
      </c>
      <c r="D17" s="135">
        <v>3</v>
      </c>
      <c r="E17" s="135">
        <v>4</v>
      </c>
      <c r="F17" s="135">
        <v>5</v>
      </c>
      <c r="G17" s="135">
        <v>6</v>
      </c>
      <c r="H17" s="135">
        <v>7</v>
      </c>
      <c r="I17" s="135">
        <v>8</v>
      </c>
      <c r="J17" s="135">
        <v>9</v>
      </c>
      <c r="K17" s="135">
        <v>10</v>
      </c>
      <c r="L17" s="135">
        <v>11</v>
      </c>
      <c r="M17" s="135">
        <v>12</v>
      </c>
      <c r="N17" s="135" t="s">
        <v>1109</v>
      </c>
      <c r="O17" t="s">
        <v>753</v>
      </c>
    </row>
    <row r="18" spans="1:15">
      <c r="A18" t="s">
        <v>1176</v>
      </c>
      <c r="B18" s="137">
        <v>66093285</v>
      </c>
      <c r="C18" s="137">
        <v>5609560</v>
      </c>
      <c r="D18" s="137">
        <v>109491270</v>
      </c>
      <c r="E18" s="137">
        <v>21614428</v>
      </c>
      <c r="F18" s="137">
        <v>13597002</v>
      </c>
      <c r="G18" s="137">
        <v>56374413</v>
      </c>
      <c r="H18" s="137">
        <v>53511337</v>
      </c>
      <c r="I18" s="137">
        <v>127716660</v>
      </c>
      <c r="J18" s="137">
        <v>90829101</v>
      </c>
      <c r="K18" s="137">
        <v>72855249</v>
      </c>
      <c r="L18" s="137">
        <v>122005809</v>
      </c>
      <c r="M18" s="137">
        <v>68435709</v>
      </c>
      <c r="N18" s="137">
        <f>SUM(B18:M18)</f>
        <v>808133823</v>
      </c>
      <c r="O18" s="138">
        <v>0.1</v>
      </c>
    </row>
    <row r="19" spans="1:15">
      <c r="A19" t="s">
        <v>1177</v>
      </c>
      <c r="B19" s="137">
        <v>1244085</v>
      </c>
      <c r="C19" s="137">
        <v>8229763</v>
      </c>
      <c r="D19" s="137">
        <v>0</v>
      </c>
      <c r="E19" s="137">
        <v>380450</v>
      </c>
      <c r="F19" s="137">
        <v>-726320</v>
      </c>
      <c r="G19" s="137">
        <v>8067192</v>
      </c>
      <c r="H19" s="137">
        <v>13174462</v>
      </c>
      <c r="I19" s="137">
        <v>49625678</v>
      </c>
      <c r="J19" s="137">
        <v>7904761</v>
      </c>
      <c r="K19" s="137">
        <v>23590330</v>
      </c>
      <c r="L19" s="137">
        <v>1596947</v>
      </c>
      <c r="M19" s="137">
        <v>1719826</v>
      </c>
      <c r="N19" s="137">
        <f>SUM(B19:M19)</f>
        <v>114807174</v>
      </c>
      <c r="O19" s="138">
        <v>0.08</v>
      </c>
    </row>
    <row r="20" spans="1:15">
      <c r="A20" t="s">
        <v>1178</v>
      </c>
      <c r="B20" s="137">
        <v>2540586</v>
      </c>
      <c r="C20" s="137">
        <v>17039995</v>
      </c>
      <c r="D20" s="137">
        <v>20656115</v>
      </c>
      <c r="E20" s="137">
        <v>856192</v>
      </c>
      <c r="F20" s="137">
        <v>5008376</v>
      </c>
      <c r="G20" s="137">
        <v>16684925</v>
      </c>
      <c r="H20" s="137">
        <v>19607661</v>
      </c>
      <c r="I20" s="137">
        <v>10558877</v>
      </c>
      <c r="J20" s="137">
        <v>35007348</v>
      </c>
      <c r="K20" s="137">
        <v>48404362</v>
      </c>
      <c r="L20" s="137">
        <v>2566652</v>
      </c>
      <c r="M20" s="137">
        <v>15994985</v>
      </c>
      <c r="N20" s="137">
        <f>SUM(B20:M20)</f>
        <v>194926074</v>
      </c>
      <c r="O20" s="138">
        <v>0.05</v>
      </c>
    </row>
    <row r="21" spans="1:15">
      <c r="A21" t="s">
        <v>1179</v>
      </c>
      <c r="B21" s="137">
        <v>470000</v>
      </c>
      <c r="C21" s="137">
        <v>1382500</v>
      </c>
      <c r="D21" s="137">
        <v>2130380</v>
      </c>
      <c r="E21" s="137">
        <v>132970</v>
      </c>
      <c r="F21" s="137">
        <v>471410</v>
      </c>
      <c r="G21" s="137">
        <v>641745</v>
      </c>
      <c r="H21" s="137">
        <v>3199549</v>
      </c>
      <c r="I21" s="137">
        <v>2951562</v>
      </c>
      <c r="J21" s="137">
        <v>1271502</v>
      </c>
      <c r="K21" s="137">
        <v>3524523</v>
      </c>
      <c r="L21" s="137">
        <v>1408571</v>
      </c>
      <c r="M21" s="137">
        <v>1307839</v>
      </c>
      <c r="N21" s="137">
        <f>SUM(B21:M21)</f>
        <v>18892551</v>
      </c>
      <c r="O21" s="138">
        <v>0</v>
      </c>
    </row>
    <row r="22" spans="1:15">
      <c r="A22" t="s">
        <v>1180</v>
      </c>
      <c r="B22" s="137">
        <v>0</v>
      </c>
      <c r="C22" s="137">
        <v>0</v>
      </c>
      <c r="D22" s="137">
        <v>0</v>
      </c>
      <c r="E22" s="137">
        <v>0</v>
      </c>
      <c r="F22" s="137">
        <v>0</v>
      </c>
      <c r="G22" s="137">
        <v>0</v>
      </c>
      <c r="H22" s="137">
        <v>834901</v>
      </c>
      <c r="I22" s="137">
        <v>0</v>
      </c>
      <c r="J22" s="137">
        <v>7729020</v>
      </c>
      <c r="K22" s="137">
        <v>2210081</v>
      </c>
      <c r="L22" s="137">
        <v>0</v>
      </c>
      <c r="M22" s="137">
        <v>99477</v>
      </c>
      <c r="N22" s="137">
        <f>SUM(B22:M22)</f>
        <v>10873479</v>
      </c>
      <c r="O22" s="138">
        <v>0</v>
      </c>
    </row>
    <row r="23" spans="1:15">
      <c r="A23" t="s">
        <v>1181</v>
      </c>
      <c r="B23" s="137">
        <f>SUMPRODUCT(B18:B22,$O$18:$O$22)</f>
        <v>6835884.6</v>
      </c>
      <c r="C23" s="137">
        <f t="shared" ref="B23:N23" si="0">SUMPRODUCT(C18:C22,$O$18:$O$22)</f>
        <v>2071336.79</v>
      </c>
      <c r="D23" s="137">
        <f t="shared" si="0"/>
        <v>11981932.75</v>
      </c>
      <c r="E23" s="137">
        <f t="shared" si="0"/>
        <v>2234688.4000000004</v>
      </c>
      <c r="F23" s="137">
        <f t="shared" si="0"/>
        <v>1552013.4000000001</v>
      </c>
      <c r="G23" s="137">
        <f t="shared" si="0"/>
        <v>7117062.9100000011</v>
      </c>
      <c r="H23" s="137">
        <f t="shared" si="0"/>
        <v>7385473.71</v>
      </c>
      <c r="I23" s="137">
        <f t="shared" si="0"/>
        <v>17269664.09</v>
      </c>
      <c r="J23" s="137">
        <f t="shared" si="0"/>
        <v>11465658.380000001</v>
      </c>
      <c r="K23" s="137">
        <f t="shared" si="0"/>
        <v>11592969.4</v>
      </c>
      <c r="L23" s="137">
        <f t="shared" si="0"/>
        <v>12456669.26</v>
      </c>
      <c r="M23" s="137">
        <f t="shared" si="0"/>
        <v>7780906.2300000004</v>
      </c>
      <c r="N23" s="137">
        <f t="shared" si="0"/>
        <v>99744259.920000017</v>
      </c>
    </row>
    <row r="25" spans="1:15">
      <c r="A25" t="s">
        <v>1182</v>
      </c>
    </row>
    <row r="26" spans="1:15">
      <c r="A26" t="s">
        <v>1183</v>
      </c>
    </row>
    <row r="27" spans="1:15">
      <c r="A27" t="s">
        <v>1184</v>
      </c>
    </row>
    <row r="28" spans="1:15">
      <c r="A28" t="s">
        <v>1185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3CC97-6500-452C-B49F-22516B488F26}">
  <dimension ref="A1:U214"/>
  <sheetViews>
    <sheetView topLeftCell="E1" workbookViewId="0">
      <selection activeCell="P23" sqref="P23"/>
    </sheetView>
  </sheetViews>
  <sheetFormatPr baseColWidth="10" defaultRowHeight="14.4"/>
  <sheetData>
    <row r="1" spans="1:21">
      <c r="A1" t="s">
        <v>1125</v>
      </c>
      <c r="B1" t="s">
        <v>1126</v>
      </c>
      <c r="C1" t="s">
        <v>1127</v>
      </c>
      <c r="D1" t="s">
        <v>1128</v>
      </c>
      <c r="E1" t="s">
        <v>1129</v>
      </c>
      <c r="F1" t="s">
        <v>1130</v>
      </c>
      <c r="G1" t="s">
        <v>1131</v>
      </c>
      <c r="H1" t="s">
        <v>1132</v>
      </c>
      <c r="I1" t="s">
        <v>886</v>
      </c>
      <c r="J1" t="s">
        <v>1133</v>
      </c>
      <c r="K1" t="s">
        <v>1134</v>
      </c>
      <c r="L1" t="s">
        <v>1135</v>
      </c>
      <c r="M1" t="s">
        <v>1136</v>
      </c>
      <c r="N1" t="s">
        <v>1137</v>
      </c>
      <c r="O1" t="s">
        <v>898</v>
      </c>
      <c r="P1" t="s">
        <v>1138</v>
      </c>
      <c r="Q1" t="s">
        <v>818</v>
      </c>
      <c r="R1" t="s">
        <v>1139</v>
      </c>
      <c r="S1" t="s">
        <v>1140</v>
      </c>
      <c r="T1" t="s">
        <v>750</v>
      </c>
      <c r="U1" t="s">
        <v>2</v>
      </c>
    </row>
    <row r="2" spans="1:21">
      <c r="A2">
        <v>5972357081</v>
      </c>
      <c r="B2" s="17">
        <v>45685</v>
      </c>
      <c r="C2">
        <v>86000050</v>
      </c>
      <c r="D2" t="s">
        <v>1141</v>
      </c>
      <c r="E2" t="s">
        <v>53</v>
      </c>
      <c r="F2" t="s">
        <v>902</v>
      </c>
      <c r="G2">
        <v>4112340</v>
      </c>
      <c r="H2" t="s">
        <v>1142</v>
      </c>
      <c r="I2" t="s">
        <v>1143</v>
      </c>
      <c r="J2">
        <v>4000006878</v>
      </c>
      <c r="K2" t="s">
        <v>47</v>
      </c>
      <c r="L2" t="s">
        <v>1144</v>
      </c>
      <c r="M2" s="42">
        <v>-990322</v>
      </c>
      <c r="N2">
        <v>6312</v>
      </c>
      <c r="O2">
        <v>1</v>
      </c>
      <c r="P2" t="s">
        <v>1145</v>
      </c>
      <c r="Q2">
        <v>2025</v>
      </c>
      <c r="R2">
        <v>1</v>
      </c>
      <c r="S2" t="s">
        <v>1146</v>
      </c>
      <c r="T2">
        <f>IFERROR(MONTH(B2),"")</f>
        <v>1</v>
      </c>
      <c r="U2" t="str">
        <f>RIGHT(F2,2)</f>
        <v>43</v>
      </c>
    </row>
    <row r="3" spans="1:21">
      <c r="A3">
        <v>5972357081</v>
      </c>
      <c r="B3" s="17">
        <v>45685</v>
      </c>
      <c r="C3">
        <v>86000050</v>
      </c>
      <c r="D3" t="s">
        <v>1141</v>
      </c>
      <c r="E3" t="s">
        <v>53</v>
      </c>
      <c r="F3" t="s">
        <v>908</v>
      </c>
      <c r="G3">
        <v>4112340</v>
      </c>
      <c r="H3" t="s">
        <v>1142</v>
      </c>
      <c r="I3" t="s">
        <v>1143</v>
      </c>
      <c r="J3">
        <v>4000006878</v>
      </c>
      <c r="K3" t="s">
        <v>47</v>
      </c>
      <c r="L3" t="s">
        <v>1144</v>
      </c>
      <c r="M3" s="42">
        <v>-611198</v>
      </c>
      <c r="N3">
        <v>6312</v>
      </c>
      <c r="O3">
        <v>1</v>
      </c>
      <c r="P3" t="s">
        <v>1145</v>
      </c>
      <c r="Q3">
        <v>2025</v>
      </c>
      <c r="R3">
        <v>2</v>
      </c>
      <c r="S3" t="s">
        <v>1146</v>
      </c>
      <c r="T3">
        <f t="shared" ref="T3:T66" si="0">IFERROR(MONTH(B3),"")</f>
        <v>1</v>
      </c>
      <c r="U3" t="str">
        <f t="shared" ref="U3:U66" si="1">RIGHT(F3,2)</f>
        <v>43</v>
      </c>
    </row>
    <row r="4" spans="1:21">
      <c r="A4">
        <v>5972357081</v>
      </c>
      <c r="B4" s="17">
        <v>45685</v>
      </c>
      <c r="C4">
        <v>86000050</v>
      </c>
      <c r="D4" t="s">
        <v>1141</v>
      </c>
      <c r="E4" t="s">
        <v>53</v>
      </c>
      <c r="F4" t="s">
        <v>909</v>
      </c>
      <c r="G4">
        <v>4112340</v>
      </c>
      <c r="H4" t="s">
        <v>1142</v>
      </c>
      <c r="I4" t="s">
        <v>1143</v>
      </c>
      <c r="J4">
        <v>4000006878</v>
      </c>
      <c r="K4" t="s">
        <v>47</v>
      </c>
      <c r="L4" t="s">
        <v>1144</v>
      </c>
      <c r="M4" s="42">
        <v>-424227</v>
      </c>
      <c r="N4">
        <v>6312</v>
      </c>
      <c r="O4">
        <v>1</v>
      </c>
      <c r="P4" t="s">
        <v>1145</v>
      </c>
      <c r="Q4">
        <v>2025</v>
      </c>
      <c r="R4">
        <v>3</v>
      </c>
      <c r="S4" t="s">
        <v>1146</v>
      </c>
      <c r="T4">
        <f t="shared" si="0"/>
        <v>1</v>
      </c>
      <c r="U4" t="str">
        <f t="shared" si="1"/>
        <v>43</v>
      </c>
    </row>
    <row r="5" spans="1:21">
      <c r="A5">
        <v>5972357081</v>
      </c>
      <c r="B5" s="17">
        <v>45685</v>
      </c>
      <c r="C5">
        <v>86000050</v>
      </c>
      <c r="D5" t="s">
        <v>1141</v>
      </c>
      <c r="E5" t="s">
        <v>53</v>
      </c>
      <c r="F5" t="s">
        <v>910</v>
      </c>
      <c r="G5">
        <v>4112340</v>
      </c>
      <c r="H5" t="s">
        <v>1142</v>
      </c>
      <c r="I5" t="s">
        <v>1143</v>
      </c>
      <c r="J5">
        <v>4000006878</v>
      </c>
      <c r="K5" t="s">
        <v>47</v>
      </c>
      <c r="L5" t="s">
        <v>1144</v>
      </c>
      <c r="M5" s="42">
        <v>-778208</v>
      </c>
      <c r="N5">
        <v>6312</v>
      </c>
      <c r="O5">
        <v>1</v>
      </c>
      <c r="P5" t="s">
        <v>1145</v>
      </c>
      <c r="Q5">
        <v>2025</v>
      </c>
      <c r="R5">
        <v>4</v>
      </c>
      <c r="S5" t="s">
        <v>1146</v>
      </c>
      <c r="T5">
        <f t="shared" si="0"/>
        <v>1</v>
      </c>
      <c r="U5" t="str">
        <f t="shared" si="1"/>
        <v>43</v>
      </c>
    </row>
    <row r="6" spans="1:21">
      <c r="A6">
        <v>5972357081</v>
      </c>
      <c r="B6" s="17">
        <v>45685</v>
      </c>
      <c r="C6">
        <v>86000050</v>
      </c>
      <c r="D6" t="s">
        <v>1141</v>
      </c>
      <c r="E6" t="s">
        <v>53</v>
      </c>
      <c r="F6" t="s">
        <v>902</v>
      </c>
      <c r="G6">
        <v>4110110</v>
      </c>
      <c r="H6" t="s">
        <v>1018</v>
      </c>
      <c r="I6" t="s">
        <v>1143</v>
      </c>
      <c r="J6">
        <v>4000006878</v>
      </c>
      <c r="K6" t="s">
        <v>47</v>
      </c>
      <c r="L6" t="s">
        <v>1147</v>
      </c>
      <c r="M6" s="42">
        <v>-183309</v>
      </c>
      <c r="N6">
        <v>6312</v>
      </c>
      <c r="O6">
        <v>1</v>
      </c>
      <c r="P6" t="s">
        <v>1145</v>
      </c>
      <c r="Q6">
        <v>2025</v>
      </c>
      <c r="R6">
        <v>5</v>
      </c>
      <c r="S6" t="s">
        <v>1146</v>
      </c>
      <c r="T6">
        <f t="shared" si="0"/>
        <v>1</v>
      </c>
      <c r="U6" t="str">
        <f t="shared" si="1"/>
        <v>43</v>
      </c>
    </row>
    <row r="7" spans="1:21">
      <c r="A7">
        <v>5972357081</v>
      </c>
      <c r="B7" s="17">
        <v>45685</v>
      </c>
      <c r="C7">
        <v>86000050</v>
      </c>
      <c r="D7" t="s">
        <v>1141</v>
      </c>
      <c r="E7" t="s">
        <v>53</v>
      </c>
      <c r="F7" t="s">
        <v>914</v>
      </c>
      <c r="G7">
        <v>4110110</v>
      </c>
      <c r="H7" t="s">
        <v>1018</v>
      </c>
      <c r="I7" t="s">
        <v>1143</v>
      </c>
      <c r="J7">
        <v>4000006878</v>
      </c>
      <c r="K7" t="s">
        <v>47</v>
      </c>
      <c r="L7" t="s">
        <v>1147</v>
      </c>
      <c r="M7" s="42">
        <v>-492317</v>
      </c>
      <c r="N7">
        <v>6312</v>
      </c>
      <c r="O7">
        <v>1</v>
      </c>
      <c r="P7" t="s">
        <v>1145</v>
      </c>
      <c r="Q7">
        <v>2025</v>
      </c>
      <c r="R7">
        <v>6</v>
      </c>
      <c r="S7" t="s">
        <v>1146</v>
      </c>
      <c r="T7">
        <f t="shared" si="0"/>
        <v>1</v>
      </c>
      <c r="U7" t="str">
        <f t="shared" si="1"/>
        <v>43</v>
      </c>
    </row>
    <row r="8" spans="1:21">
      <c r="A8">
        <v>5972357081</v>
      </c>
      <c r="B8" s="17">
        <v>45685</v>
      </c>
      <c r="C8">
        <v>86000050</v>
      </c>
      <c r="D8" t="s">
        <v>1141</v>
      </c>
      <c r="E8" t="s">
        <v>53</v>
      </c>
      <c r="F8" t="s">
        <v>902</v>
      </c>
      <c r="G8">
        <v>4110110</v>
      </c>
      <c r="H8" t="s">
        <v>1018</v>
      </c>
      <c r="I8" t="s">
        <v>1143</v>
      </c>
      <c r="J8">
        <v>4000006878</v>
      </c>
      <c r="K8" t="s">
        <v>47</v>
      </c>
      <c r="L8" t="s">
        <v>1147</v>
      </c>
      <c r="M8" s="42">
        <v>-647043</v>
      </c>
      <c r="N8">
        <v>6312</v>
      </c>
      <c r="O8">
        <v>1</v>
      </c>
      <c r="P8" t="s">
        <v>1145</v>
      </c>
      <c r="Q8">
        <v>2025</v>
      </c>
      <c r="R8">
        <v>7</v>
      </c>
      <c r="S8" t="s">
        <v>1146</v>
      </c>
      <c r="T8">
        <f t="shared" si="0"/>
        <v>1</v>
      </c>
      <c r="U8" t="str">
        <f t="shared" si="1"/>
        <v>43</v>
      </c>
    </row>
    <row r="9" spans="1:21">
      <c r="A9">
        <v>5972357081</v>
      </c>
      <c r="B9" s="17">
        <v>45685</v>
      </c>
      <c r="C9">
        <v>86000050</v>
      </c>
      <c r="D9" t="s">
        <v>1141</v>
      </c>
      <c r="E9" t="s">
        <v>53</v>
      </c>
      <c r="F9" t="s">
        <v>914</v>
      </c>
      <c r="G9">
        <v>4110110</v>
      </c>
      <c r="H9" t="s">
        <v>1018</v>
      </c>
      <c r="I9" t="s">
        <v>1143</v>
      </c>
      <c r="J9">
        <v>4000006878</v>
      </c>
      <c r="K9" t="s">
        <v>47</v>
      </c>
      <c r="L9" t="s">
        <v>1147</v>
      </c>
      <c r="M9" s="42">
        <v>-3754392</v>
      </c>
      <c r="N9">
        <v>6312</v>
      </c>
      <c r="O9">
        <v>1</v>
      </c>
      <c r="P9" t="s">
        <v>1145</v>
      </c>
      <c r="Q9">
        <v>2025</v>
      </c>
      <c r="R9">
        <v>8</v>
      </c>
      <c r="S9" t="s">
        <v>1146</v>
      </c>
      <c r="T9">
        <f t="shared" si="0"/>
        <v>1</v>
      </c>
      <c r="U9" t="str">
        <f t="shared" si="1"/>
        <v>43</v>
      </c>
    </row>
    <row r="10" spans="1:21">
      <c r="A10">
        <v>5972357081</v>
      </c>
      <c r="B10" s="17">
        <v>45685</v>
      </c>
      <c r="C10">
        <v>86000050</v>
      </c>
      <c r="D10" t="s">
        <v>1141</v>
      </c>
      <c r="E10" t="s">
        <v>53</v>
      </c>
      <c r="F10" t="s">
        <v>915</v>
      </c>
      <c r="G10">
        <v>4110110</v>
      </c>
      <c r="H10" t="s">
        <v>1018</v>
      </c>
      <c r="I10" t="s">
        <v>1143</v>
      </c>
      <c r="J10">
        <v>4000006878</v>
      </c>
      <c r="K10" t="s">
        <v>47</v>
      </c>
      <c r="L10" t="s">
        <v>1147</v>
      </c>
      <c r="M10" s="42">
        <v>-1009166</v>
      </c>
      <c r="N10">
        <v>6312</v>
      </c>
      <c r="O10">
        <v>1</v>
      </c>
      <c r="P10" t="s">
        <v>1145</v>
      </c>
      <c r="Q10">
        <v>2025</v>
      </c>
      <c r="R10">
        <v>9</v>
      </c>
      <c r="S10" t="s">
        <v>1146</v>
      </c>
      <c r="T10">
        <f t="shared" si="0"/>
        <v>1</v>
      </c>
      <c r="U10" t="str">
        <f t="shared" si="1"/>
        <v>43</v>
      </c>
    </row>
    <row r="11" spans="1:21">
      <c r="A11">
        <v>5972357081</v>
      </c>
      <c r="B11" s="17">
        <v>45685</v>
      </c>
      <c r="C11">
        <v>86000050</v>
      </c>
      <c r="D11" t="s">
        <v>1141</v>
      </c>
      <c r="E11" t="s">
        <v>53</v>
      </c>
      <c r="F11" t="s">
        <v>916</v>
      </c>
      <c r="G11">
        <v>4110110</v>
      </c>
      <c r="H11" t="s">
        <v>1018</v>
      </c>
      <c r="I11" t="s">
        <v>1143</v>
      </c>
      <c r="J11">
        <v>4000006878</v>
      </c>
      <c r="K11" t="s">
        <v>47</v>
      </c>
      <c r="L11" t="s">
        <v>1147</v>
      </c>
      <c r="M11" s="42">
        <v>-3728449</v>
      </c>
      <c r="N11">
        <v>6312</v>
      </c>
      <c r="O11">
        <v>1</v>
      </c>
      <c r="P11" t="s">
        <v>1145</v>
      </c>
      <c r="Q11">
        <v>2025</v>
      </c>
      <c r="R11">
        <v>10</v>
      </c>
      <c r="S11" t="s">
        <v>1146</v>
      </c>
      <c r="T11">
        <f t="shared" si="0"/>
        <v>1</v>
      </c>
      <c r="U11" t="str">
        <f t="shared" si="1"/>
        <v>43</v>
      </c>
    </row>
    <row r="12" spans="1:21">
      <c r="A12">
        <v>5972357081</v>
      </c>
      <c r="B12" s="17">
        <v>45685</v>
      </c>
      <c r="C12">
        <v>86000050</v>
      </c>
      <c r="D12" t="s">
        <v>1141</v>
      </c>
      <c r="E12" t="s">
        <v>53</v>
      </c>
      <c r="F12" t="s">
        <v>917</v>
      </c>
      <c r="G12">
        <v>4110110</v>
      </c>
      <c r="H12" t="s">
        <v>1018</v>
      </c>
      <c r="I12" t="s">
        <v>1143</v>
      </c>
      <c r="J12">
        <v>4000006878</v>
      </c>
      <c r="K12" t="s">
        <v>47</v>
      </c>
      <c r="L12" t="s">
        <v>1147</v>
      </c>
      <c r="M12" s="42">
        <v>-93107</v>
      </c>
      <c r="N12">
        <v>6312</v>
      </c>
      <c r="O12">
        <v>1</v>
      </c>
      <c r="P12" t="s">
        <v>1145</v>
      </c>
      <c r="Q12">
        <v>2025</v>
      </c>
      <c r="R12">
        <v>11</v>
      </c>
      <c r="S12" t="s">
        <v>1146</v>
      </c>
      <c r="T12">
        <f t="shared" si="0"/>
        <v>1</v>
      </c>
      <c r="U12" t="str">
        <f t="shared" si="1"/>
        <v>43</v>
      </c>
    </row>
    <row r="13" spans="1:21">
      <c r="A13">
        <v>5972357081</v>
      </c>
      <c r="B13" s="17">
        <v>45685</v>
      </c>
      <c r="C13">
        <v>86000050</v>
      </c>
      <c r="D13" t="s">
        <v>1141</v>
      </c>
      <c r="E13" t="s">
        <v>53</v>
      </c>
      <c r="F13" t="s">
        <v>918</v>
      </c>
      <c r="G13">
        <v>4110110</v>
      </c>
      <c r="H13" t="s">
        <v>1018</v>
      </c>
      <c r="I13" t="s">
        <v>1143</v>
      </c>
      <c r="J13">
        <v>4000006878</v>
      </c>
      <c r="K13" t="s">
        <v>47</v>
      </c>
      <c r="L13" t="s">
        <v>1147</v>
      </c>
      <c r="M13" s="42">
        <v>-333173</v>
      </c>
      <c r="N13">
        <v>6312</v>
      </c>
      <c r="O13">
        <v>1</v>
      </c>
      <c r="P13" t="s">
        <v>1145</v>
      </c>
      <c r="Q13">
        <v>2025</v>
      </c>
      <c r="R13">
        <v>12</v>
      </c>
      <c r="S13" t="s">
        <v>1146</v>
      </c>
      <c r="T13">
        <f t="shared" si="0"/>
        <v>1</v>
      </c>
      <c r="U13" t="str">
        <f t="shared" si="1"/>
        <v>43</v>
      </c>
    </row>
    <row r="14" spans="1:21">
      <c r="A14">
        <v>5988401896</v>
      </c>
      <c r="B14" s="17">
        <v>45709</v>
      </c>
      <c r="C14">
        <v>86000118</v>
      </c>
      <c r="D14" t="s">
        <v>1141</v>
      </c>
      <c r="E14" t="s">
        <v>53</v>
      </c>
      <c r="F14" t="s">
        <v>902</v>
      </c>
      <c r="G14">
        <v>4112340</v>
      </c>
      <c r="H14" t="s">
        <v>1142</v>
      </c>
      <c r="I14" t="s">
        <v>1143</v>
      </c>
      <c r="J14">
        <v>4000006878</v>
      </c>
      <c r="K14" t="s">
        <v>47</v>
      </c>
      <c r="L14" t="s">
        <v>1148</v>
      </c>
      <c r="M14" s="42">
        <v>-931874</v>
      </c>
      <c r="N14">
        <v>6377</v>
      </c>
      <c r="O14">
        <v>2</v>
      </c>
      <c r="P14" t="s">
        <v>1145</v>
      </c>
      <c r="Q14">
        <v>2025</v>
      </c>
      <c r="R14">
        <v>1</v>
      </c>
      <c r="S14" t="s">
        <v>1146</v>
      </c>
      <c r="T14">
        <f t="shared" si="0"/>
        <v>2</v>
      </c>
      <c r="U14" t="str">
        <f t="shared" si="1"/>
        <v>43</v>
      </c>
    </row>
    <row r="15" spans="1:21">
      <c r="A15">
        <v>5988401896</v>
      </c>
      <c r="B15" s="17">
        <v>45709</v>
      </c>
      <c r="C15">
        <v>86000118</v>
      </c>
      <c r="D15" t="s">
        <v>1141</v>
      </c>
      <c r="E15" t="s">
        <v>53</v>
      </c>
      <c r="F15" t="s">
        <v>908</v>
      </c>
      <c r="G15">
        <v>4112340</v>
      </c>
      <c r="H15" t="s">
        <v>1142</v>
      </c>
      <c r="I15" t="s">
        <v>1143</v>
      </c>
      <c r="J15">
        <v>4000006878</v>
      </c>
      <c r="K15" t="s">
        <v>47</v>
      </c>
      <c r="L15" t="s">
        <v>1148</v>
      </c>
      <c r="M15" s="42">
        <v>-575125</v>
      </c>
      <c r="N15">
        <v>6377</v>
      </c>
      <c r="O15">
        <v>2</v>
      </c>
      <c r="P15" t="s">
        <v>1145</v>
      </c>
      <c r="Q15">
        <v>2025</v>
      </c>
      <c r="R15">
        <v>2</v>
      </c>
      <c r="S15" t="s">
        <v>1146</v>
      </c>
      <c r="T15">
        <f t="shared" si="0"/>
        <v>2</v>
      </c>
      <c r="U15" t="str">
        <f t="shared" si="1"/>
        <v>43</v>
      </c>
    </row>
    <row r="16" spans="1:21">
      <c r="A16">
        <v>5988401896</v>
      </c>
      <c r="B16" s="17">
        <v>45709</v>
      </c>
      <c r="C16">
        <v>86000118</v>
      </c>
      <c r="D16" t="s">
        <v>1141</v>
      </c>
      <c r="E16" t="s">
        <v>53</v>
      </c>
      <c r="F16" t="s">
        <v>909</v>
      </c>
      <c r="G16">
        <v>4112340</v>
      </c>
      <c r="H16" t="s">
        <v>1142</v>
      </c>
      <c r="I16" t="s">
        <v>1143</v>
      </c>
      <c r="J16">
        <v>4000006878</v>
      </c>
      <c r="K16" t="s">
        <v>47</v>
      </c>
      <c r="L16" t="s">
        <v>1148</v>
      </c>
      <c r="M16" s="42">
        <v>-399189</v>
      </c>
      <c r="N16">
        <v>6377</v>
      </c>
      <c r="O16">
        <v>2</v>
      </c>
      <c r="P16" t="s">
        <v>1145</v>
      </c>
      <c r="Q16">
        <v>2025</v>
      </c>
      <c r="R16">
        <v>3</v>
      </c>
      <c r="S16" t="s">
        <v>1146</v>
      </c>
      <c r="T16">
        <f t="shared" si="0"/>
        <v>2</v>
      </c>
      <c r="U16" t="str">
        <f t="shared" si="1"/>
        <v>43</v>
      </c>
    </row>
    <row r="17" spans="1:21">
      <c r="A17">
        <v>5988401896</v>
      </c>
      <c r="B17" s="17">
        <v>45709</v>
      </c>
      <c r="C17">
        <v>86000118</v>
      </c>
      <c r="D17" t="s">
        <v>1141</v>
      </c>
      <c r="E17" t="s">
        <v>53</v>
      </c>
      <c r="F17" t="s">
        <v>910</v>
      </c>
      <c r="G17">
        <v>4112340</v>
      </c>
      <c r="H17" t="s">
        <v>1142</v>
      </c>
      <c r="I17" t="s">
        <v>1143</v>
      </c>
      <c r="J17">
        <v>4000006878</v>
      </c>
      <c r="K17" t="s">
        <v>47</v>
      </c>
      <c r="L17" t="s">
        <v>1148</v>
      </c>
      <c r="M17" s="42">
        <v>-732278</v>
      </c>
      <c r="N17">
        <v>6377</v>
      </c>
      <c r="O17">
        <v>2</v>
      </c>
      <c r="P17" t="s">
        <v>1145</v>
      </c>
      <c r="Q17">
        <v>2025</v>
      </c>
      <c r="R17">
        <v>4</v>
      </c>
      <c r="S17" t="s">
        <v>1146</v>
      </c>
      <c r="T17">
        <f t="shared" si="0"/>
        <v>2</v>
      </c>
      <c r="U17" t="str">
        <f t="shared" si="1"/>
        <v>43</v>
      </c>
    </row>
    <row r="18" spans="1:21">
      <c r="A18">
        <v>5988401896</v>
      </c>
      <c r="B18" s="17">
        <v>45709</v>
      </c>
      <c r="C18">
        <v>86000118</v>
      </c>
      <c r="D18" t="s">
        <v>1141</v>
      </c>
      <c r="E18" t="s">
        <v>53</v>
      </c>
      <c r="F18" t="s">
        <v>902</v>
      </c>
      <c r="G18">
        <v>4110110</v>
      </c>
      <c r="H18" t="s">
        <v>1018</v>
      </c>
      <c r="I18" t="s">
        <v>1143</v>
      </c>
      <c r="J18">
        <v>4000006878</v>
      </c>
      <c r="K18" t="s">
        <v>47</v>
      </c>
      <c r="L18" t="s">
        <v>1149</v>
      </c>
      <c r="M18" s="42">
        <v>-172490</v>
      </c>
      <c r="N18">
        <v>6377</v>
      </c>
      <c r="O18">
        <v>2</v>
      </c>
      <c r="P18" t="s">
        <v>1145</v>
      </c>
      <c r="Q18">
        <v>2025</v>
      </c>
      <c r="R18">
        <v>5</v>
      </c>
      <c r="S18" t="s">
        <v>1146</v>
      </c>
      <c r="T18">
        <f t="shared" si="0"/>
        <v>2</v>
      </c>
      <c r="U18" t="str">
        <f t="shared" si="1"/>
        <v>43</v>
      </c>
    </row>
    <row r="19" spans="1:21">
      <c r="A19">
        <v>5988401896</v>
      </c>
      <c r="B19" s="17">
        <v>45709</v>
      </c>
      <c r="C19">
        <v>86000118</v>
      </c>
      <c r="D19" t="s">
        <v>1141</v>
      </c>
      <c r="E19" t="s">
        <v>53</v>
      </c>
      <c r="F19" t="s">
        <v>914</v>
      </c>
      <c r="G19">
        <v>4110110</v>
      </c>
      <c r="H19" t="s">
        <v>1018</v>
      </c>
      <c r="I19" t="s">
        <v>1143</v>
      </c>
      <c r="J19">
        <v>4000006878</v>
      </c>
      <c r="K19" t="s">
        <v>47</v>
      </c>
      <c r="L19" t="s">
        <v>1149</v>
      </c>
      <c r="M19" s="42">
        <v>-463260</v>
      </c>
      <c r="N19">
        <v>6377</v>
      </c>
      <c r="O19">
        <v>2</v>
      </c>
      <c r="P19" t="s">
        <v>1145</v>
      </c>
      <c r="Q19">
        <v>2025</v>
      </c>
      <c r="R19">
        <v>6</v>
      </c>
      <c r="S19" t="s">
        <v>1146</v>
      </c>
      <c r="T19">
        <f t="shared" si="0"/>
        <v>2</v>
      </c>
      <c r="U19" t="str">
        <f t="shared" si="1"/>
        <v>43</v>
      </c>
    </row>
    <row r="20" spans="1:21">
      <c r="A20">
        <v>5988401896</v>
      </c>
      <c r="B20" s="17">
        <v>45709</v>
      </c>
      <c r="C20">
        <v>86000118</v>
      </c>
      <c r="D20" t="s">
        <v>1141</v>
      </c>
      <c r="E20" t="s">
        <v>53</v>
      </c>
      <c r="F20" t="s">
        <v>902</v>
      </c>
      <c r="G20">
        <v>4110110</v>
      </c>
      <c r="H20" t="s">
        <v>1018</v>
      </c>
      <c r="I20" t="s">
        <v>1143</v>
      </c>
      <c r="J20">
        <v>4000006878</v>
      </c>
      <c r="K20" t="s">
        <v>47</v>
      </c>
      <c r="L20" t="s">
        <v>1149</v>
      </c>
      <c r="M20" s="42">
        <v>-608854</v>
      </c>
      <c r="N20">
        <v>6377</v>
      </c>
      <c r="O20">
        <v>2</v>
      </c>
      <c r="P20" t="s">
        <v>1145</v>
      </c>
      <c r="Q20">
        <v>2025</v>
      </c>
      <c r="R20">
        <v>7</v>
      </c>
      <c r="S20" t="s">
        <v>1146</v>
      </c>
      <c r="T20">
        <f t="shared" si="0"/>
        <v>2</v>
      </c>
      <c r="U20" t="str">
        <f t="shared" si="1"/>
        <v>43</v>
      </c>
    </row>
    <row r="21" spans="1:21">
      <c r="A21">
        <v>5988401896</v>
      </c>
      <c r="B21" s="17">
        <v>45709</v>
      </c>
      <c r="C21">
        <v>86000118</v>
      </c>
      <c r="D21" t="s">
        <v>1141</v>
      </c>
      <c r="E21" t="s">
        <v>53</v>
      </c>
      <c r="F21" t="s">
        <v>914</v>
      </c>
      <c r="G21">
        <v>4110110</v>
      </c>
      <c r="H21" t="s">
        <v>1018</v>
      </c>
      <c r="I21" t="s">
        <v>1143</v>
      </c>
      <c r="J21">
        <v>4000006878</v>
      </c>
      <c r="K21" t="s">
        <v>47</v>
      </c>
      <c r="L21" t="s">
        <v>1149</v>
      </c>
      <c r="M21" s="42">
        <v>-3532806</v>
      </c>
      <c r="N21">
        <v>6377</v>
      </c>
      <c r="O21">
        <v>2</v>
      </c>
      <c r="P21" t="s">
        <v>1145</v>
      </c>
      <c r="Q21">
        <v>2025</v>
      </c>
      <c r="R21">
        <v>8</v>
      </c>
      <c r="S21" t="s">
        <v>1146</v>
      </c>
      <c r="T21">
        <f t="shared" si="0"/>
        <v>2</v>
      </c>
      <c r="U21" t="str">
        <f t="shared" si="1"/>
        <v>43</v>
      </c>
    </row>
    <row r="22" spans="1:21">
      <c r="A22">
        <v>5988401896</v>
      </c>
      <c r="B22" s="17">
        <v>45709</v>
      </c>
      <c r="C22">
        <v>86000118</v>
      </c>
      <c r="D22" t="s">
        <v>1141</v>
      </c>
      <c r="E22" t="s">
        <v>53</v>
      </c>
      <c r="F22" t="s">
        <v>915</v>
      </c>
      <c r="G22">
        <v>4110110</v>
      </c>
      <c r="H22" t="s">
        <v>1018</v>
      </c>
      <c r="I22" t="s">
        <v>1143</v>
      </c>
      <c r="J22">
        <v>4000006878</v>
      </c>
      <c r="K22" t="s">
        <v>47</v>
      </c>
      <c r="L22" t="s">
        <v>1149</v>
      </c>
      <c r="M22" s="42">
        <v>-949604</v>
      </c>
      <c r="N22">
        <v>6377</v>
      </c>
      <c r="O22">
        <v>2</v>
      </c>
      <c r="P22" t="s">
        <v>1145</v>
      </c>
      <c r="Q22">
        <v>2025</v>
      </c>
      <c r="R22">
        <v>9</v>
      </c>
      <c r="S22" t="s">
        <v>1146</v>
      </c>
      <c r="T22">
        <f t="shared" si="0"/>
        <v>2</v>
      </c>
      <c r="U22" t="str">
        <f t="shared" si="1"/>
        <v>43</v>
      </c>
    </row>
    <row r="23" spans="1:21">
      <c r="A23">
        <v>5988401896</v>
      </c>
      <c r="B23" s="17">
        <v>45709</v>
      </c>
      <c r="C23">
        <v>86000118</v>
      </c>
      <c r="D23" t="s">
        <v>1141</v>
      </c>
      <c r="E23" t="s">
        <v>53</v>
      </c>
      <c r="F23" t="s">
        <v>916</v>
      </c>
      <c r="G23">
        <v>4110110</v>
      </c>
      <c r="H23" t="s">
        <v>1018</v>
      </c>
      <c r="I23" t="s">
        <v>1143</v>
      </c>
      <c r="J23">
        <v>4000006878</v>
      </c>
      <c r="K23" t="s">
        <v>47</v>
      </c>
      <c r="L23" t="s">
        <v>1149</v>
      </c>
      <c r="M23" s="42">
        <v>-3508395</v>
      </c>
      <c r="N23">
        <v>6377</v>
      </c>
      <c r="O23">
        <v>2</v>
      </c>
      <c r="P23" t="s">
        <v>1145</v>
      </c>
      <c r="Q23">
        <v>2025</v>
      </c>
      <c r="R23">
        <v>10</v>
      </c>
      <c r="S23" t="s">
        <v>1146</v>
      </c>
      <c r="T23">
        <f t="shared" si="0"/>
        <v>2</v>
      </c>
      <c r="U23" t="str">
        <f t="shared" si="1"/>
        <v>43</v>
      </c>
    </row>
    <row r="24" spans="1:21">
      <c r="A24">
        <v>5988401896</v>
      </c>
      <c r="B24" s="17">
        <v>45709</v>
      </c>
      <c r="C24">
        <v>86000118</v>
      </c>
      <c r="D24" t="s">
        <v>1141</v>
      </c>
      <c r="E24" t="s">
        <v>53</v>
      </c>
      <c r="F24" t="s">
        <v>917</v>
      </c>
      <c r="G24">
        <v>4110110</v>
      </c>
      <c r="H24" t="s">
        <v>1018</v>
      </c>
      <c r="I24" t="s">
        <v>1143</v>
      </c>
      <c r="J24">
        <v>4000006878</v>
      </c>
      <c r="K24" t="s">
        <v>47</v>
      </c>
      <c r="L24" t="s">
        <v>1149</v>
      </c>
      <c r="M24" s="42">
        <v>-87612</v>
      </c>
      <c r="N24">
        <v>6377</v>
      </c>
      <c r="O24">
        <v>2</v>
      </c>
      <c r="P24" t="s">
        <v>1145</v>
      </c>
      <c r="Q24">
        <v>2025</v>
      </c>
      <c r="R24">
        <v>11</v>
      </c>
      <c r="S24" t="s">
        <v>1146</v>
      </c>
      <c r="T24">
        <f t="shared" si="0"/>
        <v>2</v>
      </c>
      <c r="U24" t="str">
        <f t="shared" si="1"/>
        <v>43</v>
      </c>
    </row>
    <row r="25" spans="1:21">
      <c r="A25">
        <v>5988401896</v>
      </c>
      <c r="B25" s="17">
        <v>45709</v>
      </c>
      <c r="C25">
        <v>86000118</v>
      </c>
      <c r="D25" t="s">
        <v>1141</v>
      </c>
      <c r="E25" t="s">
        <v>53</v>
      </c>
      <c r="F25" t="s">
        <v>918</v>
      </c>
      <c r="G25">
        <v>4110110</v>
      </c>
      <c r="H25" t="s">
        <v>1018</v>
      </c>
      <c r="I25" t="s">
        <v>1143</v>
      </c>
      <c r="J25">
        <v>4000006878</v>
      </c>
      <c r="K25" t="s">
        <v>47</v>
      </c>
      <c r="L25" t="s">
        <v>1149</v>
      </c>
      <c r="M25" s="42">
        <v>-313509</v>
      </c>
      <c r="N25">
        <v>6377</v>
      </c>
      <c r="O25">
        <v>2</v>
      </c>
      <c r="P25" t="s">
        <v>1145</v>
      </c>
      <c r="Q25">
        <v>2025</v>
      </c>
      <c r="R25">
        <v>12</v>
      </c>
      <c r="S25" t="s">
        <v>1146</v>
      </c>
      <c r="T25">
        <f t="shared" si="0"/>
        <v>2</v>
      </c>
      <c r="U25" t="str">
        <f t="shared" si="1"/>
        <v>43</v>
      </c>
    </row>
    <row r="26" spans="1:21">
      <c r="A26">
        <v>6032394017</v>
      </c>
      <c r="B26" s="17">
        <v>45777</v>
      </c>
      <c r="C26">
        <v>86000460</v>
      </c>
      <c r="D26" t="s">
        <v>1141</v>
      </c>
      <c r="E26" t="s">
        <v>53</v>
      </c>
      <c r="F26" t="s">
        <v>902</v>
      </c>
      <c r="G26">
        <v>4112340</v>
      </c>
      <c r="H26" t="s">
        <v>1142</v>
      </c>
      <c r="I26" t="s">
        <v>1143</v>
      </c>
      <c r="J26">
        <v>4000006878</v>
      </c>
      <c r="K26" t="s">
        <v>47</v>
      </c>
      <c r="L26" t="s">
        <v>1150</v>
      </c>
      <c r="M26" s="42">
        <v>-629748</v>
      </c>
      <c r="N26">
        <v>6515</v>
      </c>
      <c r="O26">
        <v>4</v>
      </c>
      <c r="P26" t="s">
        <v>1145</v>
      </c>
      <c r="Q26">
        <v>2025</v>
      </c>
      <c r="R26">
        <v>1</v>
      </c>
      <c r="S26" t="s">
        <v>1146</v>
      </c>
      <c r="T26">
        <f t="shared" si="0"/>
        <v>4</v>
      </c>
      <c r="U26" t="str">
        <f t="shared" si="1"/>
        <v>43</v>
      </c>
    </row>
    <row r="27" spans="1:21">
      <c r="A27">
        <v>6032394017</v>
      </c>
      <c r="B27" s="17">
        <v>45777</v>
      </c>
      <c r="C27">
        <v>86000460</v>
      </c>
      <c r="D27" t="s">
        <v>1141</v>
      </c>
      <c r="E27" t="s">
        <v>53</v>
      </c>
      <c r="F27" t="s">
        <v>908</v>
      </c>
      <c r="G27">
        <v>4112340</v>
      </c>
      <c r="H27" t="s">
        <v>1142</v>
      </c>
      <c r="I27" t="s">
        <v>1143</v>
      </c>
      <c r="J27">
        <v>4000006878</v>
      </c>
      <c r="K27" t="s">
        <v>47</v>
      </c>
      <c r="L27" t="s">
        <v>1150</v>
      </c>
      <c r="M27" s="42">
        <v>-467801</v>
      </c>
      <c r="N27">
        <v>6515</v>
      </c>
      <c r="O27">
        <v>4</v>
      </c>
      <c r="P27" t="s">
        <v>1145</v>
      </c>
      <c r="Q27">
        <v>2025</v>
      </c>
      <c r="R27">
        <v>2</v>
      </c>
      <c r="S27" t="s">
        <v>1146</v>
      </c>
      <c r="T27">
        <f t="shared" si="0"/>
        <v>4</v>
      </c>
      <c r="U27" t="str">
        <f t="shared" si="1"/>
        <v>43</v>
      </c>
    </row>
    <row r="28" spans="1:21">
      <c r="A28">
        <v>6032394017</v>
      </c>
      <c r="B28" s="17">
        <v>45777</v>
      </c>
      <c r="C28">
        <v>86000460</v>
      </c>
      <c r="D28" t="s">
        <v>1141</v>
      </c>
      <c r="E28" t="s">
        <v>53</v>
      </c>
      <c r="F28" t="s">
        <v>909</v>
      </c>
      <c r="G28">
        <v>4112340</v>
      </c>
      <c r="H28" t="s">
        <v>1142</v>
      </c>
      <c r="I28" t="s">
        <v>1143</v>
      </c>
      <c r="J28">
        <v>4000006878</v>
      </c>
      <c r="K28" t="s">
        <v>47</v>
      </c>
      <c r="L28" t="s">
        <v>1150</v>
      </c>
      <c r="M28" s="42">
        <v>-276027</v>
      </c>
      <c r="N28">
        <v>6515</v>
      </c>
      <c r="O28">
        <v>4</v>
      </c>
      <c r="P28" t="s">
        <v>1145</v>
      </c>
      <c r="Q28">
        <v>2025</v>
      </c>
      <c r="R28">
        <v>3</v>
      </c>
      <c r="S28" t="s">
        <v>1146</v>
      </c>
      <c r="T28">
        <f t="shared" si="0"/>
        <v>4</v>
      </c>
      <c r="U28" t="str">
        <f t="shared" si="1"/>
        <v>43</v>
      </c>
    </row>
    <row r="29" spans="1:21">
      <c r="A29">
        <v>6032394017</v>
      </c>
      <c r="B29" s="17">
        <v>45777</v>
      </c>
      <c r="C29">
        <v>86000460</v>
      </c>
      <c r="D29" t="s">
        <v>1141</v>
      </c>
      <c r="E29" t="s">
        <v>53</v>
      </c>
      <c r="F29" t="s">
        <v>910</v>
      </c>
      <c r="G29">
        <v>4112340</v>
      </c>
      <c r="H29" t="s">
        <v>1142</v>
      </c>
      <c r="I29" t="s">
        <v>1143</v>
      </c>
      <c r="J29">
        <v>4000006878</v>
      </c>
      <c r="K29" t="s">
        <v>47</v>
      </c>
      <c r="L29" t="s">
        <v>1150</v>
      </c>
      <c r="M29" s="42">
        <v>-228898</v>
      </c>
      <c r="N29">
        <v>6515</v>
      </c>
      <c r="O29">
        <v>4</v>
      </c>
      <c r="P29" t="s">
        <v>1145</v>
      </c>
      <c r="Q29">
        <v>2025</v>
      </c>
      <c r="R29">
        <v>4</v>
      </c>
      <c r="S29" t="s">
        <v>1146</v>
      </c>
      <c r="T29">
        <f t="shared" si="0"/>
        <v>4</v>
      </c>
      <c r="U29" t="str">
        <f t="shared" si="1"/>
        <v>43</v>
      </c>
    </row>
    <row r="30" spans="1:21">
      <c r="A30">
        <v>6032394017</v>
      </c>
      <c r="B30" s="17">
        <v>45777</v>
      </c>
      <c r="C30">
        <v>86000460</v>
      </c>
      <c r="D30" t="s">
        <v>1141</v>
      </c>
      <c r="E30" t="s">
        <v>53</v>
      </c>
      <c r="F30" t="s">
        <v>967</v>
      </c>
      <c r="G30">
        <v>4112340</v>
      </c>
      <c r="H30" t="s">
        <v>1142</v>
      </c>
      <c r="I30" t="s">
        <v>1143</v>
      </c>
      <c r="J30">
        <v>4000006878</v>
      </c>
      <c r="K30" t="s">
        <v>47</v>
      </c>
      <c r="L30" t="s">
        <v>1150</v>
      </c>
      <c r="M30" s="42">
        <v>-6172</v>
      </c>
      <c r="N30">
        <v>6515</v>
      </c>
      <c r="O30">
        <v>4</v>
      </c>
      <c r="P30" t="s">
        <v>1145</v>
      </c>
      <c r="Q30">
        <v>2025</v>
      </c>
      <c r="R30">
        <v>5</v>
      </c>
      <c r="S30" t="s">
        <v>1146</v>
      </c>
      <c r="T30">
        <f t="shared" si="0"/>
        <v>4</v>
      </c>
      <c r="U30" t="str">
        <f t="shared" si="1"/>
        <v>43</v>
      </c>
    </row>
    <row r="31" spans="1:21">
      <c r="A31">
        <v>6032394017</v>
      </c>
      <c r="B31" s="17">
        <v>45777</v>
      </c>
      <c r="C31">
        <v>86000460</v>
      </c>
      <c r="D31" t="s">
        <v>1141</v>
      </c>
      <c r="E31" t="s">
        <v>53</v>
      </c>
      <c r="F31" t="s">
        <v>902</v>
      </c>
      <c r="G31">
        <v>4110110</v>
      </c>
      <c r="H31" t="s">
        <v>1018</v>
      </c>
      <c r="I31" t="s">
        <v>1143</v>
      </c>
      <c r="J31">
        <v>4000006878</v>
      </c>
      <c r="K31" t="s">
        <v>47</v>
      </c>
      <c r="L31" t="s">
        <v>1150</v>
      </c>
      <c r="M31" s="42">
        <v>-25165</v>
      </c>
      <c r="N31">
        <v>6515</v>
      </c>
      <c r="O31">
        <v>4</v>
      </c>
      <c r="P31" t="s">
        <v>1145</v>
      </c>
      <c r="Q31">
        <v>2025</v>
      </c>
      <c r="R31">
        <v>6</v>
      </c>
      <c r="S31" t="s">
        <v>1146</v>
      </c>
      <c r="T31">
        <f t="shared" si="0"/>
        <v>4</v>
      </c>
      <c r="U31" t="str">
        <f t="shared" si="1"/>
        <v>43</v>
      </c>
    </row>
    <row r="32" spans="1:21">
      <c r="A32">
        <v>6032394017</v>
      </c>
      <c r="B32" s="17">
        <v>45777</v>
      </c>
      <c r="C32">
        <v>86000460</v>
      </c>
      <c r="D32" t="s">
        <v>1141</v>
      </c>
      <c r="E32" t="s">
        <v>53</v>
      </c>
      <c r="F32" t="s">
        <v>914</v>
      </c>
      <c r="G32">
        <v>4110110</v>
      </c>
      <c r="H32" t="s">
        <v>1018</v>
      </c>
      <c r="I32" t="s">
        <v>1143</v>
      </c>
      <c r="J32">
        <v>4000006878</v>
      </c>
      <c r="K32" t="s">
        <v>47</v>
      </c>
      <c r="L32" t="s">
        <v>1150</v>
      </c>
      <c r="M32" s="42">
        <v>-37797</v>
      </c>
      <c r="N32">
        <v>6515</v>
      </c>
      <c r="O32">
        <v>4</v>
      </c>
      <c r="P32" t="s">
        <v>1145</v>
      </c>
      <c r="Q32">
        <v>2025</v>
      </c>
      <c r="R32">
        <v>7</v>
      </c>
      <c r="S32" t="s">
        <v>1146</v>
      </c>
      <c r="T32">
        <f t="shared" si="0"/>
        <v>4</v>
      </c>
      <c r="U32" t="str">
        <f t="shared" si="1"/>
        <v>43</v>
      </c>
    </row>
    <row r="33" spans="1:21">
      <c r="A33">
        <v>6032394017</v>
      </c>
      <c r="B33" s="17">
        <v>45777</v>
      </c>
      <c r="C33">
        <v>86000460</v>
      </c>
      <c r="D33" t="s">
        <v>1141</v>
      </c>
      <c r="E33" t="s">
        <v>53</v>
      </c>
      <c r="F33" t="s">
        <v>915</v>
      </c>
      <c r="G33">
        <v>4110110</v>
      </c>
      <c r="H33" t="s">
        <v>1018</v>
      </c>
      <c r="I33" t="s">
        <v>1143</v>
      </c>
      <c r="J33">
        <v>4000006878</v>
      </c>
      <c r="K33" t="s">
        <v>47</v>
      </c>
      <c r="L33" t="s">
        <v>1150</v>
      </c>
      <c r="M33" s="42">
        <v>-5519</v>
      </c>
      <c r="N33">
        <v>6515</v>
      </c>
      <c r="O33">
        <v>4</v>
      </c>
      <c r="P33" t="s">
        <v>1145</v>
      </c>
      <c r="Q33">
        <v>2025</v>
      </c>
      <c r="R33">
        <v>8</v>
      </c>
      <c r="S33" t="s">
        <v>1146</v>
      </c>
      <c r="T33">
        <f t="shared" si="0"/>
        <v>4</v>
      </c>
      <c r="U33" t="str">
        <f t="shared" si="1"/>
        <v>43</v>
      </c>
    </row>
    <row r="34" spans="1:21">
      <c r="A34">
        <v>6032394017</v>
      </c>
      <c r="B34" s="17">
        <v>45777</v>
      </c>
      <c r="C34">
        <v>86000460</v>
      </c>
      <c r="D34" t="s">
        <v>1141</v>
      </c>
      <c r="E34" t="s">
        <v>53</v>
      </c>
      <c r="F34" t="s">
        <v>902</v>
      </c>
      <c r="G34">
        <v>4110110</v>
      </c>
      <c r="H34" t="s">
        <v>1018</v>
      </c>
      <c r="I34" t="s">
        <v>1143</v>
      </c>
      <c r="J34">
        <v>4000006878</v>
      </c>
      <c r="K34" t="s">
        <v>47</v>
      </c>
      <c r="L34" t="s">
        <v>1150</v>
      </c>
      <c r="M34" s="42">
        <v>-741161</v>
      </c>
      <c r="N34">
        <v>6515</v>
      </c>
      <c r="O34">
        <v>4</v>
      </c>
      <c r="P34" t="s">
        <v>1145</v>
      </c>
      <c r="Q34">
        <v>2025</v>
      </c>
      <c r="R34">
        <v>9</v>
      </c>
      <c r="S34" t="s">
        <v>1146</v>
      </c>
      <c r="T34">
        <f t="shared" si="0"/>
        <v>4</v>
      </c>
      <c r="U34" t="str">
        <f t="shared" si="1"/>
        <v>43</v>
      </c>
    </row>
    <row r="35" spans="1:21">
      <c r="A35">
        <v>6032394017</v>
      </c>
      <c r="B35" s="17">
        <v>45777</v>
      </c>
      <c r="C35">
        <v>86000460</v>
      </c>
      <c r="D35" t="s">
        <v>1141</v>
      </c>
      <c r="E35" t="s">
        <v>53</v>
      </c>
      <c r="F35" t="s">
        <v>914</v>
      </c>
      <c r="G35">
        <v>4110110</v>
      </c>
      <c r="H35" t="s">
        <v>1018</v>
      </c>
      <c r="I35" t="s">
        <v>1143</v>
      </c>
      <c r="J35">
        <v>4000006878</v>
      </c>
      <c r="K35" t="s">
        <v>47</v>
      </c>
      <c r="L35" t="s">
        <v>1150</v>
      </c>
      <c r="M35" s="42">
        <v>-2465537</v>
      </c>
      <c r="N35">
        <v>6515</v>
      </c>
      <c r="O35">
        <v>4</v>
      </c>
      <c r="P35" t="s">
        <v>1145</v>
      </c>
      <c r="Q35">
        <v>2025</v>
      </c>
      <c r="R35">
        <v>10</v>
      </c>
      <c r="S35" t="s">
        <v>1146</v>
      </c>
      <c r="T35">
        <f t="shared" si="0"/>
        <v>4</v>
      </c>
      <c r="U35" t="str">
        <f t="shared" si="1"/>
        <v>43</v>
      </c>
    </row>
    <row r="36" spans="1:21">
      <c r="A36">
        <v>6032394017</v>
      </c>
      <c r="B36" s="17">
        <v>45777</v>
      </c>
      <c r="C36">
        <v>86000460</v>
      </c>
      <c r="D36" t="s">
        <v>1141</v>
      </c>
      <c r="E36" t="s">
        <v>53</v>
      </c>
      <c r="F36" t="s">
        <v>915</v>
      </c>
      <c r="G36">
        <v>4110110</v>
      </c>
      <c r="H36" t="s">
        <v>1018</v>
      </c>
      <c r="I36" t="s">
        <v>1143</v>
      </c>
      <c r="J36">
        <v>4000006878</v>
      </c>
      <c r="K36" t="s">
        <v>47</v>
      </c>
      <c r="L36" t="s">
        <v>1150</v>
      </c>
      <c r="M36" s="42">
        <v>-1576005</v>
      </c>
      <c r="N36">
        <v>6515</v>
      </c>
      <c r="O36">
        <v>4</v>
      </c>
      <c r="P36" t="s">
        <v>1145</v>
      </c>
      <c r="Q36">
        <v>2025</v>
      </c>
      <c r="R36">
        <v>11</v>
      </c>
      <c r="S36" t="s">
        <v>1146</v>
      </c>
      <c r="T36">
        <f t="shared" si="0"/>
        <v>4</v>
      </c>
      <c r="U36" t="str">
        <f t="shared" si="1"/>
        <v>43</v>
      </c>
    </row>
    <row r="37" spans="1:21">
      <c r="A37">
        <v>6032394017</v>
      </c>
      <c r="B37" s="17">
        <v>45777</v>
      </c>
      <c r="C37">
        <v>86000460</v>
      </c>
      <c r="D37" t="s">
        <v>1141</v>
      </c>
      <c r="E37" t="s">
        <v>53</v>
      </c>
      <c r="F37" t="s">
        <v>949</v>
      </c>
      <c r="G37">
        <v>4110110</v>
      </c>
      <c r="H37" t="s">
        <v>1018</v>
      </c>
      <c r="I37" t="s">
        <v>1143</v>
      </c>
      <c r="J37">
        <v>4000006878</v>
      </c>
      <c r="K37" t="s">
        <v>47</v>
      </c>
      <c r="L37" t="s">
        <v>1150</v>
      </c>
      <c r="M37" s="42">
        <v>-705105</v>
      </c>
      <c r="N37">
        <v>6515</v>
      </c>
      <c r="O37">
        <v>4</v>
      </c>
      <c r="P37" t="s">
        <v>1145</v>
      </c>
      <c r="Q37">
        <v>2025</v>
      </c>
      <c r="R37">
        <v>12</v>
      </c>
      <c r="S37" t="s">
        <v>1146</v>
      </c>
      <c r="T37">
        <f t="shared" si="0"/>
        <v>4</v>
      </c>
      <c r="U37" t="str">
        <f t="shared" si="1"/>
        <v>43</v>
      </c>
    </row>
    <row r="38" spans="1:21">
      <c r="A38">
        <v>6032394017</v>
      </c>
      <c r="B38" s="17">
        <v>45777</v>
      </c>
      <c r="C38">
        <v>86000460</v>
      </c>
      <c r="D38" t="s">
        <v>1141</v>
      </c>
      <c r="E38" t="s">
        <v>53</v>
      </c>
      <c r="F38" t="s">
        <v>967</v>
      </c>
      <c r="G38">
        <v>4110110</v>
      </c>
      <c r="H38" t="s">
        <v>1018</v>
      </c>
      <c r="I38" t="s">
        <v>1143</v>
      </c>
      <c r="J38">
        <v>4000006878</v>
      </c>
      <c r="K38" t="s">
        <v>47</v>
      </c>
      <c r="L38" t="s">
        <v>1150</v>
      </c>
      <c r="M38" s="42">
        <v>-4982681</v>
      </c>
      <c r="N38">
        <v>6515</v>
      </c>
      <c r="O38">
        <v>4</v>
      </c>
      <c r="P38" t="s">
        <v>1145</v>
      </c>
      <c r="Q38">
        <v>2025</v>
      </c>
      <c r="R38">
        <v>13</v>
      </c>
      <c r="S38" t="s">
        <v>1146</v>
      </c>
      <c r="T38">
        <f t="shared" si="0"/>
        <v>4</v>
      </c>
      <c r="U38" t="str">
        <f t="shared" si="1"/>
        <v>43</v>
      </c>
    </row>
    <row r="39" spans="1:21">
      <c r="A39">
        <v>6050852351</v>
      </c>
      <c r="B39" s="17">
        <v>45806</v>
      </c>
      <c r="C39">
        <v>86000652</v>
      </c>
      <c r="D39" t="s">
        <v>1141</v>
      </c>
      <c r="E39" t="s">
        <v>53</v>
      </c>
      <c r="F39" t="s">
        <v>953</v>
      </c>
      <c r="G39">
        <v>4110110</v>
      </c>
      <c r="H39" t="s">
        <v>1018</v>
      </c>
      <c r="I39" t="s">
        <v>1143</v>
      </c>
      <c r="J39">
        <v>4000006878</v>
      </c>
      <c r="K39" t="s">
        <v>47</v>
      </c>
      <c r="L39" t="s">
        <v>1151</v>
      </c>
      <c r="M39">
        <v>-270</v>
      </c>
      <c r="N39">
        <v>6585</v>
      </c>
      <c r="O39">
        <v>5</v>
      </c>
      <c r="P39" t="s">
        <v>1145</v>
      </c>
      <c r="Q39">
        <v>2025</v>
      </c>
      <c r="R39">
        <v>1</v>
      </c>
      <c r="S39" t="s">
        <v>1146</v>
      </c>
      <c r="T39">
        <f t="shared" si="0"/>
        <v>5</v>
      </c>
      <c r="U39" t="str">
        <f t="shared" si="1"/>
        <v>43</v>
      </c>
    </row>
    <row r="40" spans="1:21">
      <c r="A40">
        <v>6050852351</v>
      </c>
      <c r="B40" s="17">
        <v>45806</v>
      </c>
      <c r="C40">
        <v>86000652</v>
      </c>
      <c r="D40" t="s">
        <v>1141</v>
      </c>
      <c r="E40" t="s">
        <v>53</v>
      </c>
      <c r="F40" t="s">
        <v>941</v>
      </c>
      <c r="G40">
        <v>4110110</v>
      </c>
      <c r="H40" t="s">
        <v>1018</v>
      </c>
      <c r="I40" t="s">
        <v>1143</v>
      </c>
      <c r="J40">
        <v>4000006878</v>
      </c>
      <c r="K40" t="s">
        <v>47</v>
      </c>
      <c r="L40" t="s">
        <v>1151</v>
      </c>
      <c r="M40" s="42">
        <v>-7014</v>
      </c>
      <c r="N40">
        <v>6585</v>
      </c>
      <c r="O40">
        <v>5</v>
      </c>
      <c r="P40" t="s">
        <v>1145</v>
      </c>
      <c r="Q40">
        <v>2025</v>
      </c>
      <c r="R40">
        <v>2</v>
      </c>
      <c r="S40" t="s">
        <v>1146</v>
      </c>
      <c r="T40">
        <f t="shared" si="0"/>
        <v>5</v>
      </c>
      <c r="U40" t="str">
        <f t="shared" si="1"/>
        <v>43</v>
      </c>
    </row>
    <row r="41" spans="1:21">
      <c r="A41">
        <v>6050852351</v>
      </c>
      <c r="B41" s="17">
        <v>45806</v>
      </c>
      <c r="C41">
        <v>86000652</v>
      </c>
      <c r="D41" t="s">
        <v>1141</v>
      </c>
      <c r="E41" t="s">
        <v>53</v>
      </c>
      <c r="F41" t="s">
        <v>902</v>
      </c>
      <c r="G41">
        <v>4110110</v>
      </c>
      <c r="H41" t="s">
        <v>1018</v>
      </c>
      <c r="I41" t="s">
        <v>1143</v>
      </c>
      <c r="J41">
        <v>4000006878</v>
      </c>
      <c r="K41" t="s">
        <v>47</v>
      </c>
      <c r="L41" t="s">
        <v>1151</v>
      </c>
      <c r="M41" s="42">
        <v>-30190</v>
      </c>
      <c r="N41">
        <v>6585</v>
      </c>
      <c r="O41">
        <v>5</v>
      </c>
      <c r="P41" t="s">
        <v>1145</v>
      </c>
      <c r="Q41">
        <v>2025</v>
      </c>
      <c r="R41">
        <v>3</v>
      </c>
      <c r="S41" t="s">
        <v>1146</v>
      </c>
      <c r="T41">
        <f t="shared" si="0"/>
        <v>5</v>
      </c>
      <c r="U41" t="str">
        <f t="shared" si="1"/>
        <v>43</v>
      </c>
    </row>
    <row r="42" spans="1:21">
      <c r="A42">
        <v>6050852351</v>
      </c>
      <c r="B42" s="17">
        <v>45806</v>
      </c>
      <c r="C42">
        <v>86000652</v>
      </c>
      <c r="D42" t="s">
        <v>1141</v>
      </c>
      <c r="E42" t="s">
        <v>53</v>
      </c>
      <c r="F42" t="s">
        <v>902</v>
      </c>
      <c r="G42">
        <v>4110110</v>
      </c>
      <c r="H42" t="s">
        <v>1018</v>
      </c>
      <c r="I42" t="s">
        <v>1143</v>
      </c>
      <c r="J42">
        <v>4000006878</v>
      </c>
      <c r="K42" t="s">
        <v>47</v>
      </c>
      <c r="L42" t="s">
        <v>1151</v>
      </c>
      <c r="M42" s="42">
        <v>-58527</v>
      </c>
      <c r="N42">
        <v>6585</v>
      </c>
      <c r="O42">
        <v>5</v>
      </c>
      <c r="P42" t="s">
        <v>1145</v>
      </c>
      <c r="Q42">
        <v>2025</v>
      </c>
      <c r="R42">
        <v>4</v>
      </c>
      <c r="S42" t="s">
        <v>1146</v>
      </c>
      <c r="T42">
        <f t="shared" si="0"/>
        <v>5</v>
      </c>
      <c r="U42" t="str">
        <f t="shared" si="1"/>
        <v>43</v>
      </c>
    </row>
    <row r="43" spans="1:21">
      <c r="A43">
        <v>6050852351</v>
      </c>
      <c r="B43" s="17">
        <v>45806</v>
      </c>
      <c r="C43">
        <v>86000652</v>
      </c>
      <c r="D43" t="s">
        <v>1141</v>
      </c>
      <c r="E43" t="s">
        <v>53</v>
      </c>
      <c r="F43" t="s">
        <v>941</v>
      </c>
      <c r="G43">
        <v>4110110</v>
      </c>
      <c r="H43" t="s">
        <v>1018</v>
      </c>
      <c r="I43" t="s">
        <v>1143</v>
      </c>
      <c r="J43">
        <v>4000006878</v>
      </c>
      <c r="K43" t="s">
        <v>47</v>
      </c>
      <c r="L43" t="s">
        <v>1151</v>
      </c>
      <c r="M43" s="42">
        <v>-59164</v>
      </c>
      <c r="N43">
        <v>6585</v>
      </c>
      <c r="O43">
        <v>5</v>
      </c>
      <c r="P43" t="s">
        <v>1145</v>
      </c>
      <c r="Q43">
        <v>2025</v>
      </c>
      <c r="R43">
        <v>5</v>
      </c>
      <c r="S43" t="s">
        <v>1146</v>
      </c>
      <c r="T43">
        <f t="shared" si="0"/>
        <v>5</v>
      </c>
      <c r="U43" t="str">
        <f t="shared" si="1"/>
        <v>43</v>
      </c>
    </row>
    <row r="44" spans="1:21">
      <c r="A44">
        <v>6050852351</v>
      </c>
      <c r="B44" s="17">
        <v>45806</v>
      </c>
      <c r="C44">
        <v>86000652</v>
      </c>
      <c r="D44" t="s">
        <v>1141</v>
      </c>
      <c r="E44" t="s">
        <v>53</v>
      </c>
      <c r="F44" t="s">
        <v>941</v>
      </c>
      <c r="G44">
        <v>4110110</v>
      </c>
      <c r="H44" t="s">
        <v>1018</v>
      </c>
      <c r="I44" t="s">
        <v>1143</v>
      </c>
      <c r="J44">
        <v>4000006878</v>
      </c>
      <c r="K44" t="s">
        <v>47</v>
      </c>
      <c r="L44" t="s">
        <v>1151</v>
      </c>
      <c r="M44" s="42">
        <v>-80444</v>
      </c>
      <c r="N44">
        <v>6585</v>
      </c>
      <c r="O44">
        <v>5</v>
      </c>
      <c r="P44" t="s">
        <v>1145</v>
      </c>
      <c r="Q44">
        <v>2025</v>
      </c>
      <c r="R44">
        <v>6</v>
      </c>
      <c r="S44" t="s">
        <v>1146</v>
      </c>
      <c r="T44">
        <f t="shared" si="0"/>
        <v>5</v>
      </c>
      <c r="U44" t="str">
        <f t="shared" si="1"/>
        <v>43</v>
      </c>
    </row>
    <row r="45" spans="1:21">
      <c r="A45">
        <v>6050852351</v>
      </c>
      <c r="B45" s="17">
        <v>45806</v>
      </c>
      <c r="C45">
        <v>86000652</v>
      </c>
      <c r="D45" t="s">
        <v>1141</v>
      </c>
      <c r="E45" t="s">
        <v>53</v>
      </c>
      <c r="F45" t="s">
        <v>915</v>
      </c>
      <c r="G45">
        <v>4110110</v>
      </c>
      <c r="H45" t="s">
        <v>1018</v>
      </c>
      <c r="I45" t="s">
        <v>1143</v>
      </c>
      <c r="J45">
        <v>4000006878</v>
      </c>
      <c r="K45" t="s">
        <v>47</v>
      </c>
      <c r="L45" t="s">
        <v>1151</v>
      </c>
      <c r="M45" s="42">
        <v>-81274</v>
      </c>
      <c r="N45">
        <v>6585</v>
      </c>
      <c r="O45">
        <v>5</v>
      </c>
      <c r="P45" t="s">
        <v>1145</v>
      </c>
      <c r="Q45">
        <v>2025</v>
      </c>
      <c r="R45">
        <v>7</v>
      </c>
      <c r="S45" t="s">
        <v>1146</v>
      </c>
      <c r="T45">
        <f t="shared" si="0"/>
        <v>5</v>
      </c>
      <c r="U45" t="str">
        <f t="shared" si="1"/>
        <v>43</v>
      </c>
    </row>
    <row r="46" spans="1:21">
      <c r="A46">
        <v>6050852351</v>
      </c>
      <c r="B46" s="17">
        <v>45806</v>
      </c>
      <c r="C46">
        <v>86000652</v>
      </c>
      <c r="D46" t="s">
        <v>1141</v>
      </c>
      <c r="E46" t="s">
        <v>53</v>
      </c>
      <c r="F46" t="s">
        <v>914</v>
      </c>
      <c r="G46">
        <v>4110110</v>
      </c>
      <c r="H46" t="s">
        <v>1018</v>
      </c>
      <c r="I46" t="s">
        <v>1143</v>
      </c>
      <c r="J46">
        <v>4000006878</v>
      </c>
      <c r="K46" t="s">
        <v>47</v>
      </c>
      <c r="L46" t="s">
        <v>1151</v>
      </c>
      <c r="M46" s="42">
        <v>-224315</v>
      </c>
      <c r="N46">
        <v>6585</v>
      </c>
      <c r="O46">
        <v>5</v>
      </c>
      <c r="P46" t="s">
        <v>1145</v>
      </c>
      <c r="Q46">
        <v>2025</v>
      </c>
      <c r="R46">
        <v>8</v>
      </c>
      <c r="S46" t="s">
        <v>1146</v>
      </c>
      <c r="T46">
        <f t="shared" si="0"/>
        <v>5</v>
      </c>
      <c r="U46" t="str">
        <f t="shared" si="1"/>
        <v>43</v>
      </c>
    </row>
    <row r="47" spans="1:21">
      <c r="A47">
        <v>6050852351</v>
      </c>
      <c r="B47" s="17">
        <v>45806</v>
      </c>
      <c r="C47">
        <v>86000652</v>
      </c>
      <c r="D47" t="s">
        <v>1141</v>
      </c>
      <c r="E47" t="s">
        <v>53</v>
      </c>
      <c r="F47" t="s">
        <v>909</v>
      </c>
      <c r="G47">
        <v>4112340</v>
      </c>
      <c r="H47" t="s">
        <v>1142</v>
      </c>
      <c r="I47" t="s">
        <v>1143</v>
      </c>
      <c r="J47">
        <v>4000006878</v>
      </c>
      <c r="K47" t="s">
        <v>47</v>
      </c>
      <c r="L47" t="s">
        <v>1151</v>
      </c>
      <c r="M47" s="42">
        <v>-252996</v>
      </c>
      <c r="N47">
        <v>6585</v>
      </c>
      <c r="O47">
        <v>5</v>
      </c>
      <c r="P47" t="s">
        <v>1145</v>
      </c>
      <c r="Q47">
        <v>2025</v>
      </c>
      <c r="R47">
        <v>9</v>
      </c>
      <c r="S47" t="s">
        <v>1146</v>
      </c>
      <c r="T47">
        <f t="shared" si="0"/>
        <v>5</v>
      </c>
      <c r="U47" t="str">
        <f t="shared" si="1"/>
        <v>43</v>
      </c>
    </row>
    <row r="48" spans="1:21">
      <c r="A48">
        <v>6050852351</v>
      </c>
      <c r="B48" s="17">
        <v>45806</v>
      </c>
      <c r="C48">
        <v>86000652</v>
      </c>
      <c r="D48" t="s">
        <v>1141</v>
      </c>
      <c r="E48" t="s">
        <v>53</v>
      </c>
      <c r="F48" t="s">
        <v>914</v>
      </c>
      <c r="G48">
        <v>4110110</v>
      </c>
      <c r="H48" t="s">
        <v>1018</v>
      </c>
      <c r="I48" t="s">
        <v>1143</v>
      </c>
      <c r="J48">
        <v>4000006878</v>
      </c>
      <c r="K48" t="s">
        <v>47</v>
      </c>
      <c r="L48" t="s">
        <v>1151</v>
      </c>
      <c r="M48" s="42">
        <v>-306077</v>
      </c>
      <c r="N48">
        <v>6585</v>
      </c>
      <c r="O48">
        <v>5</v>
      </c>
      <c r="P48" t="s">
        <v>1145</v>
      </c>
      <c r="Q48">
        <v>2025</v>
      </c>
      <c r="R48">
        <v>10</v>
      </c>
      <c r="S48" t="s">
        <v>1146</v>
      </c>
      <c r="T48">
        <f t="shared" si="0"/>
        <v>5</v>
      </c>
      <c r="U48" t="str">
        <f t="shared" si="1"/>
        <v>43</v>
      </c>
    </row>
    <row r="49" spans="1:21">
      <c r="A49">
        <v>6050852351</v>
      </c>
      <c r="B49" s="17">
        <v>45806</v>
      </c>
      <c r="C49">
        <v>86000652</v>
      </c>
      <c r="D49" t="s">
        <v>1141</v>
      </c>
      <c r="E49" t="s">
        <v>53</v>
      </c>
      <c r="F49" t="s">
        <v>916</v>
      </c>
      <c r="G49">
        <v>4110110</v>
      </c>
      <c r="H49" t="s">
        <v>1018</v>
      </c>
      <c r="I49" t="s">
        <v>1143</v>
      </c>
      <c r="J49">
        <v>4000006878</v>
      </c>
      <c r="K49" t="s">
        <v>47</v>
      </c>
      <c r="L49" t="s">
        <v>1151</v>
      </c>
      <c r="M49" s="42">
        <v>-356234</v>
      </c>
      <c r="N49">
        <v>6585</v>
      </c>
      <c r="O49">
        <v>5</v>
      </c>
      <c r="P49" t="s">
        <v>1145</v>
      </c>
      <c r="Q49">
        <v>2025</v>
      </c>
      <c r="R49">
        <v>11</v>
      </c>
      <c r="S49" t="s">
        <v>1146</v>
      </c>
      <c r="T49">
        <f t="shared" si="0"/>
        <v>5</v>
      </c>
      <c r="U49" t="str">
        <f t="shared" si="1"/>
        <v>43</v>
      </c>
    </row>
    <row r="50" spans="1:21">
      <c r="A50">
        <v>6050852351</v>
      </c>
      <c r="B50" s="17">
        <v>45806</v>
      </c>
      <c r="C50">
        <v>86000652</v>
      </c>
      <c r="D50" t="s">
        <v>1141</v>
      </c>
      <c r="E50" t="s">
        <v>53</v>
      </c>
      <c r="F50" t="s">
        <v>910</v>
      </c>
      <c r="G50">
        <v>4112340</v>
      </c>
      <c r="H50" t="s">
        <v>1142</v>
      </c>
      <c r="I50" t="s">
        <v>1143</v>
      </c>
      <c r="J50">
        <v>4000006878</v>
      </c>
      <c r="K50" t="s">
        <v>47</v>
      </c>
      <c r="L50" t="s">
        <v>1151</v>
      </c>
      <c r="M50" s="42">
        <v>-695483</v>
      </c>
      <c r="N50">
        <v>6585</v>
      </c>
      <c r="O50">
        <v>5</v>
      </c>
      <c r="P50" t="s">
        <v>1145</v>
      </c>
      <c r="Q50">
        <v>2025</v>
      </c>
      <c r="R50">
        <v>12</v>
      </c>
      <c r="S50" t="s">
        <v>1146</v>
      </c>
      <c r="T50">
        <f t="shared" si="0"/>
        <v>5</v>
      </c>
      <c r="U50" t="str">
        <f t="shared" si="1"/>
        <v>43</v>
      </c>
    </row>
    <row r="51" spans="1:21">
      <c r="A51">
        <v>6050852351</v>
      </c>
      <c r="B51" s="17">
        <v>45806</v>
      </c>
      <c r="C51">
        <v>86000652</v>
      </c>
      <c r="D51" t="s">
        <v>1141</v>
      </c>
      <c r="E51" t="s">
        <v>53</v>
      </c>
      <c r="F51" t="s">
        <v>902</v>
      </c>
      <c r="G51">
        <v>4112340</v>
      </c>
      <c r="H51" t="s">
        <v>1142</v>
      </c>
      <c r="I51" t="s">
        <v>1143</v>
      </c>
      <c r="J51">
        <v>4000006878</v>
      </c>
      <c r="K51" t="s">
        <v>47</v>
      </c>
      <c r="L51" t="s">
        <v>1151</v>
      </c>
      <c r="M51" s="42">
        <v>-758885</v>
      </c>
      <c r="N51">
        <v>6585</v>
      </c>
      <c r="O51">
        <v>5</v>
      </c>
      <c r="P51" t="s">
        <v>1145</v>
      </c>
      <c r="Q51">
        <v>2025</v>
      </c>
      <c r="R51">
        <v>13</v>
      </c>
      <c r="S51" t="s">
        <v>1146</v>
      </c>
      <c r="T51">
        <f t="shared" si="0"/>
        <v>5</v>
      </c>
      <c r="U51" t="str">
        <f t="shared" si="1"/>
        <v>43</v>
      </c>
    </row>
    <row r="52" spans="1:21">
      <c r="A52">
        <v>6050852351</v>
      </c>
      <c r="B52" s="17">
        <v>45806</v>
      </c>
      <c r="C52">
        <v>86000652</v>
      </c>
      <c r="D52" t="s">
        <v>1141</v>
      </c>
      <c r="E52" t="s">
        <v>53</v>
      </c>
      <c r="F52" t="s">
        <v>908</v>
      </c>
      <c r="G52">
        <v>4112340</v>
      </c>
      <c r="H52" t="s">
        <v>1142</v>
      </c>
      <c r="I52" t="s">
        <v>1143</v>
      </c>
      <c r="J52">
        <v>4000006878</v>
      </c>
      <c r="K52" t="s">
        <v>47</v>
      </c>
      <c r="L52" t="s">
        <v>1151</v>
      </c>
      <c r="M52" s="42">
        <v>-895890</v>
      </c>
      <c r="N52">
        <v>6585</v>
      </c>
      <c r="O52">
        <v>5</v>
      </c>
      <c r="P52" t="s">
        <v>1145</v>
      </c>
      <c r="Q52">
        <v>2025</v>
      </c>
      <c r="R52">
        <v>14</v>
      </c>
      <c r="S52" t="s">
        <v>1146</v>
      </c>
      <c r="T52">
        <f t="shared" si="0"/>
        <v>5</v>
      </c>
      <c r="U52" t="str">
        <f t="shared" si="1"/>
        <v>43</v>
      </c>
    </row>
    <row r="53" spans="1:21">
      <c r="A53">
        <v>6050852351</v>
      </c>
      <c r="B53" s="17">
        <v>45806</v>
      </c>
      <c r="C53">
        <v>86000652</v>
      </c>
      <c r="D53" t="s">
        <v>1141</v>
      </c>
      <c r="E53" t="s">
        <v>53</v>
      </c>
      <c r="F53" t="s">
        <v>915</v>
      </c>
      <c r="G53">
        <v>4110110</v>
      </c>
      <c r="H53" t="s">
        <v>1018</v>
      </c>
      <c r="I53" t="s">
        <v>1143</v>
      </c>
      <c r="J53">
        <v>4000006878</v>
      </c>
      <c r="K53" t="s">
        <v>47</v>
      </c>
      <c r="L53" t="s">
        <v>1151</v>
      </c>
      <c r="M53" s="42">
        <v>-1713324</v>
      </c>
      <c r="N53">
        <v>6585</v>
      </c>
      <c r="O53">
        <v>5</v>
      </c>
      <c r="P53" t="s">
        <v>1145</v>
      </c>
      <c r="Q53">
        <v>2025</v>
      </c>
      <c r="R53">
        <v>15</v>
      </c>
      <c r="S53" t="s">
        <v>1146</v>
      </c>
      <c r="T53">
        <f t="shared" si="0"/>
        <v>5</v>
      </c>
      <c r="U53" t="str">
        <f t="shared" si="1"/>
        <v>43</v>
      </c>
    </row>
    <row r="54" spans="1:21">
      <c r="A54">
        <v>6050852351</v>
      </c>
      <c r="B54" s="17">
        <v>45806</v>
      </c>
      <c r="C54">
        <v>86000652</v>
      </c>
      <c r="D54" t="s">
        <v>1141</v>
      </c>
      <c r="E54" t="s">
        <v>53</v>
      </c>
      <c r="F54" t="s">
        <v>914</v>
      </c>
      <c r="G54">
        <v>4110110</v>
      </c>
      <c r="H54" t="s">
        <v>1018</v>
      </c>
      <c r="I54" t="s">
        <v>1143</v>
      </c>
      <c r="J54">
        <v>4000006878</v>
      </c>
      <c r="K54" t="s">
        <v>47</v>
      </c>
      <c r="L54" t="s">
        <v>1151</v>
      </c>
      <c r="M54" s="42">
        <v>-1993496</v>
      </c>
      <c r="N54">
        <v>6585</v>
      </c>
      <c r="O54">
        <v>5</v>
      </c>
      <c r="P54" t="s">
        <v>1145</v>
      </c>
      <c r="Q54">
        <v>2025</v>
      </c>
      <c r="R54">
        <v>16</v>
      </c>
      <c r="S54" t="s">
        <v>1146</v>
      </c>
      <c r="T54">
        <f t="shared" si="0"/>
        <v>5</v>
      </c>
      <c r="U54" t="str">
        <f t="shared" si="1"/>
        <v>43</v>
      </c>
    </row>
    <row r="55" spans="1:21">
      <c r="A55">
        <v>6050852351</v>
      </c>
      <c r="B55" s="17">
        <v>45806</v>
      </c>
      <c r="C55">
        <v>86000652</v>
      </c>
      <c r="D55" t="s">
        <v>1141</v>
      </c>
      <c r="E55" t="s">
        <v>53</v>
      </c>
      <c r="F55" t="s">
        <v>956</v>
      </c>
      <c r="G55">
        <v>4110110</v>
      </c>
      <c r="H55" t="s">
        <v>1018</v>
      </c>
      <c r="I55" t="s">
        <v>1143</v>
      </c>
      <c r="J55">
        <v>4000006878</v>
      </c>
      <c r="K55" t="s">
        <v>47</v>
      </c>
      <c r="L55" t="s">
        <v>1151</v>
      </c>
      <c r="M55" s="42">
        <v>-4401268</v>
      </c>
      <c r="N55">
        <v>6585</v>
      </c>
      <c r="O55">
        <v>5</v>
      </c>
      <c r="P55" t="s">
        <v>1145</v>
      </c>
      <c r="Q55">
        <v>2025</v>
      </c>
      <c r="R55">
        <v>17</v>
      </c>
      <c r="S55" t="s">
        <v>1146</v>
      </c>
      <c r="T55">
        <f t="shared" si="0"/>
        <v>5</v>
      </c>
      <c r="U55" t="str">
        <f t="shared" si="1"/>
        <v>43</v>
      </c>
    </row>
    <row r="56" spans="1:21">
      <c r="A56">
        <v>6050852351</v>
      </c>
      <c r="B56" s="17">
        <v>45806</v>
      </c>
      <c r="C56">
        <v>86000652</v>
      </c>
      <c r="D56" t="s">
        <v>1141</v>
      </c>
      <c r="E56" t="s">
        <v>53</v>
      </c>
      <c r="F56" t="s">
        <v>918</v>
      </c>
      <c r="G56">
        <v>4110110</v>
      </c>
      <c r="H56" t="s">
        <v>1018</v>
      </c>
      <c r="I56" t="s">
        <v>1143</v>
      </c>
      <c r="J56">
        <v>4000006878</v>
      </c>
      <c r="K56" t="s">
        <v>47</v>
      </c>
      <c r="L56" t="s">
        <v>1152</v>
      </c>
      <c r="M56">
        <v>-1</v>
      </c>
      <c r="N56">
        <v>6585</v>
      </c>
      <c r="O56">
        <v>5</v>
      </c>
      <c r="P56" t="s">
        <v>1145</v>
      </c>
      <c r="Q56">
        <v>2025</v>
      </c>
      <c r="R56">
        <v>18</v>
      </c>
      <c r="S56" t="s">
        <v>1146</v>
      </c>
      <c r="T56">
        <f t="shared" si="0"/>
        <v>5</v>
      </c>
      <c r="U56" t="str">
        <f t="shared" si="1"/>
        <v>43</v>
      </c>
    </row>
    <row r="57" spans="1:21">
      <c r="A57">
        <v>6050852355</v>
      </c>
      <c r="B57" s="17">
        <v>45806</v>
      </c>
      <c r="C57">
        <v>86000653</v>
      </c>
      <c r="D57" t="s">
        <v>1141</v>
      </c>
      <c r="E57" t="s">
        <v>53</v>
      </c>
      <c r="F57" t="s">
        <v>902</v>
      </c>
      <c r="G57">
        <v>4112340</v>
      </c>
      <c r="H57" t="s">
        <v>1142</v>
      </c>
      <c r="I57" t="s">
        <v>1143</v>
      </c>
      <c r="J57">
        <v>4000006878</v>
      </c>
      <c r="K57" t="s">
        <v>47</v>
      </c>
      <c r="L57" t="s">
        <v>1151</v>
      </c>
      <c r="M57" s="42">
        <v>-959966</v>
      </c>
      <c r="N57">
        <v>6586</v>
      </c>
      <c r="O57">
        <v>5</v>
      </c>
      <c r="P57" t="s">
        <v>1145</v>
      </c>
      <c r="Q57">
        <v>2025</v>
      </c>
      <c r="R57">
        <v>1</v>
      </c>
      <c r="S57" t="s">
        <v>1146</v>
      </c>
      <c r="T57">
        <f t="shared" si="0"/>
        <v>5</v>
      </c>
      <c r="U57" t="str">
        <f t="shared" si="1"/>
        <v>43</v>
      </c>
    </row>
    <row r="58" spans="1:21">
      <c r="A58">
        <v>6050852355</v>
      </c>
      <c r="B58" s="17">
        <v>45806</v>
      </c>
      <c r="C58">
        <v>86000653</v>
      </c>
      <c r="D58" t="s">
        <v>1141</v>
      </c>
      <c r="E58" t="s">
        <v>53</v>
      </c>
      <c r="F58" t="s">
        <v>908</v>
      </c>
      <c r="G58">
        <v>4112340</v>
      </c>
      <c r="H58" t="s">
        <v>1142</v>
      </c>
      <c r="I58" t="s">
        <v>1143</v>
      </c>
      <c r="J58">
        <v>4000006878</v>
      </c>
      <c r="K58" t="s">
        <v>47</v>
      </c>
      <c r="L58" t="s">
        <v>1151</v>
      </c>
      <c r="M58" s="42">
        <v>-631890</v>
      </c>
      <c r="N58">
        <v>6586</v>
      </c>
      <c r="O58">
        <v>5</v>
      </c>
      <c r="P58" t="s">
        <v>1145</v>
      </c>
      <c r="Q58">
        <v>2025</v>
      </c>
      <c r="R58">
        <v>2</v>
      </c>
      <c r="S58" t="s">
        <v>1146</v>
      </c>
      <c r="T58">
        <f t="shared" si="0"/>
        <v>5</v>
      </c>
      <c r="U58" t="str">
        <f t="shared" si="1"/>
        <v>43</v>
      </c>
    </row>
    <row r="59" spans="1:21">
      <c r="A59">
        <v>6050852355</v>
      </c>
      <c r="B59" s="17">
        <v>45806</v>
      </c>
      <c r="C59">
        <v>86000653</v>
      </c>
      <c r="D59" t="s">
        <v>1141</v>
      </c>
      <c r="E59" t="s">
        <v>53</v>
      </c>
      <c r="F59" t="s">
        <v>909</v>
      </c>
      <c r="G59">
        <v>4112340</v>
      </c>
      <c r="H59" t="s">
        <v>1142</v>
      </c>
      <c r="I59" t="s">
        <v>1143</v>
      </c>
      <c r="J59">
        <v>4000006878</v>
      </c>
      <c r="K59" t="s">
        <v>47</v>
      </c>
      <c r="L59" t="s">
        <v>1151</v>
      </c>
      <c r="M59" s="42">
        <v>-324664</v>
      </c>
      <c r="N59">
        <v>6586</v>
      </c>
      <c r="O59">
        <v>5</v>
      </c>
      <c r="P59" t="s">
        <v>1145</v>
      </c>
      <c r="Q59">
        <v>2025</v>
      </c>
      <c r="R59">
        <v>3</v>
      </c>
      <c r="S59" t="s">
        <v>1146</v>
      </c>
      <c r="T59">
        <f t="shared" si="0"/>
        <v>5</v>
      </c>
      <c r="U59" t="str">
        <f t="shared" si="1"/>
        <v>43</v>
      </c>
    </row>
    <row r="60" spans="1:21">
      <c r="A60">
        <v>6050852355</v>
      </c>
      <c r="B60" s="17">
        <v>45806</v>
      </c>
      <c r="C60">
        <v>86000653</v>
      </c>
      <c r="D60" t="s">
        <v>1141</v>
      </c>
      <c r="E60" t="s">
        <v>53</v>
      </c>
      <c r="F60" t="s">
        <v>910</v>
      </c>
      <c r="G60">
        <v>4112340</v>
      </c>
      <c r="H60" t="s">
        <v>1142</v>
      </c>
      <c r="I60" t="s">
        <v>1143</v>
      </c>
      <c r="J60">
        <v>4000006878</v>
      </c>
      <c r="K60" t="s">
        <v>47</v>
      </c>
      <c r="L60" t="s">
        <v>1151</v>
      </c>
      <c r="M60" s="42">
        <v>-617097</v>
      </c>
      <c r="N60">
        <v>6586</v>
      </c>
      <c r="O60">
        <v>5</v>
      </c>
      <c r="P60" t="s">
        <v>1145</v>
      </c>
      <c r="Q60">
        <v>2025</v>
      </c>
      <c r="R60">
        <v>4</v>
      </c>
      <c r="S60" t="s">
        <v>1146</v>
      </c>
      <c r="T60">
        <f t="shared" si="0"/>
        <v>5</v>
      </c>
      <c r="U60" t="str">
        <f t="shared" si="1"/>
        <v>43</v>
      </c>
    </row>
    <row r="61" spans="1:21">
      <c r="A61">
        <v>6050852355</v>
      </c>
      <c r="B61" s="17">
        <v>45806</v>
      </c>
      <c r="C61">
        <v>86000653</v>
      </c>
      <c r="D61" t="s">
        <v>1141</v>
      </c>
      <c r="E61" t="s">
        <v>53</v>
      </c>
      <c r="F61" t="s">
        <v>914</v>
      </c>
      <c r="G61">
        <v>4110110</v>
      </c>
      <c r="H61" t="s">
        <v>1018</v>
      </c>
      <c r="I61" t="s">
        <v>1143</v>
      </c>
      <c r="J61">
        <v>4000006878</v>
      </c>
      <c r="K61" t="s">
        <v>47</v>
      </c>
      <c r="L61" t="s">
        <v>1151</v>
      </c>
      <c r="M61" s="42">
        <v>-29121</v>
      </c>
      <c r="N61">
        <v>6586</v>
      </c>
      <c r="O61">
        <v>5</v>
      </c>
      <c r="P61" t="s">
        <v>1145</v>
      </c>
      <c r="Q61">
        <v>2025</v>
      </c>
      <c r="R61">
        <v>5</v>
      </c>
      <c r="S61" t="s">
        <v>1146</v>
      </c>
      <c r="T61">
        <f t="shared" si="0"/>
        <v>5</v>
      </c>
      <c r="U61" t="str">
        <f t="shared" si="1"/>
        <v>43</v>
      </c>
    </row>
    <row r="62" spans="1:21">
      <c r="A62">
        <v>6050852355</v>
      </c>
      <c r="B62" s="17">
        <v>45806</v>
      </c>
      <c r="C62">
        <v>86000653</v>
      </c>
      <c r="D62" t="s">
        <v>1141</v>
      </c>
      <c r="E62" t="s">
        <v>53</v>
      </c>
      <c r="F62" t="s">
        <v>967</v>
      </c>
      <c r="G62">
        <v>4110110</v>
      </c>
      <c r="H62" t="s">
        <v>1018</v>
      </c>
      <c r="I62" t="s">
        <v>1143</v>
      </c>
      <c r="J62">
        <v>4000006878</v>
      </c>
      <c r="K62" t="s">
        <v>47</v>
      </c>
      <c r="L62" t="s">
        <v>1151</v>
      </c>
      <c r="M62" s="42">
        <v>-277761</v>
      </c>
      <c r="N62">
        <v>6586</v>
      </c>
      <c r="O62">
        <v>5</v>
      </c>
      <c r="P62" t="s">
        <v>1145</v>
      </c>
      <c r="Q62">
        <v>2025</v>
      </c>
      <c r="R62">
        <v>6</v>
      </c>
      <c r="S62" t="s">
        <v>1146</v>
      </c>
      <c r="T62">
        <f t="shared" si="0"/>
        <v>5</v>
      </c>
      <c r="U62" t="str">
        <f t="shared" si="1"/>
        <v>43</v>
      </c>
    </row>
    <row r="63" spans="1:21">
      <c r="A63">
        <v>6050852355</v>
      </c>
      <c r="B63" s="17">
        <v>45806</v>
      </c>
      <c r="C63">
        <v>86000653</v>
      </c>
      <c r="D63" t="s">
        <v>1141</v>
      </c>
      <c r="E63" t="s">
        <v>53</v>
      </c>
      <c r="F63" t="s">
        <v>914</v>
      </c>
      <c r="G63">
        <v>4110110</v>
      </c>
      <c r="H63" t="s">
        <v>1018</v>
      </c>
      <c r="I63" t="s">
        <v>1143</v>
      </c>
      <c r="J63">
        <v>4000006878</v>
      </c>
      <c r="K63" t="s">
        <v>47</v>
      </c>
      <c r="L63" t="s">
        <v>1151</v>
      </c>
      <c r="M63" s="42">
        <v>-11987</v>
      </c>
      <c r="N63">
        <v>6586</v>
      </c>
      <c r="O63">
        <v>5</v>
      </c>
      <c r="P63" t="s">
        <v>1145</v>
      </c>
      <c r="Q63">
        <v>2025</v>
      </c>
      <c r="R63">
        <v>7</v>
      </c>
      <c r="S63" t="s">
        <v>1146</v>
      </c>
      <c r="T63">
        <f t="shared" si="0"/>
        <v>5</v>
      </c>
      <c r="U63" t="str">
        <f t="shared" si="1"/>
        <v>43</v>
      </c>
    </row>
    <row r="64" spans="1:21">
      <c r="A64">
        <v>6050852355</v>
      </c>
      <c r="B64" s="17">
        <v>45806</v>
      </c>
      <c r="C64">
        <v>86000653</v>
      </c>
      <c r="D64" t="s">
        <v>1141</v>
      </c>
      <c r="E64" t="s">
        <v>53</v>
      </c>
      <c r="F64" t="s">
        <v>915</v>
      </c>
      <c r="G64">
        <v>4110110</v>
      </c>
      <c r="H64" t="s">
        <v>1018</v>
      </c>
      <c r="I64" t="s">
        <v>1143</v>
      </c>
      <c r="J64">
        <v>4000006878</v>
      </c>
      <c r="K64" t="s">
        <v>47</v>
      </c>
      <c r="L64" t="s">
        <v>1151</v>
      </c>
      <c r="M64" s="42">
        <v>-10358</v>
      </c>
      <c r="N64">
        <v>6586</v>
      </c>
      <c r="O64">
        <v>5</v>
      </c>
      <c r="P64" t="s">
        <v>1145</v>
      </c>
      <c r="Q64">
        <v>2025</v>
      </c>
      <c r="R64">
        <v>8</v>
      </c>
      <c r="S64" t="s">
        <v>1146</v>
      </c>
      <c r="T64">
        <f t="shared" si="0"/>
        <v>5</v>
      </c>
      <c r="U64" t="str">
        <f t="shared" si="1"/>
        <v>43</v>
      </c>
    </row>
    <row r="65" spans="1:21">
      <c r="A65">
        <v>6050852355</v>
      </c>
      <c r="B65" s="17">
        <v>45806</v>
      </c>
      <c r="C65">
        <v>86000653</v>
      </c>
      <c r="D65" t="s">
        <v>1141</v>
      </c>
      <c r="E65" t="s">
        <v>53</v>
      </c>
      <c r="F65" t="s">
        <v>967</v>
      </c>
      <c r="G65">
        <v>4110110</v>
      </c>
      <c r="H65" t="s">
        <v>1018</v>
      </c>
      <c r="I65" t="s">
        <v>1143</v>
      </c>
      <c r="J65">
        <v>4000006878</v>
      </c>
      <c r="K65" t="s">
        <v>47</v>
      </c>
      <c r="L65" t="s">
        <v>1151</v>
      </c>
      <c r="M65" s="42">
        <v>-59683</v>
      </c>
      <c r="N65">
        <v>6586</v>
      </c>
      <c r="O65">
        <v>5</v>
      </c>
      <c r="P65" t="s">
        <v>1145</v>
      </c>
      <c r="Q65">
        <v>2025</v>
      </c>
      <c r="R65">
        <v>9</v>
      </c>
      <c r="S65" t="s">
        <v>1146</v>
      </c>
      <c r="T65">
        <f t="shared" si="0"/>
        <v>5</v>
      </c>
      <c r="U65" t="str">
        <f t="shared" si="1"/>
        <v>43</v>
      </c>
    </row>
    <row r="66" spans="1:21">
      <c r="A66">
        <v>6050852355</v>
      </c>
      <c r="B66" s="17">
        <v>45806</v>
      </c>
      <c r="C66">
        <v>86000653</v>
      </c>
      <c r="D66" t="s">
        <v>1141</v>
      </c>
      <c r="E66" t="s">
        <v>53</v>
      </c>
      <c r="F66" t="s">
        <v>914</v>
      </c>
      <c r="G66">
        <v>4110110</v>
      </c>
      <c r="H66" t="s">
        <v>1018</v>
      </c>
      <c r="I66" t="s">
        <v>1143</v>
      </c>
      <c r="J66">
        <v>4000006878</v>
      </c>
      <c r="K66" t="s">
        <v>47</v>
      </c>
      <c r="L66" t="s">
        <v>1151</v>
      </c>
      <c r="M66" s="42">
        <v>-1797870</v>
      </c>
      <c r="N66">
        <v>6586</v>
      </c>
      <c r="O66">
        <v>5</v>
      </c>
      <c r="P66" t="s">
        <v>1145</v>
      </c>
      <c r="Q66">
        <v>2025</v>
      </c>
      <c r="R66">
        <v>10</v>
      </c>
      <c r="S66" t="s">
        <v>1146</v>
      </c>
      <c r="T66">
        <f t="shared" si="0"/>
        <v>5</v>
      </c>
      <c r="U66" t="str">
        <f t="shared" si="1"/>
        <v>43</v>
      </c>
    </row>
    <row r="67" spans="1:21">
      <c r="A67">
        <v>6050852355</v>
      </c>
      <c r="B67" s="17">
        <v>45806</v>
      </c>
      <c r="C67">
        <v>86000653</v>
      </c>
      <c r="D67" t="s">
        <v>1141</v>
      </c>
      <c r="E67" t="s">
        <v>53</v>
      </c>
      <c r="F67" t="s">
        <v>910</v>
      </c>
      <c r="G67">
        <v>4110110</v>
      </c>
      <c r="H67" t="s">
        <v>1018</v>
      </c>
      <c r="I67" t="s">
        <v>1143</v>
      </c>
      <c r="J67">
        <v>4000006878</v>
      </c>
      <c r="K67" t="s">
        <v>47</v>
      </c>
      <c r="L67" t="s">
        <v>1151</v>
      </c>
      <c r="M67" s="42">
        <v>-204750</v>
      </c>
      <c r="N67">
        <v>6586</v>
      </c>
      <c r="O67">
        <v>5</v>
      </c>
      <c r="P67" t="s">
        <v>1145</v>
      </c>
      <c r="Q67">
        <v>2025</v>
      </c>
      <c r="R67">
        <v>11</v>
      </c>
      <c r="S67" t="s">
        <v>1146</v>
      </c>
      <c r="T67">
        <f t="shared" ref="T67:T130" si="2">IFERROR(MONTH(B67),"")</f>
        <v>5</v>
      </c>
      <c r="U67" t="str">
        <f t="shared" ref="U67:U130" si="3">RIGHT(F67,2)</f>
        <v>43</v>
      </c>
    </row>
    <row r="68" spans="1:21">
      <c r="A68">
        <v>6050852355</v>
      </c>
      <c r="B68" s="17">
        <v>45806</v>
      </c>
      <c r="C68">
        <v>86000653</v>
      </c>
      <c r="D68" t="s">
        <v>1141</v>
      </c>
      <c r="E68" t="s">
        <v>53</v>
      </c>
      <c r="F68" t="s">
        <v>915</v>
      </c>
      <c r="G68">
        <v>4110110</v>
      </c>
      <c r="H68" t="s">
        <v>1018</v>
      </c>
      <c r="I68" t="s">
        <v>1143</v>
      </c>
      <c r="J68">
        <v>4000006878</v>
      </c>
      <c r="K68" t="s">
        <v>47</v>
      </c>
      <c r="L68" t="s">
        <v>1151</v>
      </c>
      <c r="M68" s="42">
        <v>-195741</v>
      </c>
      <c r="N68">
        <v>6586</v>
      </c>
      <c r="O68">
        <v>5</v>
      </c>
      <c r="P68" t="s">
        <v>1145</v>
      </c>
      <c r="Q68">
        <v>2025</v>
      </c>
      <c r="R68">
        <v>12</v>
      </c>
      <c r="S68" t="s">
        <v>1146</v>
      </c>
      <c r="T68">
        <f t="shared" si="2"/>
        <v>5</v>
      </c>
      <c r="U68" t="str">
        <f t="shared" si="3"/>
        <v>43</v>
      </c>
    </row>
    <row r="69" spans="1:21">
      <c r="A69">
        <v>6050852355</v>
      </c>
      <c r="B69" s="17">
        <v>45806</v>
      </c>
      <c r="C69">
        <v>86000653</v>
      </c>
      <c r="D69" t="s">
        <v>1141</v>
      </c>
      <c r="E69" t="s">
        <v>53</v>
      </c>
      <c r="F69" t="s">
        <v>967</v>
      </c>
      <c r="G69">
        <v>4110110</v>
      </c>
      <c r="H69" t="s">
        <v>1018</v>
      </c>
      <c r="I69" t="s">
        <v>1143</v>
      </c>
      <c r="J69">
        <v>4000006878</v>
      </c>
      <c r="K69" t="s">
        <v>47</v>
      </c>
      <c r="L69" t="s">
        <v>1151</v>
      </c>
      <c r="M69" s="42">
        <v>-305212</v>
      </c>
      <c r="N69">
        <v>6586</v>
      </c>
      <c r="O69">
        <v>5</v>
      </c>
      <c r="P69" t="s">
        <v>1145</v>
      </c>
      <c r="Q69">
        <v>2025</v>
      </c>
      <c r="R69">
        <v>13</v>
      </c>
      <c r="S69" t="s">
        <v>1146</v>
      </c>
      <c r="T69">
        <f t="shared" si="2"/>
        <v>5</v>
      </c>
      <c r="U69" t="str">
        <f t="shared" si="3"/>
        <v>43</v>
      </c>
    </row>
    <row r="70" spans="1:21">
      <c r="A70">
        <v>6050852355</v>
      </c>
      <c r="B70" s="17">
        <v>45806</v>
      </c>
      <c r="C70">
        <v>86000653</v>
      </c>
      <c r="D70" t="s">
        <v>1141</v>
      </c>
      <c r="E70" t="s">
        <v>53</v>
      </c>
      <c r="F70" t="s">
        <v>916</v>
      </c>
      <c r="G70">
        <v>4110110</v>
      </c>
      <c r="H70" t="s">
        <v>1018</v>
      </c>
      <c r="I70" t="s">
        <v>1143</v>
      </c>
      <c r="J70">
        <v>4000006878</v>
      </c>
      <c r="K70" t="s">
        <v>47</v>
      </c>
      <c r="L70" t="s">
        <v>1151</v>
      </c>
      <c r="M70" s="42">
        <v>-30155</v>
      </c>
      <c r="N70">
        <v>6586</v>
      </c>
      <c r="O70">
        <v>5</v>
      </c>
      <c r="P70" t="s">
        <v>1145</v>
      </c>
      <c r="Q70">
        <v>2025</v>
      </c>
      <c r="R70">
        <v>14</v>
      </c>
      <c r="S70" t="s">
        <v>1146</v>
      </c>
      <c r="T70">
        <f t="shared" si="2"/>
        <v>5</v>
      </c>
      <c r="U70" t="str">
        <f t="shared" si="3"/>
        <v>43</v>
      </c>
    </row>
    <row r="71" spans="1:21">
      <c r="A71">
        <v>6068878751</v>
      </c>
      <c r="B71" s="17">
        <v>45834</v>
      </c>
      <c r="C71">
        <v>86000940</v>
      </c>
      <c r="D71" t="s">
        <v>1141</v>
      </c>
      <c r="E71" t="s">
        <v>53</v>
      </c>
      <c r="F71" t="s">
        <v>902</v>
      </c>
      <c r="G71">
        <v>4112340</v>
      </c>
      <c r="H71" t="s">
        <v>1142</v>
      </c>
      <c r="I71" t="s">
        <v>1143</v>
      </c>
      <c r="J71">
        <v>4000006878</v>
      </c>
      <c r="K71" t="s">
        <v>47</v>
      </c>
      <c r="L71" t="s">
        <v>1153</v>
      </c>
      <c r="M71" s="42">
        <v>-472028</v>
      </c>
      <c r="N71">
        <v>6670</v>
      </c>
      <c r="O71">
        <v>6</v>
      </c>
      <c r="P71" t="s">
        <v>1145</v>
      </c>
      <c r="Q71">
        <v>2025</v>
      </c>
      <c r="R71">
        <v>1</v>
      </c>
      <c r="S71" t="s">
        <v>1146</v>
      </c>
      <c r="T71">
        <f t="shared" si="2"/>
        <v>6</v>
      </c>
      <c r="U71" t="str">
        <f t="shared" si="3"/>
        <v>43</v>
      </c>
    </row>
    <row r="72" spans="1:21">
      <c r="A72">
        <v>6068878751</v>
      </c>
      <c r="B72" s="17">
        <v>45834</v>
      </c>
      <c r="C72">
        <v>86000940</v>
      </c>
      <c r="D72" t="s">
        <v>1141</v>
      </c>
      <c r="E72" t="s">
        <v>53</v>
      </c>
      <c r="F72" t="s">
        <v>908</v>
      </c>
      <c r="G72">
        <v>4112340</v>
      </c>
      <c r="H72" t="s">
        <v>1142</v>
      </c>
      <c r="I72" t="s">
        <v>1143</v>
      </c>
      <c r="J72">
        <v>4000006878</v>
      </c>
      <c r="K72" t="s">
        <v>47</v>
      </c>
      <c r="L72" t="s">
        <v>1153</v>
      </c>
      <c r="M72" s="42">
        <v>-1115886</v>
      </c>
      <c r="N72">
        <v>6670</v>
      </c>
      <c r="O72">
        <v>6</v>
      </c>
      <c r="P72" t="s">
        <v>1145</v>
      </c>
      <c r="Q72">
        <v>2025</v>
      </c>
      <c r="R72">
        <v>2</v>
      </c>
      <c r="S72" t="s">
        <v>1146</v>
      </c>
      <c r="T72">
        <f t="shared" si="2"/>
        <v>6</v>
      </c>
      <c r="U72" t="str">
        <f t="shared" si="3"/>
        <v>43</v>
      </c>
    </row>
    <row r="73" spans="1:21">
      <c r="A73">
        <v>6068878751</v>
      </c>
      <c r="B73" s="17">
        <v>45834</v>
      </c>
      <c r="C73">
        <v>86000940</v>
      </c>
      <c r="D73" t="s">
        <v>1141</v>
      </c>
      <c r="E73" t="s">
        <v>53</v>
      </c>
      <c r="F73" t="s">
        <v>909</v>
      </c>
      <c r="G73">
        <v>4112340</v>
      </c>
      <c r="H73" t="s">
        <v>1142</v>
      </c>
      <c r="I73" t="s">
        <v>1143</v>
      </c>
      <c r="J73">
        <v>4000006878</v>
      </c>
      <c r="K73" t="s">
        <v>47</v>
      </c>
      <c r="L73" t="s">
        <v>1153</v>
      </c>
      <c r="M73" s="42">
        <v>-235887</v>
      </c>
      <c r="N73">
        <v>6670</v>
      </c>
      <c r="O73">
        <v>6</v>
      </c>
      <c r="P73" t="s">
        <v>1145</v>
      </c>
      <c r="Q73">
        <v>2025</v>
      </c>
      <c r="R73">
        <v>3</v>
      </c>
      <c r="S73" t="s">
        <v>1146</v>
      </c>
      <c r="T73">
        <f t="shared" si="2"/>
        <v>6</v>
      </c>
      <c r="U73" t="str">
        <f t="shared" si="3"/>
        <v>43</v>
      </c>
    </row>
    <row r="74" spans="1:21">
      <c r="A74">
        <v>6068878751</v>
      </c>
      <c r="B74" s="17">
        <v>45834</v>
      </c>
      <c r="C74">
        <v>86000940</v>
      </c>
      <c r="D74" t="s">
        <v>1141</v>
      </c>
      <c r="E74" t="s">
        <v>53</v>
      </c>
      <c r="F74" t="s">
        <v>910</v>
      </c>
      <c r="G74">
        <v>4112340</v>
      </c>
      <c r="H74" t="s">
        <v>1142</v>
      </c>
      <c r="I74" t="s">
        <v>1143</v>
      </c>
      <c r="J74">
        <v>4000006878</v>
      </c>
      <c r="K74" t="s">
        <v>47</v>
      </c>
      <c r="L74" t="s">
        <v>1153</v>
      </c>
      <c r="M74" s="42">
        <v>-393060</v>
      </c>
      <c r="N74">
        <v>6670</v>
      </c>
      <c r="O74">
        <v>6</v>
      </c>
      <c r="P74" t="s">
        <v>1145</v>
      </c>
      <c r="Q74">
        <v>2025</v>
      </c>
      <c r="R74">
        <v>4</v>
      </c>
      <c r="S74" t="s">
        <v>1146</v>
      </c>
      <c r="T74">
        <f t="shared" si="2"/>
        <v>6</v>
      </c>
      <c r="U74" t="str">
        <f t="shared" si="3"/>
        <v>43</v>
      </c>
    </row>
    <row r="75" spans="1:21">
      <c r="A75">
        <v>6068878751</v>
      </c>
      <c r="B75" s="17">
        <v>45834</v>
      </c>
      <c r="C75">
        <v>86000940</v>
      </c>
      <c r="D75" t="s">
        <v>1141</v>
      </c>
      <c r="E75" t="s">
        <v>53</v>
      </c>
      <c r="F75" t="s">
        <v>914</v>
      </c>
      <c r="G75">
        <v>4110110</v>
      </c>
      <c r="H75" t="s">
        <v>1018</v>
      </c>
      <c r="I75" t="s">
        <v>1143</v>
      </c>
      <c r="J75">
        <v>4000006878</v>
      </c>
      <c r="K75" t="s">
        <v>47</v>
      </c>
      <c r="L75" t="s">
        <v>1154</v>
      </c>
      <c r="M75" s="42">
        <v>-63098</v>
      </c>
      <c r="N75">
        <v>6670</v>
      </c>
      <c r="O75">
        <v>6</v>
      </c>
      <c r="P75" t="s">
        <v>1145</v>
      </c>
      <c r="Q75">
        <v>2025</v>
      </c>
      <c r="R75">
        <v>5</v>
      </c>
      <c r="S75" t="s">
        <v>1146</v>
      </c>
      <c r="T75">
        <f t="shared" si="2"/>
        <v>6</v>
      </c>
      <c r="U75" t="str">
        <f t="shared" si="3"/>
        <v>43</v>
      </c>
    </row>
    <row r="76" spans="1:21">
      <c r="A76">
        <v>6068878751</v>
      </c>
      <c r="B76" s="17">
        <v>45834</v>
      </c>
      <c r="C76">
        <v>86000940</v>
      </c>
      <c r="D76" t="s">
        <v>1141</v>
      </c>
      <c r="E76" t="s">
        <v>53</v>
      </c>
      <c r="F76" t="s">
        <v>915</v>
      </c>
      <c r="G76">
        <v>4110110</v>
      </c>
      <c r="H76" t="s">
        <v>1018</v>
      </c>
      <c r="I76" t="s">
        <v>1143</v>
      </c>
      <c r="J76">
        <v>4000006878</v>
      </c>
      <c r="K76" t="s">
        <v>47</v>
      </c>
      <c r="L76" t="s">
        <v>1154</v>
      </c>
      <c r="M76" s="42">
        <v>-89581</v>
      </c>
      <c r="N76">
        <v>6670</v>
      </c>
      <c r="O76">
        <v>6</v>
      </c>
      <c r="P76" t="s">
        <v>1145</v>
      </c>
      <c r="Q76">
        <v>2025</v>
      </c>
      <c r="R76">
        <v>6</v>
      </c>
      <c r="S76" t="s">
        <v>1146</v>
      </c>
      <c r="T76">
        <f t="shared" si="2"/>
        <v>6</v>
      </c>
      <c r="U76" t="str">
        <f t="shared" si="3"/>
        <v>43</v>
      </c>
    </row>
    <row r="77" spans="1:21">
      <c r="A77">
        <v>6068878751</v>
      </c>
      <c r="B77" s="17">
        <v>45834</v>
      </c>
      <c r="C77">
        <v>86000940</v>
      </c>
      <c r="D77" t="s">
        <v>1141</v>
      </c>
      <c r="E77" t="s">
        <v>53</v>
      </c>
      <c r="F77" t="s">
        <v>902</v>
      </c>
      <c r="G77">
        <v>4110110</v>
      </c>
      <c r="H77" t="s">
        <v>1018</v>
      </c>
      <c r="I77" t="s">
        <v>1143</v>
      </c>
      <c r="J77">
        <v>4000006878</v>
      </c>
      <c r="K77" t="s">
        <v>47</v>
      </c>
      <c r="L77" t="s">
        <v>1154</v>
      </c>
      <c r="M77" s="42">
        <v>-11074</v>
      </c>
      <c r="N77">
        <v>6670</v>
      </c>
      <c r="O77">
        <v>6</v>
      </c>
      <c r="P77" t="s">
        <v>1145</v>
      </c>
      <c r="Q77">
        <v>2025</v>
      </c>
      <c r="R77">
        <v>7</v>
      </c>
      <c r="S77" t="s">
        <v>1146</v>
      </c>
      <c r="T77">
        <f t="shared" si="2"/>
        <v>6</v>
      </c>
      <c r="U77" t="str">
        <f t="shared" si="3"/>
        <v>43</v>
      </c>
    </row>
    <row r="78" spans="1:21">
      <c r="A78">
        <v>6068878751</v>
      </c>
      <c r="B78" s="17">
        <v>45834</v>
      </c>
      <c r="C78">
        <v>86000940</v>
      </c>
      <c r="D78" t="s">
        <v>1141</v>
      </c>
      <c r="E78" t="s">
        <v>53</v>
      </c>
      <c r="F78" t="s">
        <v>914</v>
      </c>
      <c r="G78">
        <v>4110110</v>
      </c>
      <c r="H78" t="s">
        <v>1018</v>
      </c>
      <c r="I78" t="s">
        <v>1143</v>
      </c>
      <c r="J78">
        <v>4000006878</v>
      </c>
      <c r="K78" t="s">
        <v>47</v>
      </c>
      <c r="L78" t="s">
        <v>1154</v>
      </c>
      <c r="M78" s="42">
        <v>-3432958</v>
      </c>
      <c r="N78">
        <v>6670</v>
      </c>
      <c r="O78">
        <v>6</v>
      </c>
      <c r="P78" t="s">
        <v>1145</v>
      </c>
      <c r="Q78">
        <v>2025</v>
      </c>
      <c r="R78">
        <v>8</v>
      </c>
      <c r="S78" t="s">
        <v>1146</v>
      </c>
      <c r="T78">
        <f t="shared" si="2"/>
        <v>6</v>
      </c>
      <c r="U78" t="str">
        <f t="shared" si="3"/>
        <v>43</v>
      </c>
    </row>
    <row r="79" spans="1:21">
      <c r="A79">
        <v>6068878751</v>
      </c>
      <c r="B79" s="17">
        <v>45834</v>
      </c>
      <c r="C79">
        <v>86000940</v>
      </c>
      <c r="D79" t="s">
        <v>1141</v>
      </c>
      <c r="E79" t="s">
        <v>53</v>
      </c>
      <c r="F79" t="s">
        <v>915</v>
      </c>
      <c r="G79">
        <v>4110110</v>
      </c>
      <c r="H79" t="s">
        <v>1018</v>
      </c>
      <c r="I79" t="s">
        <v>1143</v>
      </c>
      <c r="J79">
        <v>4000006878</v>
      </c>
      <c r="K79" t="s">
        <v>47</v>
      </c>
      <c r="L79" t="s">
        <v>1154</v>
      </c>
      <c r="M79" s="42">
        <v>-1445100</v>
      </c>
      <c r="N79">
        <v>6670</v>
      </c>
      <c r="O79">
        <v>6</v>
      </c>
      <c r="P79" t="s">
        <v>1145</v>
      </c>
      <c r="Q79">
        <v>2025</v>
      </c>
      <c r="R79">
        <v>9</v>
      </c>
      <c r="S79" t="s">
        <v>1146</v>
      </c>
      <c r="T79">
        <f t="shared" si="2"/>
        <v>6</v>
      </c>
      <c r="U79" t="str">
        <f t="shared" si="3"/>
        <v>43</v>
      </c>
    </row>
    <row r="80" spans="1:21">
      <c r="A80">
        <v>6068878751</v>
      </c>
      <c r="B80" s="17">
        <v>45834</v>
      </c>
      <c r="C80">
        <v>86000940</v>
      </c>
      <c r="D80" t="s">
        <v>1141</v>
      </c>
      <c r="E80" t="s">
        <v>53</v>
      </c>
      <c r="F80" t="s">
        <v>916</v>
      </c>
      <c r="G80">
        <v>4110110</v>
      </c>
      <c r="H80" t="s">
        <v>1018</v>
      </c>
      <c r="I80" t="s">
        <v>1143</v>
      </c>
      <c r="J80">
        <v>4000006878</v>
      </c>
      <c r="K80" t="s">
        <v>47</v>
      </c>
      <c r="L80" t="s">
        <v>1154</v>
      </c>
      <c r="M80" s="42">
        <v>-235198</v>
      </c>
      <c r="N80">
        <v>6670</v>
      </c>
      <c r="O80">
        <v>6</v>
      </c>
      <c r="P80" t="s">
        <v>1145</v>
      </c>
      <c r="Q80">
        <v>2025</v>
      </c>
      <c r="R80">
        <v>10</v>
      </c>
      <c r="S80" t="s">
        <v>1146</v>
      </c>
      <c r="T80">
        <f t="shared" si="2"/>
        <v>6</v>
      </c>
      <c r="U80" t="str">
        <f t="shared" si="3"/>
        <v>43</v>
      </c>
    </row>
    <row r="81" spans="1:21">
      <c r="A81">
        <v>6078191810</v>
      </c>
      <c r="B81" s="17">
        <v>45848</v>
      </c>
      <c r="C81">
        <v>86000962</v>
      </c>
      <c r="D81" t="s">
        <v>1141</v>
      </c>
      <c r="E81" t="s">
        <v>53</v>
      </c>
      <c r="F81" t="s">
        <v>908</v>
      </c>
      <c r="G81">
        <v>4112340</v>
      </c>
      <c r="H81" t="s">
        <v>1142</v>
      </c>
      <c r="I81" t="s">
        <v>1143</v>
      </c>
      <c r="J81">
        <v>4000006878</v>
      </c>
      <c r="K81" t="s">
        <v>47</v>
      </c>
      <c r="L81" t="s">
        <v>1155</v>
      </c>
      <c r="M81" s="42">
        <v>-2885655</v>
      </c>
      <c r="N81">
        <v>5747</v>
      </c>
      <c r="O81">
        <v>7</v>
      </c>
      <c r="P81" t="s">
        <v>1145</v>
      </c>
      <c r="Q81">
        <v>2025</v>
      </c>
      <c r="R81">
        <v>1</v>
      </c>
      <c r="S81" t="s">
        <v>1146</v>
      </c>
      <c r="T81">
        <f t="shared" si="2"/>
        <v>7</v>
      </c>
      <c r="U81" t="str">
        <f t="shared" si="3"/>
        <v>43</v>
      </c>
    </row>
    <row r="82" spans="1:21">
      <c r="A82">
        <v>6089244218</v>
      </c>
      <c r="B82" s="17">
        <v>45866</v>
      </c>
      <c r="C82">
        <v>86001048</v>
      </c>
      <c r="D82" t="s">
        <v>1141</v>
      </c>
      <c r="E82" t="s">
        <v>53</v>
      </c>
      <c r="F82" t="s">
        <v>902</v>
      </c>
      <c r="G82">
        <v>4112340</v>
      </c>
      <c r="H82" t="s">
        <v>1142</v>
      </c>
      <c r="I82" t="s">
        <v>1143</v>
      </c>
      <c r="J82">
        <v>4000006878</v>
      </c>
      <c r="K82" t="s">
        <v>47</v>
      </c>
      <c r="L82" t="s">
        <v>1156</v>
      </c>
      <c r="M82" s="42">
        <v>-680081</v>
      </c>
      <c r="N82">
        <v>6704</v>
      </c>
      <c r="O82">
        <v>7</v>
      </c>
      <c r="P82" t="s">
        <v>1145</v>
      </c>
      <c r="Q82">
        <v>2025</v>
      </c>
      <c r="R82">
        <v>1</v>
      </c>
      <c r="S82" t="s">
        <v>1146</v>
      </c>
      <c r="T82">
        <f t="shared" si="2"/>
        <v>7</v>
      </c>
      <c r="U82" t="str">
        <f t="shared" si="3"/>
        <v>43</v>
      </c>
    </row>
    <row r="83" spans="1:21">
      <c r="A83">
        <v>6089244218</v>
      </c>
      <c r="B83" s="17">
        <v>45866</v>
      </c>
      <c r="C83">
        <v>86001048</v>
      </c>
      <c r="D83" t="s">
        <v>1141</v>
      </c>
      <c r="E83" t="s">
        <v>53</v>
      </c>
      <c r="F83" t="s">
        <v>908</v>
      </c>
      <c r="G83">
        <v>4112340</v>
      </c>
      <c r="H83" t="s">
        <v>1142</v>
      </c>
      <c r="I83" t="s">
        <v>1143</v>
      </c>
      <c r="J83">
        <v>4000006878</v>
      </c>
      <c r="K83" t="s">
        <v>47</v>
      </c>
      <c r="L83" t="s">
        <v>1156</v>
      </c>
      <c r="M83" s="42">
        <v>-156915</v>
      </c>
      <c r="N83">
        <v>6704</v>
      </c>
      <c r="O83">
        <v>7</v>
      </c>
      <c r="P83" t="s">
        <v>1145</v>
      </c>
      <c r="Q83">
        <v>2025</v>
      </c>
      <c r="R83">
        <v>2</v>
      </c>
      <c r="S83" t="s">
        <v>1146</v>
      </c>
      <c r="T83">
        <f t="shared" si="2"/>
        <v>7</v>
      </c>
      <c r="U83" t="str">
        <f t="shared" si="3"/>
        <v>43</v>
      </c>
    </row>
    <row r="84" spans="1:21">
      <c r="A84">
        <v>6089244218</v>
      </c>
      <c r="B84" s="17">
        <v>45866</v>
      </c>
      <c r="C84">
        <v>86001048</v>
      </c>
      <c r="D84" t="s">
        <v>1141</v>
      </c>
      <c r="E84" t="s">
        <v>53</v>
      </c>
      <c r="F84" t="s">
        <v>909</v>
      </c>
      <c r="G84">
        <v>4112340</v>
      </c>
      <c r="H84" t="s">
        <v>1142</v>
      </c>
      <c r="I84" t="s">
        <v>1143</v>
      </c>
      <c r="J84">
        <v>4000006878</v>
      </c>
      <c r="K84" t="s">
        <v>47</v>
      </c>
      <c r="L84" t="s">
        <v>1156</v>
      </c>
      <c r="M84" s="42">
        <v>-123578</v>
      </c>
      <c r="N84">
        <v>6704</v>
      </c>
      <c r="O84">
        <v>7</v>
      </c>
      <c r="P84" t="s">
        <v>1145</v>
      </c>
      <c r="Q84">
        <v>2025</v>
      </c>
      <c r="R84">
        <v>3</v>
      </c>
      <c r="S84" t="s">
        <v>1146</v>
      </c>
      <c r="T84">
        <f t="shared" si="2"/>
        <v>7</v>
      </c>
      <c r="U84" t="str">
        <f t="shared" si="3"/>
        <v>43</v>
      </c>
    </row>
    <row r="85" spans="1:21">
      <c r="A85">
        <v>6089244218</v>
      </c>
      <c r="B85" s="17">
        <v>45866</v>
      </c>
      <c r="C85">
        <v>86001048</v>
      </c>
      <c r="D85" t="s">
        <v>1141</v>
      </c>
      <c r="E85" t="s">
        <v>53</v>
      </c>
      <c r="F85" t="s">
        <v>910</v>
      </c>
      <c r="G85">
        <v>4112340</v>
      </c>
      <c r="H85" t="s">
        <v>1142</v>
      </c>
      <c r="I85" t="s">
        <v>1143</v>
      </c>
      <c r="J85">
        <v>4000006878</v>
      </c>
      <c r="K85" t="s">
        <v>47</v>
      </c>
      <c r="L85" t="s">
        <v>1156</v>
      </c>
      <c r="M85" s="42">
        <v>-370934</v>
      </c>
      <c r="N85">
        <v>6704</v>
      </c>
      <c r="O85">
        <v>7</v>
      </c>
      <c r="P85" t="s">
        <v>1145</v>
      </c>
      <c r="Q85">
        <v>2025</v>
      </c>
      <c r="R85">
        <v>4</v>
      </c>
      <c r="S85" t="s">
        <v>1146</v>
      </c>
      <c r="T85">
        <f t="shared" si="2"/>
        <v>7</v>
      </c>
      <c r="U85" t="str">
        <f t="shared" si="3"/>
        <v>43</v>
      </c>
    </row>
    <row r="86" spans="1:21">
      <c r="A86">
        <v>6089244218</v>
      </c>
      <c r="B86" s="17">
        <v>45866</v>
      </c>
      <c r="C86">
        <v>86001048</v>
      </c>
      <c r="D86" t="s">
        <v>1141</v>
      </c>
      <c r="E86" t="s">
        <v>53</v>
      </c>
      <c r="F86" t="s">
        <v>914</v>
      </c>
      <c r="G86">
        <v>4110110</v>
      </c>
      <c r="H86" t="s">
        <v>1018</v>
      </c>
      <c r="I86" t="s">
        <v>1143</v>
      </c>
      <c r="J86">
        <v>4000006878</v>
      </c>
      <c r="K86" t="s">
        <v>47</v>
      </c>
      <c r="L86" t="s">
        <v>1157</v>
      </c>
      <c r="M86" s="42">
        <v>-65730</v>
      </c>
      <c r="N86">
        <v>6704</v>
      </c>
      <c r="O86">
        <v>7</v>
      </c>
      <c r="P86" t="s">
        <v>1145</v>
      </c>
      <c r="Q86">
        <v>2025</v>
      </c>
      <c r="R86">
        <v>5</v>
      </c>
      <c r="S86" t="s">
        <v>1146</v>
      </c>
      <c r="T86">
        <f t="shared" si="2"/>
        <v>7</v>
      </c>
      <c r="U86" t="str">
        <f t="shared" si="3"/>
        <v>43</v>
      </c>
    </row>
    <row r="87" spans="1:21">
      <c r="A87">
        <v>6089244218</v>
      </c>
      <c r="B87" s="17">
        <v>45866</v>
      </c>
      <c r="C87">
        <v>86001048</v>
      </c>
      <c r="D87" t="s">
        <v>1141</v>
      </c>
      <c r="E87" t="s">
        <v>53</v>
      </c>
      <c r="F87" t="s">
        <v>967</v>
      </c>
      <c r="G87">
        <v>4110110</v>
      </c>
      <c r="H87" t="s">
        <v>1018</v>
      </c>
      <c r="I87" t="s">
        <v>1143</v>
      </c>
      <c r="J87">
        <v>4000006878</v>
      </c>
      <c r="K87" t="s">
        <v>47</v>
      </c>
      <c r="L87" t="s">
        <v>1157</v>
      </c>
      <c r="M87" s="42">
        <v>-500883</v>
      </c>
      <c r="N87">
        <v>6704</v>
      </c>
      <c r="O87">
        <v>7</v>
      </c>
      <c r="P87" t="s">
        <v>1145</v>
      </c>
      <c r="Q87">
        <v>2025</v>
      </c>
      <c r="R87">
        <v>6</v>
      </c>
      <c r="S87" t="s">
        <v>1146</v>
      </c>
      <c r="T87">
        <f t="shared" si="2"/>
        <v>7</v>
      </c>
      <c r="U87" t="str">
        <f t="shared" si="3"/>
        <v>43</v>
      </c>
    </row>
    <row r="88" spans="1:21">
      <c r="A88">
        <v>6089244218</v>
      </c>
      <c r="B88" s="17">
        <v>45866</v>
      </c>
      <c r="C88">
        <v>86001048</v>
      </c>
      <c r="D88" t="s">
        <v>1141</v>
      </c>
      <c r="E88" t="s">
        <v>53</v>
      </c>
      <c r="F88" t="s">
        <v>914</v>
      </c>
      <c r="G88">
        <v>4110110</v>
      </c>
      <c r="H88" t="s">
        <v>1018</v>
      </c>
      <c r="I88" t="s">
        <v>1143</v>
      </c>
      <c r="J88">
        <v>4000006878</v>
      </c>
      <c r="K88" t="s">
        <v>47</v>
      </c>
      <c r="L88" t="s">
        <v>1157</v>
      </c>
      <c r="M88" s="42">
        <v>-136431</v>
      </c>
      <c r="N88">
        <v>6704</v>
      </c>
      <c r="O88">
        <v>7</v>
      </c>
      <c r="P88" t="s">
        <v>1145</v>
      </c>
      <c r="Q88">
        <v>2025</v>
      </c>
      <c r="R88">
        <v>7</v>
      </c>
      <c r="S88" t="s">
        <v>1146</v>
      </c>
      <c r="T88">
        <f t="shared" si="2"/>
        <v>7</v>
      </c>
      <c r="U88" t="str">
        <f t="shared" si="3"/>
        <v>43</v>
      </c>
    </row>
    <row r="89" spans="1:21">
      <c r="A89">
        <v>6089244218</v>
      </c>
      <c r="B89" s="17">
        <v>45866</v>
      </c>
      <c r="C89">
        <v>86001048</v>
      </c>
      <c r="D89" t="s">
        <v>1141</v>
      </c>
      <c r="E89" t="s">
        <v>53</v>
      </c>
      <c r="F89" t="s">
        <v>915</v>
      </c>
      <c r="G89">
        <v>4110110</v>
      </c>
      <c r="H89" t="s">
        <v>1018</v>
      </c>
      <c r="I89" t="s">
        <v>1143</v>
      </c>
      <c r="J89">
        <v>4000006878</v>
      </c>
      <c r="K89" t="s">
        <v>47</v>
      </c>
      <c r="L89" t="s">
        <v>1157</v>
      </c>
      <c r="M89" s="42">
        <v>-68285</v>
      </c>
      <c r="N89">
        <v>6704</v>
      </c>
      <c r="O89">
        <v>7</v>
      </c>
      <c r="P89" t="s">
        <v>1145</v>
      </c>
      <c r="Q89">
        <v>2025</v>
      </c>
      <c r="R89">
        <v>8</v>
      </c>
      <c r="S89" t="s">
        <v>1146</v>
      </c>
      <c r="T89">
        <f t="shared" si="2"/>
        <v>7</v>
      </c>
      <c r="U89" t="str">
        <f t="shared" si="3"/>
        <v>43</v>
      </c>
    </row>
    <row r="90" spans="1:21">
      <c r="A90">
        <v>6089244218</v>
      </c>
      <c r="B90" s="17">
        <v>45866</v>
      </c>
      <c r="C90">
        <v>86001048</v>
      </c>
      <c r="D90" t="s">
        <v>1141</v>
      </c>
      <c r="E90" t="s">
        <v>53</v>
      </c>
      <c r="F90" t="s">
        <v>902</v>
      </c>
      <c r="G90">
        <v>4110110</v>
      </c>
      <c r="H90" t="s">
        <v>1018</v>
      </c>
      <c r="I90" t="s">
        <v>1143</v>
      </c>
      <c r="J90">
        <v>4000006878</v>
      </c>
      <c r="K90" t="s">
        <v>47</v>
      </c>
      <c r="L90" t="s">
        <v>1157</v>
      </c>
      <c r="M90" s="42">
        <v>-444830</v>
      </c>
      <c r="N90">
        <v>6704</v>
      </c>
      <c r="O90">
        <v>7</v>
      </c>
      <c r="P90" t="s">
        <v>1145</v>
      </c>
      <c r="Q90">
        <v>2025</v>
      </c>
      <c r="R90">
        <v>9</v>
      </c>
      <c r="S90" t="s">
        <v>1146</v>
      </c>
      <c r="T90">
        <f t="shared" si="2"/>
        <v>7</v>
      </c>
      <c r="U90" t="str">
        <f t="shared" si="3"/>
        <v>43</v>
      </c>
    </row>
    <row r="91" spans="1:21">
      <c r="A91">
        <v>6089244218</v>
      </c>
      <c r="B91" s="17">
        <v>45866</v>
      </c>
      <c r="C91">
        <v>86001048</v>
      </c>
      <c r="D91" t="s">
        <v>1141</v>
      </c>
      <c r="E91" t="s">
        <v>53</v>
      </c>
      <c r="F91" t="s">
        <v>914</v>
      </c>
      <c r="G91">
        <v>4110110</v>
      </c>
      <c r="H91" t="s">
        <v>1018</v>
      </c>
      <c r="I91" t="s">
        <v>1143</v>
      </c>
      <c r="J91">
        <v>4000006878</v>
      </c>
      <c r="K91" t="s">
        <v>47</v>
      </c>
      <c r="L91" t="s">
        <v>1157</v>
      </c>
      <c r="M91" s="42">
        <v>-3681455</v>
      </c>
      <c r="N91">
        <v>6704</v>
      </c>
      <c r="O91">
        <v>7</v>
      </c>
      <c r="P91" t="s">
        <v>1145</v>
      </c>
      <c r="Q91">
        <v>2025</v>
      </c>
      <c r="R91">
        <v>10</v>
      </c>
      <c r="S91" t="s">
        <v>1146</v>
      </c>
      <c r="T91">
        <f t="shared" si="2"/>
        <v>7</v>
      </c>
      <c r="U91" t="str">
        <f t="shared" si="3"/>
        <v>43</v>
      </c>
    </row>
    <row r="92" spans="1:21">
      <c r="A92">
        <v>6089244218</v>
      </c>
      <c r="B92" s="17">
        <v>45866</v>
      </c>
      <c r="C92">
        <v>86001048</v>
      </c>
      <c r="D92" t="s">
        <v>1141</v>
      </c>
      <c r="E92" t="s">
        <v>53</v>
      </c>
      <c r="F92" t="s">
        <v>915</v>
      </c>
      <c r="G92">
        <v>4110110</v>
      </c>
      <c r="H92" t="s">
        <v>1018</v>
      </c>
      <c r="I92" t="s">
        <v>1143</v>
      </c>
      <c r="J92">
        <v>4000006878</v>
      </c>
      <c r="K92" t="s">
        <v>47</v>
      </c>
      <c r="L92" t="s">
        <v>1157</v>
      </c>
      <c r="M92" s="42">
        <v>-1091161</v>
      </c>
      <c r="N92">
        <v>6704</v>
      </c>
      <c r="O92">
        <v>7</v>
      </c>
      <c r="P92" t="s">
        <v>1145</v>
      </c>
      <c r="Q92">
        <v>2025</v>
      </c>
      <c r="R92">
        <v>11</v>
      </c>
      <c r="S92" t="s">
        <v>1146</v>
      </c>
      <c r="T92">
        <f t="shared" si="2"/>
        <v>7</v>
      </c>
      <c r="U92" t="str">
        <f t="shared" si="3"/>
        <v>43</v>
      </c>
    </row>
    <row r="93" spans="1:21">
      <c r="A93">
        <v>6089244218</v>
      </c>
      <c r="B93" s="17">
        <v>45866</v>
      </c>
      <c r="C93">
        <v>86001048</v>
      </c>
      <c r="D93" t="s">
        <v>1141</v>
      </c>
      <c r="E93" t="s">
        <v>53</v>
      </c>
      <c r="F93" t="s">
        <v>916</v>
      </c>
      <c r="G93">
        <v>4110110</v>
      </c>
      <c r="H93" t="s">
        <v>1018</v>
      </c>
      <c r="I93" t="s">
        <v>1143</v>
      </c>
      <c r="J93">
        <v>4000006878</v>
      </c>
      <c r="K93" t="s">
        <v>47</v>
      </c>
      <c r="L93" t="s">
        <v>1157</v>
      </c>
      <c r="M93" s="42">
        <v>-256038</v>
      </c>
      <c r="N93">
        <v>6704</v>
      </c>
      <c r="O93">
        <v>7</v>
      </c>
      <c r="P93" t="s">
        <v>1145</v>
      </c>
      <c r="Q93">
        <v>2025</v>
      </c>
      <c r="R93">
        <v>12</v>
      </c>
      <c r="S93" t="s">
        <v>1146</v>
      </c>
      <c r="T93">
        <f t="shared" si="2"/>
        <v>7</v>
      </c>
      <c r="U93" t="str">
        <f t="shared" si="3"/>
        <v>43</v>
      </c>
    </row>
    <row r="94" spans="1:21">
      <c r="A94">
        <v>6089244218</v>
      </c>
      <c r="B94" s="17">
        <v>45866</v>
      </c>
      <c r="C94">
        <v>86001048</v>
      </c>
      <c r="D94" t="s">
        <v>1141</v>
      </c>
      <c r="E94" t="s">
        <v>53</v>
      </c>
      <c r="F94" t="s">
        <v>967</v>
      </c>
      <c r="G94">
        <v>4110110</v>
      </c>
      <c r="H94" t="s">
        <v>1018</v>
      </c>
      <c r="I94" t="s">
        <v>1143</v>
      </c>
      <c r="J94">
        <v>4000006878</v>
      </c>
      <c r="K94" t="s">
        <v>47</v>
      </c>
      <c r="L94" t="s">
        <v>1157</v>
      </c>
      <c r="M94" s="42">
        <v>-897761</v>
      </c>
      <c r="N94">
        <v>6704</v>
      </c>
      <c r="O94">
        <v>7</v>
      </c>
      <c r="P94" t="s">
        <v>1145</v>
      </c>
      <c r="Q94">
        <v>2025</v>
      </c>
      <c r="R94">
        <v>13</v>
      </c>
      <c r="S94" t="s">
        <v>1146</v>
      </c>
      <c r="T94">
        <f t="shared" si="2"/>
        <v>7</v>
      </c>
      <c r="U94" t="str">
        <f t="shared" si="3"/>
        <v>43</v>
      </c>
    </row>
    <row r="95" spans="1:21">
      <c r="A95">
        <v>6089244218</v>
      </c>
      <c r="B95" s="17">
        <v>45866</v>
      </c>
      <c r="C95">
        <v>86001048</v>
      </c>
      <c r="D95" t="s">
        <v>1141</v>
      </c>
      <c r="E95" t="s">
        <v>53</v>
      </c>
      <c r="F95" t="s">
        <v>962</v>
      </c>
      <c r="G95">
        <v>4110110</v>
      </c>
      <c r="H95" t="s">
        <v>1018</v>
      </c>
      <c r="I95" t="s">
        <v>1143</v>
      </c>
      <c r="J95">
        <v>4000006878</v>
      </c>
      <c r="K95" t="s">
        <v>47</v>
      </c>
      <c r="L95" t="s">
        <v>1157</v>
      </c>
      <c r="M95" s="42">
        <v>-22584</v>
      </c>
      <c r="N95">
        <v>6704</v>
      </c>
      <c r="O95">
        <v>7</v>
      </c>
      <c r="P95" t="s">
        <v>1145</v>
      </c>
      <c r="Q95">
        <v>2025</v>
      </c>
      <c r="R95">
        <v>14</v>
      </c>
      <c r="S95" t="s">
        <v>1146</v>
      </c>
      <c r="T95">
        <f t="shared" si="2"/>
        <v>7</v>
      </c>
      <c r="U95" t="str">
        <f t="shared" si="3"/>
        <v>43</v>
      </c>
    </row>
    <row r="96" spans="1:21">
      <c r="A96">
        <v>6130342364</v>
      </c>
      <c r="B96" s="17">
        <v>45930</v>
      </c>
      <c r="C96">
        <v>86001281</v>
      </c>
      <c r="D96" t="s">
        <v>1141</v>
      </c>
      <c r="E96" t="s">
        <v>53</v>
      </c>
      <c r="F96" t="s">
        <v>914</v>
      </c>
      <c r="G96">
        <v>4110110</v>
      </c>
      <c r="H96" t="s">
        <v>1018</v>
      </c>
      <c r="I96" t="s">
        <v>1143</v>
      </c>
      <c r="J96">
        <v>4000006878</v>
      </c>
      <c r="K96" t="s">
        <v>47</v>
      </c>
      <c r="L96" t="s">
        <v>1158</v>
      </c>
      <c r="M96" s="42">
        <v>-556885</v>
      </c>
      <c r="N96">
        <v>6788</v>
      </c>
      <c r="O96">
        <v>9</v>
      </c>
      <c r="P96" t="s">
        <v>1145</v>
      </c>
      <c r="Q96">
        <v>2025</v>
      </c>
      <c r="R96">
        <v>1</v>
      </c>
      <c r="S96" t="s">
        <v>1146</v>
      </c>
      <c r="T96">
        <f t="shared" si="2"/>
        <v>9</v>
      </c>
      <c r="U96" t="str">
        <f t="shared" si="3"/>
        <v>43</v>
      </c>
    </row>
    <row r="97" spans="1:21">
      <c r="A97">
        <v>6130342364</v>
      </c>
      <c r="B97" s="17">
        <v>45930</v>
      </c>
      <c r="C97">
        <v>86001281</v>
      </c>
      <c r="D97" t="s">
        <v>1141</v>
      </c>
      <c r="E97" t="s">
        <v>53</v>
      </c>
      <c r="F97" t="s">
        <v>916</v>
      </c>
      <c r="G97">
        <v>4110110</v>
      </c>
      <c r="H97" t="s">
        <v>1018</v>
      </c>
      <c r="I97" t="s">
        <v>1143</v>
      </c>
      <c r="J97">
        <v>4000006878</v>
      </c>
      <c r="K97" t="s">
        <v>47</v>
      </c>
      <c r="L97" t="s">
        <v>1158</v>
      </c>
      <c r="M97" s="42">
        <v>-59196</v>
      </c>
      <c r="N97">
        <v>6788</v>
      </c>
      <c r="O97">
        <v>9</v>
      </c>
      <c r="P97" t="s">
        <v>1145</v>
      </c>
      <c r="Q97">
        <v>2025</v>
      </c>
      <c r="R97">
        <v>2</v>
      </c>
      <c r="S97" t="s">
        <v>1146</v>
      </c>
      <c r="T97">
        <f t="shared" si="2"/>
        <v>9</v>
      </c>
      <c r="U97" t="str">
        <f t="shared" si="3"/>
        <v>43</v>
      </c>
    </row>
    <row r="98" spans="1:21">
      <c r="A98">
        <v>6130342364</v>
      </c>
      <c r="B98" s="17">
        <v>45930</v>
      </c>
      <c r="C98">
        <v>86001281</v>
      </c>
      <c r="D98" t="s">
        <v>1141</v>
      </c>
      <c r="E98" t="s">
        <v>53</v>
      </c>
      <c r="F98" t="s">
        <v>967</v>
      </c>
      <c r="G98">
        <v>4110110</v>
      </c>
      <c r="H98" t="s">
        <v>1018</v>
      </c>
      <c r="I98" t="s">
        <v>1143</v>
      </c>
      <c r="J98">
        <v>4000006878</v>
      </c>
      <c r="K98" t="s">
        <v>47</v>
      </c>
      <c r="L98" t="s">
        <v>1158</v>
      </c>
      <c r="M98" s="42">
        <v>-628196</v>
      </c>
      <c r="N98">
        <v>6788</v>
      </c>
      <c r="O98">
        <v>9</v>
      </c>
      <c r="P98" t="s">
        <v>1145</v>
      </c>
      <c r="Q98">
        <v>2025</v>
      </c>
      <c r="R98">
        <v>3</v>
      </c>
      <c r="S98" t="s">
        <v>1146</v>
      </c>
      <c r="T98">
        <f t="shared" si="2"/>
        <v>9</v>
      </c>
      <c r="U98" t="str">
        <f t="shared" si="3"/>
        <v>43</v>
      </c>
    </row>
    <row r="99" spans="1:21">
      <c r="A99">
        <v>6130342364</v>
      </c>
      <c r="B99" s="17">
        <v>45930</v>
      </c>
      <c r="C99">
        <v>86001281</v>
      </c>
      <c r="D99" t="s">
        <v>1141</v>
      </c>
      <c r="E99" t="s">
        <v>53</v>
      </c>
      <c r="F99" t="s">
        <v>943</v>
      </c>
      <c r="G99">
        <v>4110110</v>
      </c>
      <c r="H99" t="s">
        <v>1018</v>
      </c>
      <c r="I99" t="s">
        <v>1143</v>
      </c>
      <c r="J99">
        <v>4000006878</v>
      </c>
      <c r="K99" t="s">
        <v>47</v>
      </c>
      <c r="L99" t="s">
        <v>1158</v>
      </c>
      <c r="M99" s="42">
        <v>-10202</v>
      </c>
      <c r="N99">
        <v>6788</v>
      </c>
      <c r="O99">
        <v>9</v>
      </c>
      <c r="P99" t="s">
        <v>1145</v>
      </c>
      <c r="Q99">
        <v>2025</v>
      </c>
      <c r="R99">
        <v>4</v>
      </c>
      <c r="S99" t="s">
        <v>1146</v>
      </c>
      <c r="T99">
        <f t="shared" si="2"/>
        <v>9</v>
      </c>
      <c r="U99" t="str">
        <f t="shared" si="3"/>
        <v>43</v>
      </c>
    </row>
    <row r="100" spans="1:21">
      <c r="A100">
        <v>6130342364</v>
      </c>
      <c r="B100" s="17">
        <v>45930</v>
      </c>
      <c r="C100">
        <v>86001281</v>
      </c>
      <c r="D100" t="s">
        <v>1141</v>
      </c>
      <c r="E100" t="s">
        <v>53</v>
      </c>
      <c r="F100" t="s">
        <v>914</v>
      </c>
      <c r="G100">
        <v>4110110</v>
      </c>
      <c r="H100" t="s">
        <v>1018</v>
      </c>
      <c r="I100" t="s">
        <v>1143</v>
      </c>
      <c r="J100">
        <v>4000006878</v>
      </c>
      <c r="K100" t="s">
        <v>47</v>
      </c>
      <c r="L100" t="s">
        <v>1158</v>
      </c>
      <c r="M100" s="42">
        <v>-551912</v>
      </c>
      <c r="N100">
        <v>6788</v>
      </c>
      <c r="O100">
        <v>9</v>
      </c>
      <c r="P100" t="s">
        <v>1145</v>
      </c>
      <c r="Q100">
        <v>2025</v>
      </c>
      <c r="R100">
        <v>5</v>
      </c>
      <c r="S100" t="s">
        <v>1146</v>
      </c>
      <c r="T100">
        <f t="shared" si="2"/>
        <v>9</v>
      </c>
      <c r="U100" t="str">
        <f t="shared" si="3"/>
        <v>43</v>
      </c>
    </row>
    <row r="101" spans="1:21">
      <c r="A101">
        <v>6130342364</v>
      </c>
      <c r="B101" s="17">
        <v>45930</v>
      </c>
      <c r="C101">
        <v>86001281</v>
      </c>
      <c r="D101" t="s">
        <v>1141</v>
      </c>
      <c r="E101" t="s">
        <v>53</v>
      </c>
      <c r="F101" t="s">
        <v>916</v>
      </c>
      <c r="G101">
        <v>4110110</v>
      </c>
      <c r="H101" t="s">
        <v>1018</v>
      </c>
      <c r="I101" t="s">
        <v>1143</v>
      </c>
      <c r="J101">
        <v>4000006878</v>
      </c>
      <c r="K101" t="s">
        <v>47</v>
      </c>
      <c r="L101" t="s">
        <v>1158</v>
      </c>
      <c r="M101" s="42">
        <v>-57307</v>
      </c>
      <c r="N101">
        <v>6788</v>
      </c>
      <c r="O101">
        <v>9</v>
      </c>
      <c r="P101" t="s">
        <v>1145</v>
      </c>
      <c r="Q101">
        <v>2025</v>
      </c>
      <c r="R101">
        <v>6</v>
      </c>
      <c r="S101" t="s">
        <v>1146</v>
      </c>
      <c r="T101">
        <f t="shared" si="2"/>
        <v>9</v>
      </c>
      <c r="U101" t="str">
        <f t="shared" si="3"/>
        <v>43</v>
      </c>
    </row>
    <row r="102" spans="1:21">
      <c r="A102">
        <v>6130342364</v>
      </c>
      <c r="B102" s="17">
        <v>45930</v>
      </c>
      <c r="C102">
        <v>86001281</v>
      </c>
      <c r="D102" t="s">
        <v>1141</v>
      </c>
      <c r="E102" t="s">
        <v>53</v>
      </c>
      <c r="F102" t="s">
        <v>943</v>
      </c>
      <c r="G102">
        <v>4110110</v>
      </c>
      <c r="H102" t="s">
        <v>1018</v>
      </c>
      <c r="I102" t="s">
        <v>1143</v>
      </c>
      <c r="J102">
        <v>4000006878</v>
      </c>
      <c r="K102" t="s">
        <v>47</v>
      </c>
      <c r="L102" t="s">
        <v>1158</v>
      </c>
      <c r="M102" s="42">
        <v>-4505</v>
      </c>
      <c r="N102">
        <v>6788</v>
      </c>
      <c r="O102">
        <v>9</v>
      </c>
      <c r="P102" t="s">
        <v>1145</v>
      </c>
      <c r="Q102">
        <v>2025</v>
      </c>
      <c r="R102">
        <v>7</v>
      </c>
      <c r="S102" t="s">
        <v>1146</v>
      </c>
      <c r="T102">
        <f t="shared" si="2"/>
        <v>9</v>
      </c>
      <c r="U102" t="str">
        <f t="shared" si="3"/>
        <v>43</v>
      </c>
    </row>
    <row r="103" spans="1:21">
      <c r="A103">
        <v>6130342364</v>
      </c>
      <c r="B103" s="17">
        <v>45930</v>
      </c>
      <c r="C103">
        <v>86001281</v>
      </c>
      <c r="D103" t="s">
        <v>1141</v>
      </c>
      <c r="E103" t="s">
        <v>53</v>
      </c>
      <c r="F103" t="s">
        <v>902</v>
      </c>
      <c r="G103">
        <v>4110110</v>
      </c>
      <c r="H103" t="s">
        <v>1018</v>
      </c>
      <c r="I103" t="s">
        <v>1143</v>
      </c>
      <c r="J103">
        <v>4000006878</v>
      </c>
      <c r="K103" t="s">
        <v>47</v>
      </c>
      <c r="L103" t="s">
        <v>1158</v>
      </c>
      <c r="M103" s="42">
        <v>-165859</v>
      </c>
      <c r="N103">
        <v>6788</v>
      </c>
      <c r="O103">
        <v>9</v>
      </c>
      <c r="P103" t="s">
        <v>1145</v>
      </c>
      <c r="Q103">
        <v>2025</v>
      </c>
      <c r="R103">
        <v>8</v>
      </c>
      <c r="S103" t="s">
        <v>1146</v>
      </c>
      <c r="T103">
        <f t="shared" si="2"/>
        <v>9</v>
      </c>
      <c r="U103" t="str">
        <f t="shared" si="3"/>
        <v>43</v>
      </c>
    </row>
    <row r="104" spans="1:21">
      <c r="A104">
        <v>6130342364</v>
      </c>
      <c r="B104" s="17">
        <v>45930</v>
      </c>
      <c r="C104">
        <v>86001281</v>
      </c>
      <c r="D104" t="s">
        <v>1141</v>
      </c>
      <c r="E104" t="s">
        <v>53</v>
      </c>
      <c r="F104" t="s">
        <v>914</v>
      </c>
      <c r="G104">
        <v>4110110</v>
      </c>
      <c r="H104" t="s">
        <v>1018</v>
      </c>
      <c r="I104" t="s">
        <v>1143</v>
      </c>
      <c r="J104">
        <v>4000006878</v>
      </c>
      <c r="K104" t="s">
        <v>47</v>
      </c>
      <c r="L104" t="s">
        <v>1158</v>
      </c>
      <c r="M104" s="42">
        <v>-6938851</v>
      </c>
      <c r="N104">
        <v>6788</v>
      </c>
      <c r="O104">
        <v>9</v>
      </c>
      <c r="P104" t="s">
        <v>1145</v>
      </c>
      <c r="Q104">
        <v>2025</v>
      </c>
      <c r="R104">
        <v>9</v>
      </c>
      <c r="S104" t="s">
        <v>1146</v>
      </c>
      <c r="T104">
        <f t="shared" si="2"/>
        <v>9</v>
      </c>
      <c r="U104" t="str">
        <f t="shared" si="3"/>
        <v>43</v>
      </c>
    </row>
    <row r="105" spans="1:21">
      <c r="A105">
        <v>6130342364</v>
      </c>
      <c r="B105" s="17">
        <v>45930</v>
      </c>
      <c r="C105">
        <v>86001281</v>
      </c>
      <c r="D105" t="s">
        <v>1141</v>
      </c>
      <c r="E105" t="s">
        <v>53</v>
      </c>
      <c r="F105" t="s">
        <v>915</v>
      </c>
      <c r="G105">
        <v>4110110</v>
      </c>
      <c r="H105" t="s">
        <v>1018</v>
      </c>
      <c r="I105" t="s">
        <v>1143</v>
      </c>
      <c r="J105">
        <v>4000006878</v>
      </c>
      <c r="K105" t="s">
        <v>47</v>
      </c>
      <c r="L105" t="s">
        <v>1158</v>
      </c>
      <c r="M105" s="42">
        <v>-1129380</v>
      </c>
      <c r="N105">
        <v>6788</v>
      </c>
      <c r="O105">
        <v>9</v>
      </c>
      <c r="P105" t="s">
        <v>1145</v>
      </c>
      <c r="Q105">
        <v>2025</v>
      </c>
      <c r="R105">
        <v>10</v>
      </c>
      <c r="S105" t="s">
        <v>1146</v>
      </c>
      <c r="T105">
        <f t="shared" si="2"/>
        <v>9</v>
      </c>
      <c r="U105" t="str">
        <f t="shared" si="3"/>
        <v>43</v>
      </c>
    </row>
    <row r="106" spans="1:21">
      <c r="A106">
        <v>6130342364</v>
      </c>
      <c r="B106" s="17">
        <v>45930</v>
      </c>
      <c r="C106">
        <v>86001281</v>
      </c>
      <c r="D106" t="s">
        <v>1141</v>
      </c>
      <c r="E106" t="s">
        <v>53</v>
      </c>
      <c r="F106" t="s">
        <v>916</v>
      </c>
      <c r="G106">
        <v>4110110</v>
      </c>
      <c r="H106" t="s">
        <v>1018</v>
      </c>
      <c r="I106" t="s">
        <v>1143</v>
      </c>
      <c r="J106">
        <v>4000006878</v>
      </c>
      <c r="K106" t="s">
        <v>47</v>
      </c>
      <c r="L106" t="s">
        <v>1158</v>
      </c>
      <c r="M106" s="42">
        <v>-674380</v>
      </c>
      <c r="N106">
        <v>6788</v>
      </c>
      <c r="O106">
        <v>9</v>
      </c>
      <c r="P106" t="s">
        <v>1145</v>
      </c>
      <c r="Q106">
        <v>2025</v>
      </c>
      <c r="R106">
        <v>11</v>
      </c>
      <c r="S106" t="s">
        <v>1146</v>
      </c>
      <c r="T106">
        <f t="shared" si="2"/>
        <v>9</v>
      </c>
      <c r="U106" t="str">
        <f t="shared" si="3"/>
        <v>43</v>
      </c>
    </row>
    <row r="107" spans="1:21">
      <c r="A107">
        <v>6130342364</v>
      </c>
      <c r="B107" s="17">
        <v>45930</v>
      </c>
      <c r="C107">
        <v>86001281</v>
      </c>
      <c r="D107" t="s">
        <v>1141</v>
      </c>
      <c r="E107" t="s">
        <v>53</v>
      </c>
      <c r="F107" t="s">
        <v>967</v>
      </c>
      <c r="G107">
        <v>4110110</v>
      </c>
      <c r="H107" t="s">
        <v>1018</v>
      </c>
      <c r="I107" t="s">
        <v>1143</v>
      </c>
      <c r="J107">
        <v>4000006878</v>
      </c>
      <c r="K107" t="s">
        <v>47</v>
      </c>
      <c r="L107" t="s">
        <v>1158</v>
      </c>
      <c r="M107" s="42">
        <v>-386273</v>
      </c>
      <c r="N107">
        <v>6788</v>
      </c>
      <c r="O107">
        <v>9</v>
      </c>
      <c r="P107" t="s">
        <v>1145</v>
      </c>
      <c r="Q107">
        <v>2025</v>
      </c>
      <c r="R107">
        <v>12</v>
      </c>
      <c r="S107" t="s">
        <v>1146</v>
      </c>
      <c r="T107">
        <f t="shared" si="2"/>
        <v>9</v>
      </c>
      <c r="U107" t="str">
        <f t="shared" si="3"/>
        <v>43</v>
      </c>
    </row>
    <row r="108" spans="1:21">
      <c r="A108">
        <v>6130342364</v>
      </c>
      <c r="B108" s="17">
        <v>45930</v>
      </c>
      <c r="C108">
        <v>86001281</v>
      </c>
      <c r="D108" t="s">
        <v>1141</v>
      </c>
      <c r="E108" t="s">
        <v>53</v>
      </c>
      <c r="F108" t="s">
        <v>956</v>
      </c>
      <c r="G108">
        <v>4110110</v>
      </c>
      <c r="H108" t="s">
        <v>1018</v>
      </c>
      <c r="I108" t="s">
        <v>1143</v>
      </c>
      <c r="J108">
        <v>4000006878</v>
      </c>
      <c r="K108" t="s">
        <v>47</v>
      </c>
      <c r="L108" t="s">
        <v>1158</v>
      </c>
      <c r="M108" s="42">
        <v>-1417988</v>
      </c>
      <c r="N108">
        <v>6788</v>
      </c>
      <c r="O108">
        <v>9</v>
      </c>
      <c r="P108" t="s">
        <v>1145</v>
      </c>
      <c r="Q108">
        <v>2025</v>
      </c>
      <c r="R108">
        <v>13</v>
      </c>
      <c r="S108" t="s">
        <v>1146</v>
      </c>
      <c r="T108">
        <f t="shared" si="2"/>
        <v>9</v>
      </c>
      <c r="U108" t="str">
        <f t="shared" si="3"/>
        <v>43</v>
      </c>
    </row>
    <row r="109" spans="1:21">
      <c r="A109">
        <v>6130342364</v>
      </c>
      <c r="B109" s="17">
        <v>45930</v>
      </c>
      <c r="C109">
        <v>86001281</v>
      </c>
      <c r="D109" t="s">
        <v>1141</v>
      </c>
      <c r="E109" t="s">
        <v>53</v>
      </c>
      <c r="F109" t="s">
        <v>943</v>
      </c>
      <c r="G109">
        <v>4110110</v>
      </c>
      <c r="H109" t="s">
        <v>1018</v>
      </c>
      <c r="I109" t="s">
        <v>1143</v>
      </c>
      <c r="J109">
        <v>4000006878</v>
      </c>
      <c r="K109" t="s">
        <v>47</v>
      </c>
      <c r="L109" t="s">
        <v>1158</v>
      </c>
      <c r="M109" s="42">
        <v>-65956</v>
      </c>
      <c r="N109">
        <v>6788</v>
      </c>
      <c r="O109">
        <v>9</v>
      </c>
      <c r="P109" t="s">
        <v>1145</v>
      </c>
      <c r="Q109">
        <v>2025</v>
      </c>
      <c r="R109">
        <v>14</v>
      </c>
      <c r="S109" t="s">
        <v>1146</v>
      </c>
      <c r="T109">
        <f t="shared" si="2"/>
        <v>9</v>
      </c>
      <c r="U109" t="str">
        <f t="shared" si="3"/>
        <v>43</v>
      </c>
    </row>
    <row r="110" spans="1:21">
      <c r="A110">
        <v>6130342364</v>
      </c>
      <c r="B110" s="17">
        <v>45930</v>
      </c>
      <c r="C110">
        <v>86001281</v>
      </c>
      <c r="D110" t="s">
        <v>1141</v>
      </c>
      <c r="E110" t="s">
        <v>53</v>
      </c>
      <c r="F110" t="s">
        <v>946</v>
      </c>
      <c r="G110">
        <v>4110110</v>
      </c>
      <c r="H110" t="s">
        <v>1018</v>
      </c>
      <c r="I110" t="s">
        <v>1143</v>
      </c>
      <c r="J110">
        <v>4000006878</v>
      </c>
      <c r="K110" t="s">
        <v>47</v>
      </c>
      <c r="L110" t="s">
        <v>1158</v>
      </c>
      <c r="M110" s="42">
        <v>-121288</v>
      </c>
      <c r="N110">
        <v>6788</v>
      </c>
      <c r="O110">
        <v>9</v>
      </c>
      <c r="P110" t="s">
        <v>1145</v>
      </c>
      <c r="Q110">
        <v>2025</v>
      </c>
      <c r="R110">
        <v>15</v>
      </c>
      <c r="S110" t="s">
        <v>1146</v>
      </c>
      <c r="T110">
        <f t="shared" si="2"/>
        <v>9</v>
      </c>
      <c r="U110" t="str">
        <f t="shared" si="3"/>
        <v>43</v>
      </c>
    </row>
    <row r="111" spans="1:21">
      <c r="A111">
        <v>6130342364</v>
      </c>
      <c r="B111" s="17">
        <v>45930</v>
      </c>
      <c r="C111">
        <v>86001281</v>
      </c>
      <c r="D111" t="s">
        <v>1141</v>
      </c>
      <c r="E111" t="s">
        <v>53</v>
      </c>
      <c r="F111" t="s">
        <v>902</v>
      </c>
      <c r="G111">
        <v>4112340</v>
      </c>
      <c r="H111" t="s">
        <v>1142</v>
      </c>
      <c r="I111" t="s">
        <v>1143</v>
      </c>
      <c r="J111">
        <v>4000006878</v>
      </c>
      <c r="K111" t="s">
        <v>47</v>
      </c>
      <c r="L111" t="s">
        <v>1159</v>
      </c>
      <c r="M111" s="42">
        <v>-1318284</v>
      </c>
      <c r="N111">
        <v>6788</v>
      </c>
      <c r="O111">
        <v>9</v>
      </c>
      <c r="P111" t="s">
        <v>1145</v>
      </c>
      <c r="Q111">
        <v>2025</v>
      </c>
      <c r="R111">
        <v>16</v>
      </c>
      <c r="S111" t="s">
        <v>1146</v>
      </c>
      <c r="T111">
        <f t="shared" si="2"/>
        <v>9</v>
      </c>
      <c r="U111" t="str">
        <f t="shared" si="3"/>
        <v>43</v>
      </c>
    </row>
    <row r="112" spans="1:21">
      <c r="A112">
        <v>6130342364</v>
      </c>
      <c r="B112" s="17">
        <v>45930</v>
      </c>
      <c r="C112">
        <v>86001281</v>
      </c>
      <c r="D112" t="s">
        <v>1141</v>
      </c>
      <c r="E112" t="s">
        <v>53</v>
      </c>
      <c r="F112" t="s">
        <v>908</v>
      </c>
      <c r="G112">
        <v>4112340</v>
      </c>
      <c r="H112" t="s">
        <v>1142</v>
      </c>
      <c r="I112" t="s">
        <v>1143</v>
      </c>
      <c r="J112">
        <v>4000006878</v>
      </c>
      <c r="K112" t="s">
        <v>47</v>
      </c>
      <c r="L112" t="s">
        <v>1159</v>
      </c>
      <c r="M112" s="42">
        <v>-436521</v>
      </c>
      <c r="N112">
        <v>6788</v>
      </c>
      <c r="O112">
        <v>9</v>
      </c>
      <c r="P112" t="s">
        <v>1145</v>
      </c>
      <c r="Q112">
        <v>2025</v>
      </c>
      <c r="R112">
        <v>17</v>
      </c>
      <c r="S112" t="s">
        <v>1146</v>
      </c>
      <c r="T112">
        <f t="shared" si="2"/>
        <v>9</v>
      </c>
      <c r="U112" t="str">
        <f t="shared" si="3"/>
        <v>43</v>
      </c>
    </row>
    <row r="113" spans="1:21">
      <c r="A113">
        <v>6130342364</v>
      </c>
      <c r="B113" s="17">
        <v>45930</v>
      </c>
      <c r="C113">
        <v>86001281</v>
      </c>
      <c r="D113" t="s">
        <v>1141</v>
      </c>
      <c r="E113" t="s">
        <v>53</v>
      </c>
      <c r="F113" t="s">
        <v>909</v>
      </c>
      <c r="G113">
        <v>4112340</v>
      </c>
      <c r="H113" t="s">
        <v>1142</v>
      </c>
      <c r="I113" t="s">
        <v>1143</v>
      </c>
      <c r="J113">
        <v>4000006878</v>
      </c>
      <c r="K113" t="s">
        <v>47</v>
      </c>
      <c r="L113" t="s">
        <v>1159</v>
      </c>
      <c r="M113" s="42">
        <v>-389764</v>
      </c>
      <c r="N113">
        <v>6788</v>
      </c>
      <c r="O113">
        <v>9</v>
      </c>
      <c r="P113" t="s">
        <v>1145</v>
      </c>
      <c r="Q113">
        <v>2025</v>
      </c>
      <c r="R113">
        <v>18</v>
      </c>
      <c r="S113" t="s">
        <v>1146</v>
      </c>
      <c r="T113">
        <f t="shared" si="2"/>
        <v>9</v>
      </c>
      <c r="U113" t="str">
        <f t="shared" si="3"/>
        <v>43</v>
      </c>
    </row>
    <row r="114" spans="1:21">
      <c r="A114">
        <v>6130342364</v>
      </c>
      <c r="B114" s="17">
        <v>45930</v>
      </c>
      <c r="C114">
        <v>86001281</v>
      </c>
      <c r="D114" t="s">
        <v>1141</v>
      </c>
      <c r="E114" t="s">
        <v>53</v>
      </c>
      <c r="F114" t="s">
        <v>910</v>
      </c>
      <c r="G114">
        <v>4112340</v>
      </c>
      <c r="H114" t="s">
        <v>1142</v>
      </c>
      <c r="I114" t="s">
        <v>1143</v>
      </c>
      <c r="J114">
        <v>4000006878</v>
      </c>
      <c r="K114" t="s">
        <v>47</v>
      </c>
      <c r="L114" t="s">
        <v>1159</v>
      </c>
      <c r="M114" s="42">
        <v>-581522</v>
      </c>
      <c r="N114">
        <v>6788</v>
      </c>
      <c r="O114">
        <v>9</v>
      </c>
      <c r="P114" t="s">
        <v>1145</v>
      </c>
      <c r="Q114">
        <v>2025</v>
      </c>
      <c r="R114">
        <v>19</v>
      </c>
      <c r="S114" t="s">
        <v>1146</v>
      </c>
      <c r="T114">
        <f t="shared" si="2"/>
        <v>9</v>
      </c>
      <c r="U114" t="str">
        <f t="shared" si="3"/>
        <v>43</v>
      </c>
    </row>
    <row r="115" spans="1:21">
      <c r="A115">
        <v>6130342364</v>
      </c>
      <c r="B115" s="17">
        <v>45930</v>
      </c>
      <c r="C115">
        <v>86001281</v>
      </c>
      <c r="D115" t="s">
        <v>1141</v>
      </c>
      <c r="E115" t="s">
        <v>53</v>
      </c>
      <c r="F115" t="s">
        <v>1025</v>
      </c>
      <c r="G115">
        <v>4110100</v>
      </c>
      <c r="H115" t="s">
        <v>1160</v>
      </c>
      <c r="I115" t="s">
        <v>1143</v>
      </c>
      <c r="J115">
        <v>4000006878</v>
      </c>
      <c r="K115" t="s">
        <v>47</v>
      </c>
      <c r="L115" t="s">
        <v>1152</v>
      </c>
      <c r="M115">
        <v>-3</v>
      </c>
      <c r="N115">
        <v>6788</v>
      </c>
      <c r="O115">
        <v>9</v>
      </c>
      <c r="P115" t="s">
        <v>1145</v>
      </c>
      <c r="Q115">
        <v>2025</v>
      </c>
      <c r="R115">
        <v>20</v>
      </c>
      <c r="S115" t="s">
        <v>1146</v>
      </c>
      <c r="T115">
        <f t="shared" si="2"/>
        <v>9</v>
      </c>
      <c r="U115" t="str">
        <f t="shared" si="3"/>
        <v>39</v>
      </c>
    </row>
    <row r="116" spans="1:21">
      <c r="A116">
        <v>6130342369</v>
      </c>
      <c r="B116" s="17">
        <v>45930</v>
      </c>
      <c r="C116">
        <v>86001283</v>
      </c>
      <c r="D116" t="s">
        <v>1141</v>
      </c>
      <c r="E116" t="s">
        <v>53</v>
      </c>
      <c r="F116" t="s">
        <v>902</v>
      </c>
      <c r="G116">
        <v>4112340</v>
      </c>
      <c r="H116" t="s">
        <v>1142</v>
      </c>
      <c r="I116" t="s">
        <v>1143</v>
      </c>
      <c r="J116">
        <v>4000006878</v>
      </c>
      <c r="K116" t="s">
        <v>47</v>
      </c>
      <c r="L116" t="s">
        <v>1161</v>
      </c>
      <c r="M116" s="42">
        <v>-990366</v>
      </c>
      <c r="N116">
        <v>6842</v>
      </c>
      <c r="O116">
        <v>9</v>
      </c>
      <c r="P116" t="s">
        <v>1145</v>
      </c>
      <c r="Q116">
        <v>2025</v>
      </c>
      <c r="R116">
        <v>1</v>
      </c>
      <c r="S116" t="s">
        <v>1146</v>
      </c>
      <c r="T116">
        <f t="shared" si="2"/>
        <v>9</v>
      </c>
      <c r="U116" t="str">
        <f t="shared" si="3"/>
        <v>43</v>
      </c>
    </row>
    <row r="117" spans="1:21">
      <c r="A117">
        <v>6130342369</v>
      </c>
      <c r="B117" s="17">
        <v>45930</v>
      </c>
      <c r="C117">
        <v>86001283</v>
      </c>
      <c r="D117" t="s">
        <v>1141</v>
      </c>
      <c r="E117" t="s">
        <v>53</v>
      </c>
      <c r="F117" t="s">
        <v>908</v>
      </c>
      <c r="G117">
        <v>4112340</v>
      </c>
      <c r="H117" t="s">
        <v>1142</v>
      </c>
      <c r="I117" t="s">
        <v>1143</v>
      </c>
      <c r="J117">
        <v>4000006878</v>
      </c>
      <c r="K117" t="s">
        <v>47</v>
      </c>
      <c r="L117" t="s">
        <v>1161</v>
      </c>
      <c r="M117" s="42">
        <v>-1097103</v>
      </c>
      <c r="N117">
        <v>6842</v>
      </c>
      <c r="O117">
        <v>9</v>
      </c>
      <c r="P117" t="s">
        <v>1145</v>
      </c>
      <c r="Q117">
        <v>2025</v>
      </c>
      <c r="R117">
        <v>2</v>
      </c>
      <c r="S117" t="s">
        <v>1146</v>
      </c>
      <c r="T117">
        <f t="shared" si="2"/>
        <v>9</v>
      </c>
      <c r="U117" t="str">
        <f t="shared" si="3"/>
        <v>43</v>
      </c>
    </row>
    <row r="118" spans="1:21">
      <c r="A118">
        <v>6130342369</v>
      </c>
      <c r="B118" s="17">
        <v>45930</v>
      </c>
      <c r="C118">
        <v>86001283</v>
      </c>
      <c r="D118" t="s">
        <v>1141</v>
      </c>
      <c r="E118" t="s">
        <v>53</v>
      </c>
      <c r="F118" t="s">
        <v>910</v>
      </c>
      <c r="G118">
        <v>4112340</v>
      </c>
      <c r="H118" t="s">
        <v>1142</v>
      </c>
      <c r="I118" t="s">
        <v>1143</v>
      </c>
      <c r="J118">
        <v>4000006878</v>
      </c>
      <c r="K118" t="s">
        <v>47</v>
      </c>
      <c r="L118" t="s">
        <v>1161</v>
      </c>
      <c r="M118" s="42">
        <v>-693128</v>
      </c>
      <c r="N118">
        <v>6842</v>
      </c>
      <c r="O118">
        <v>9</v>
      </c>
      <c r="P118" t="s">
        <v>1145</v>
      </c>
      <c r="Q118">
        <v>2025</v>
      </c>
      <c r="R118">
        <v>3</v>
      </c>
      <c r="S118" t="s">
        <v>1146</v>
      </c>
      <c r="T118">
        <f t="shared" si="2"/>
        <v>9</v>
      </c>
      <c r="U118" t="str">
        <f t="shared" si="3"/>
        <v>43</v>
      </c>
    </row>
    <row r="119" spans="1:21">
      <c r="A119">
        <v>6130342369</v>
      </c>
      <c r="B119" s="17">
        <v>45930</v>
      </c>
      <c r="C119">
        <v>86001283</v>
      </c>
      <c r="D119" t="s">
        <v>1141</v>
      </c>
      <c r="E119" t="s">
        <v>53</v>
      </c>
      <c r="F119" t="s">
        <v>946</v>
      </c>
      <c r="G119">
        <v>4112340</v>
      </c>
      <c r="H119" t="s">
        <v>1142</v>
      </c>
      <c r="I119" t="s">
        <v>1143</v>
      </c>
      <c r="J119">
        <v>4000006878</v>
      </c>
      <c r="K119" t="s">
        <v>47</v>
      </c>
      <c r="L119" t="s">
        <v>1161</v>
      </c>
      <c r="M119" s="42">
        <v>-255252</v>
      </c>
      <c r="N119">
        <v>6842</v>
      </c>
      <c r="O119">
        <v>9</v>
      </c>
      <c r="P119" t="s">
        <v>1145</v>
      </c>
      <c r="Q119">
        <v>2025</v>
      </c>
      <c r="R119">
        <v>4</v>
      </c>
      <c r="S119" t="s">
        <v>1146</v>
      </c>
      <c r="T119">
        <f t="shared" si="2"/>
        <v>9</v>
      </c>
      <c r="U119" t="str">
        <f t="shared" si="3"/>
        <v>43</v>
      </c>
    </row>
    <row r="120" spans="1:21">
      <c r="A120">
        <v>6130342369</v>
      </c>
      <c r="B120" s="17">
        <v>45930</v>
      </c>
      <c r="C120">
        <v>86001283</v>
      </c>
      <c r="D120" t="s">
        <v>1141</v>
      </c>
      <c r="E120" t="s">
        <v>53</v>
      </c>
      <c r="F120" t="s">
        <v>902</v>
      </c>
      <c r="G120">
        <v>4110110</v>
      </c>
      <c r="H120" t="s">
        <v>1018</v>
      </c>
      <c r="I120" t="s">
        <v>1143</v>
      </c>
      <c r="J120">
        <v>4000006878</v>
      </c>
      <c r="K120" t="s">
        <v>47</v>
      </c>
      <c r="L120" t="s">
        <v>1162</v>
      </c>
      <c r="M120" s="42">
        <v>-40144</v>
      </c>
      <c r="N120">
        <v>6842</v>
      </c>
      <c r="O120">
        <v>9</v>
      </c>
      <c r="P120" t="s">
        <v>1145</v>
      </c>
      <c r="Q120">
        <v>2025</v>
      </c>
      <c r="R120">
        <v>5</v>
      </c>
      <c r="S120" t="s">
        <v>1146</v>
      </c>
      <c r="T120">
        <f t="shared" si="2"/>
        <v>9</v>
      </c>
      <c r="U120" t="str">
        <f t="shared" si="3"/>
        <v>43</v>
      </c>
    </row>
    <row r="121" spans="1:21">
      <c r="A121">
        <v>6130342369</v>
      </c>
      <c r="B121" s="17">
        <v>45930</v>
      </c>
      <c r="C121">
        <v>86001283</v>
      </c>
      <c r="D121" t="s">
        <v>1141</v>
      </c>
      <c r="E121" t="s">
        <v>53</v>
      </c>
      <c r="F121" t="s">
        <v>914</v>
      </c>
      <c r="G121">
        <v>4110110</v>
      </c>
      <c r="H121" t="s">
        <v>1018</v>
      </c>
      <c r="I121" t="s">
        <v>1143</v>
      </c>
      <c r="J121">
        <v>4000006878</v>
      </c>
      <c r="K121" t="s">
        <v>47</v>
      </c>
      <c r="L121" t="s">
        <v>1162</v>
      </c>
      <c r="M121" s="42">
        <v>-1352452</v>
      </c>
      <c r="N121">
        <v>6842</v>
      </c>
      <c r="O121">
        <v>9</v>
      </c>
      <c r="P121" t="s">
        <v>1145</v>
      </c>
      <c r="Q121">
        <v>2025</v>
      </c>
      <c r="R121">
        <v>6</v>
      </c>
      <c r="S121" t="s">
        <v>1146</v>
      </c>
      <c r="T121">
        <f t="shared" si="2"/>
        <v>9</v>
      </c>
      <c r="U121" t="str">
        <f t="shared" si="3"/>
        <v>43</v>
      </c>
    </row>
    <row r="122" spans="1:21">
      <c r="A122">
        <v>6130342369</v>
      </c>
      <c r="B122" s="17">
        <v>45930</v>
      </c>
      <c r="C122">
        <v>86001283</v>
      </c>
      <c r="D122" t="s">
        <v>1141</v>
      </c>
      <c r="E122" t="s">
        <v>53</v>
      </c>
      <c r="F122" t="s">
        <v>967</v>
      </c>
      <c r="G122">
        <v>4110110</v>
      </c>
      <c r="H122" t="s">
        <v>1018</v>
      </c>
      <c r="I122" t="s">
        <v>1143</v>
      </c>
      <c r="J122">
        <v>4000006878</v>
      </c>
      <c r="K122" t="s">
        <v>47</v>
      </c>
      <c r="L122" t="s">
        <v>1162</v>
      </c>
      <c r="M122" s="42">
        <v>-802304</v>
      </c>
      <c r="N122">
        <v>6842</v>
      </c>
      <c r="O122">
        <v>9</v>
      </c>
      <c r="P122" t="s">
        <v>1145</v>
      </c>
      <c r="Q122">
        <v>2025</v>
      </c>
      <c r="R122">
        <v>7</v>
      </c>
      <c r="S122" t="s">
        <v>1146</v>
      </c>
      <c r="T122">
        <f t="shared" si="2"/>
        <v>9</v>
      </c>
      <c r="U122" t="str">
        <f t="shared" si="3"/>
        <v>43</v>
      </c>
    </row>
    <row r="123" spans="1:21">
      <c r="A123">
        <v>6130342369</v>
      </c>
      <c r="B123" s="17">
        <v>45930</v>
      </c>
      <c r="C123">
        <v>86001283</v>
      </c>
      <c r="D123" t="s">
        <v>1141</v>
      </c>
      <c r="E123" t="s">
        <v>53</v>
      </c>
      <c r="F123" t="s">
        <v>914</v>
      </c>
      <c r="G123">
        <v>4110110</v>
      </c>
      <c r="H123" t="s">
        <v>1018</v>
      </c>
      <c r="I123" t="s">
        <v>1143</v>
      </c>
      <c r="J123">
        <v>4000006878</v>
      </c>
      <c r="K123" t="s">
        <v>47</v>
      </c>
      <c r="L123" t="s">
        <v>1162</v>
      </c>
      <c r="M123" s="42">
        <v>-580279</v>
      </c>
      <c r="N123">
        <v>6842</v>
      </c>
      <c r="O123">
        <v>9</v>
      </c>
      <c r="P123" t="s">
        <v>1145</v>
      </c>
      <c r="Q123">
        <v>2025</v>
      </c>
      <c r="R123">
        <v>8</v>
      </c>
      <c r="S123" t="s">
        <v>1146</v>
      </c>
      <c r="T123">
        <f t="shared" si="2"/>
        <v>9</v>
      </c>
      <c r="U123" t="str">
        <f t="shared" si="3"/>
        <v>43</v>
      </c>
    </row>
    <row r="124" spans="1:21">
      <c r="A124">
        <v>6130342369</v>
      </c>
      <c r="B124" s="17">
        <v>45930</v>
      </c>
      <c r="C124">
        <v>86001283</v>
      </c>
      <c r="D124" t="s">
        <v>1141</v>
      </c>
      <c r="E124" t="s">
        <v>53</v>
      </c>
      <c r="F124" t="s">
        <v>915</v>
      </c>
      <c r="G124">
        <v>4110110</v>
      </c>
      <c r="H124" t="s">
        <v>1018</v>
      </c>
      <c r="I124" t="s">
        <v>1143</v>
      </c>
      <c r="J124">
        <v>4000006878</v>
      </c>
      <c r="K124" t="s">
        <v>47</v>
      </c>
      <c r="L124" t="s">
        <v>1162</v>
      </c>
      <c r="M124" s="42">
        <v>-9206</v>
      </c>
      <c r="N124">
        <v>6842</v>
      </c>
      <c r="O124">
        <v>9</v>
      </c>
      <c r="P124" t="s">
        <v>1145</v>
      </c>
      <c r="Q124">
        <v>2025</v>
      </c>
      <c r="R124">
        <v>9</v>
      </c>
      <c r="S124" t="s">
        <v>1146</v>
      </c>
      <c r="T124">
        <f t="shared" si="2"/>
        <v>9</v>
      </c>
      <c r="U124" t="str">
        <f t="shared" si="3"/>
        <v>43</v>
      </c>
    </row>
    <row r="125" spans="1:21">
      <c r="A125">
        <v>6130342369</v>
      </c>
      <c r="B125" s="17">
        <v>45930</v>
      </c>
      <c r="C125">
        <v>86001283</v>
      </c>
      <c r="D125" t="s">
        <v>1141</v>
      </c>
      <c r="E125" t="s">
        <v>53</v>
      </c>
      <c r="F125" t="s">
        <v>902</v>
      </c>
      <c r="G125">
        <v>4110110</v>
      </c>
      <c r="H125" t="s">
        <v>1018</v>
      </c>
      <c r="I125" t="s">
        <v>1143</v>
      </c>
      <c r="J125">
        <v>4000006878</v>
      </c>
      <c r="K125" t="s">
        <v>47</v>
      </c>
      <c r="L125" t="s">
        <v>1162</v>
      </c>
      <c r="M125" s="42">
        <v>-193026</v>
      </c>
      <c r="N125">
        <v>6842</v>
      </c>
      <c r="O125">
        <v>9</v>
      </c>
      <c r="P125" t="s">
        <v>1145</v>
      </c>
      <c r="Q125">
        <v>2025</v>
      </c>
      <c r="R125">
        <v>10</v>
      </c>
      <c r="S125" t="s">
        <v>1146</v>
      </c>
      <c r="T125">
        <f t="shared" si="2"/>
        <v>9</v>
      </c>
      <c r="U125" t="str">
        <f t="shared" si="3"/>
        <v>43</v>
      </c>
    </row>
    <row r="126" spans="1:21">
      <c r="A126">
        <v>6130342369</v>
      </c>
      <c r="B126" s="17">
        <v>45930</v>
      </c>
      <c r="C126">
        <v>86001283</v>
      </c>
      <c r="D126" t="s">
        <v>1141</v>
      </c>
      <c r="E126" t="s">
        <v>53</v>
      </c>
      <c r="F126" t="s">
        <v>914</v>
      </c>
      <c r="G126">
        <v>4110110</v>
      </c>
      <c r="H126" t="s">
        <v>1018</v>
      </c>
      <c r="I126" t="s">
        <v>1143</v>
      </c>
      <c r="J126">
        <v>4000006878</v>
      </c>
      <c r="K126" t="s">
        <v>47</v>
      </c>
      <c r="L126" t="s">
        <v>1162</v>
      </c>
      <c r="M126" s="42">
        <v>-9459920</v>
      </c>
      <c r="N126">
        <v>6842</v>
      </c>
      <c r="O126">
        <v>9</v>
      </c>
      <c r="P126" t="s">
        <v>1145</v>
      </c>
      <c r="Q126">
        <v>2025</v>
      </c>
      <c r="R126">
        <v>11</v>
      </c>
      <c r="S126" t="s">
        <v>1146</v>
      </c>
      <c r="T126">
        <f t="shared" si="2"/>
        <v>9</v>
      </c>
      <c r="U126" t="str">
        <f t="shared" si="3"/>
        <v>43</v>
      </c>
    </row>
    <row r="127" spans="1:21">
      <c r="A127">
        <v>6130342369</v>
      </c>
      <c r="B127" s="17">
        <v>45930</v>
      </c>
      <c r="C127">
        <v>86001283</v>
      </c>
      <c r="D127" t="s">
        <v>1141</v>
      </c>
      <c r="E127" t="s">
        <v>53</v>
      </c>
      <c r="F127" t="s">
        <v>915</v>
      </c>
      <c r="G127">
        <v>4110110</v>
      </c>
      <c r="H127" t="s">
        <v>1018</v>
      </c>
      <c r="I127" t="s">
        <v>1143</v>
      </c>
      <c r="J127">
        <v>4000006878</v>
      </c>
      <c r="K127" t="s">
        <v>47</v>
      </c>
      <c r="L127" t="s">
        <v>1162</v>
      </c>
      <c r="M127" s="42">
        <v>-1802257</v>
      </c>
      <c r="N127">
        <v>6842</v>
      </c>
      <c r="O127">
        <v>9</v>
      </c>
      <c r="P127" t="s">
        <v>1145</v>
      </c>
      <c r="Q127">
        <v>2025</v>
      </c>
      <c r="R127">
        <v>12</v>
      </c>
      <c r="S127" t="s">
        <v>1146</v>
      </c>
      <c r="T127">
        <f t="shared" si="2"/>
        <v>9</v>
      </c>
      <c r="U127" t="str">
        <f t="shared" si="3"/>
        <v>43</v>
      </c>
    </row>
    <row r="128" spans="1:21">
      <c r="A128">
        <v>6130342369</v>
      </c>
      <c r="B128" s="17">
        <v>45930</v>
      </c>
      <c r="C128">
        <v>86001283</v>
      </c>
      <c r="D128" t="s">
        <v>1141</v>
      </c>
      <c r="E128" t="s">
        <v>53</v>
      </c>
      <c r="F128" t="s">
        <v>916</v>
      </c>
      <c r="G128">
        <v>4110110</v>
      </c>
      <c r="H128" t="s">
        <v>1018</v>
      </c>
      <c r="I128" t="s">
        <v>1143</v>
      </c>
      <c r="J128">
        <v>4000006878</v>
      </c>
      <c r="K128" t="s">
        <v>47</v>
      </c>
      <c r="L128" t="s">
        <v>1162</v>
      </c>
      <c r="M128" s="42">
        <v>-62492</v>
      </c>
      <c r="N128">
        <v>6842</v>
      </c>
      <c r="O128">
        <v>9</v>
      </c>
      <c r="P128" t="s">
        <v>1145</v>
      </c>
      <c r="Q128">
        <v>2025</v>
      </c>
      <c r="R128">
        <v>13</v>
      </c>
      <c r="S128" t="s">
        <v>1146</v>
      </c>
      <c r="T128">
        <f t="shared" si="2"/>
        <v>9</v>
      </c>
      <c r="U128" t="str">
        <f t="shared" si="3"/>
        <v>43</v>
      </c>
    </row>
    <row r="129" spans="1:21">
      <c r="A129">
        <v>6130342369</v>
      </c>
      <c r="B129" s="17">
        <v>45930</v>
      </c>
      <c r="C129">
        <v>86001283</v>
      </c>
      <c r="D129" t="s">
        <v>1141</v>
      </c>
      <c r="E129" t="s">
        <v>53</v>
      </c>
      <c r="F129" t="s">
        <v>967</v>
      </c>
      <c r="G129">
        <v>4110110</v>
      </c>
      <c r="H129" t="s">
        <v>1018</v>
      </c>
      <c r="I129" t="s">
        <v>1143</v>
      </c>
      <c r="J129">
        <v>4000006878</v>
      </c>
      <c r="K129" t="s">
        <v>47</v>
      </c>
      <c r="L129" t="s">
        <v>1162</v>
      </c>
      <c r="M129" s="42">
        <v>-379562</v>
      </c>
      <c r="N129">
        <v>6842</v>
      </c>
      <c r="O129">
        <v>9</v>
      </c>
      <c r="P129" t="s">
        <v>1145</v>
      </c>
      <c r="Q129">
        <v>2025</v>
      </c>
      <c r="R129">
        <v>14</v>
      </c>
      <c r="S129" t="s">
        <v>1146</v>
      </c>
      <c r="T129">
        <f t="shared" si="2"/>
        <v>9</v>
      </c>
      <c r="U129" t="str">
        <f t="shared" si="3"/>
        <v>43</v>
      </c>
    </row>
    <row r="130" spans="1:21">
      <c r="A130">
        <v>6130342369</v>
      </c>
      <c r="B130" s="17">
        <v>45930</v>
      </c>
      <c r="C130">
        <v>86001283</v>
      </c>
      <c r="D130" t="s">
        <v>1141</v>
      </c>
      <c r="E130" t="s">
        <v>53</v>
      </c>
      <c r="F130" t="s">
        <v>956</v>
      </c>
      <c r="G130">
        <v>4110110</v>
      </c>
      <c r="H130" t="s">
        <v>1018</v>
      </c>
      <c r="I130" t="s">
        <v>1143</v>
      </c>
      <c r="J130">
        <v>4000006878</v>
      </c>
      <c r="K130" t="s">
        <v>47</v>
      </c>
      <c r="L130" t="s">
        <v>1162</v>
      </c>
      <c r="M130" s="42">
        <v>-2765635</v>
      </c>
      <c r="N130">
        <v>6842</v>
      </c>
      <c r="O130">
        <v>9</v>
      </c>
      <c r="P130" t="s">
        <v>1145</v>
      </c>
      <c r="Q130">
        <v>2025</v>
      </c>
      <c r="R130">
        <v>15</v>
      </c>
      <c r="S130" t="s">
        <v>1146</v>
      </c>
      <c r="T130">
        <f t="shared" si="2"/>
        <v>9</v>
      </c>
      <c r="U130" t="str">
        <f t="shared" si="3"/>
        <v>43</v>
      </c>
    </row>
    <row r="131" spans="1:21">
      <c r="A131">
        <v>6130342369</v>
      </c>
      <c r="B131" s="17">
        <v>45930</v>
      </c>
      <c r="C131">
        <v>86001283</v>
      </c>
      <c r="D131" t="s">
        <v>1141</v>
      </c>
      <c r="E131" t="s">
        <v>53</v>
      </c>
      <c r="F131" t="s">
        <v>1025</v>
      </c>
      <c r="G131">
        <v>4110100</v>
      </c>
      <c r="H131" t="s">
        <v>1160</v>
      </c>
      <c r="I131" t="s">
        <v>1143</v>
      </c>
      <c r="J131">
        <v>4000006878</v>
      </c>
      <c r="K131" t="s">
        <v>47</v>
      </c>
      <c r="L131" t="s">
        <v>1152</v>
      </c>
      <c r="M131">
        <v>-1</v>
      </c>
      <c r="N131">
        <v>6842</v>
      </c>
      <c r="O131">
        <v>9</v>
      </c>
      <c r="P131" t="s">
        <v>1145</v>
      </c>
      <c r="Q131">
        <v>2025</v>
      </c>
      <c r="R131">
        <v>16</v>
      </c>
      <c r="S131" t="s">
        <v>1146</v>
      </c>
      <c r="T131">
        <f t="shared" ref="T131:T194" si="4">IFERROR(MONTH(B131),"")</f>
        <v>9</v>
      </c>
      <c r="U131" t="str">
        <f t="shared" ref="U131:U194" si="5">RIGHT(F131,2)</f>
        <v>39</v>
      </c>
    </row>
    <row r="132" spans="1:21">
      <c r="A132">
        <v>6150284352</v>
      </c>
      <c r="B132" s="17">
        <v>45959</v>
      </c>
      <c r="C132">
        <v>86001333</v>
      </c>
      <c r="D132" t="s">
        <v>1141</v>
      </c>
      <c r="E132" t="s">
        <v>53</v>
      </c>
      <c r="F132" t="s">
        <v>1038</v>
      </c>
      <c r="G132">
        <v>4110100</v>
      </c>
      <c r="H132" t="s">
        <v>1160</v>
      </c>
      <c r="I132" t="s">
        <v>1143</v>
      </c>
      <c r="J132">
        <v>4000006878</v>
      </c>
      <c r="K132" t="s">
        <v>47</v>
      </c>
      <c r="L132" t="s">
        <v>1152</v>
      </c>
      <c r="M132">
        <v>-1</v>
      </c>
      <c r="N132">
        <v>6904</v>
      </c>
      <c r="O132">
        <v>10</v>
      </c>
      <c r="P132" t="s">
        <v>1145</v>
      </c>
      <c r="Q132">
        <v>2025</v>
      </c>
      <c r="R132">
        <v>1</v>
      </c>
      <c r="S132" t="s">
        <v>1146</v>
      </c>
      <c r="T132">
        <f t="shared" si="4"/>
        <v>10</v>
      </c>
      <c r="U132" t="str">
        <f t="shared" si="5"/>
        <v>56</v>
      </c>
    </row>
    <row r="133" spans="1:21">
      <c r="A133">
        <v>6150284352</v>
      </c>
      <c r="B133" s="17">
        <v>45959</v>
      </c>
      <c r="C133">
        <v>86001333</v>
      </c>
      <c r="D133" t="s">
        <v>1141</v>
      </c>
      <c r="E133" t="s">
        <v>53</v>
      </c>
      <c r="F133" t="s">
        <v>902</v>
      </c>
      <c r="G133">
        <v>4112340</v>
      </c>
      <c r="H133" t="s">
        <v>1142</v>
      </c>
      <c r="I133" t="s">
        <v>1143</v>
      </c>
      <c r="J133">
        <v>4000006878</v>
      </c>
      <c r="K133" t="s">
        <v>47</v>
      </c>
      <c r="L133" t="s">
        <v>1163</v>
      </c>
      <c r="M133" s="42">
        <v>-1140570</v>
      </c>
      <c r="N133">
        <v>6904</v>
      </c>
      <c r="O133">
        <v>10</v>
      </c>
      <c r="P133" t="s">
        <v>1145</v>
      </c>
      <c r="Q133">
        <v>2025</v>
      </c>
      <c r="R133">
        <v>2</v>
      </c>
      <c r="S133" t="s">
        <v>1146</v>
      </c>
      <c r="T133">
        <f t="shared" si="4"/>
        <v>10</v>
      </c>
      <c r="U133" t="str">
        <f t="shared" si="5"/>
        <v>43</v>
      </c>
    </row>
    <row r="134" spans="1:21">
      <c r="A134">
        <v>6150284352</v>
      </c>
      <c r="B134" s="17">
        <v>45959</v>
      </c>
      <c r="C134">
        <v>86001333</v>
      </c>
      <c r="D134" t="s">
        <v>1141</v>
      </c>
      <c r="E134" t="s">
        <v>53</v>
      </c>
      <c r="F134" t="s">
        <v>908</v>
      </c>
      <c r="G134">
        <v>4112340</v>
      </c>
      <c r="H134" t="s">
        <v>1142</v>
      </c>
      <c r="I134" t="s">
        <v>1143</v>
      </c>
      <c r="J134">
        <v>4000006878</v>
      </c>
      <c r="K134" t="s">
        <v>47</v>
      </c>
      <c r="L134" t="s">
        <v>1163</v>
      </c>
      <c r="M134" s="42">
        <v>-885706</v>
      </c>
      <c r="N134">
        <v>6904</v>
      </c>
      <c r="O134">
        <v>10</v>
      </c>
      <c r="P134" t="s">
        <v>1145</v>
      </c>
      <c r="Q134">
        <v>2025</v>
      </c>
      <c r="R134">
        <v>3</v>
      </c>
      <c r="S134" t="s">
        <v>1146</v>
      </c>
      <c r="T134">
        <f t="shared" si="4"/>
        <v>10</v>
      </c>
      <c r="U134" t="str">
        <f t="shared" si="5"/>
        <v>43</v>
      </c>
    </row>
    <row r="135" spans="1:21">
      <c r="A135">
        <v>6150284352</v>
      </c>
      <c r="B135" s="17">
        <v>45959</v>
      </c>
      <c r="C135">
        <v>86001333</v>
      </c>
      <c r="D135" t="s">
        <v>1141</v>
      </c>
      <c r="E135" t="s">
        <v>53</v>
      </c>
      <c r="F135" t="s">
        <v>910</v>
      </c>
      <c r="G135">
        <v>4112340</v>
      </c>
      <c r="H135" t="s">
        <v>1142</v>
      </c>
      <c r="I135" t="s">
        <v>1143</v>
      </c>
      <c r="J135">
        <v>4000006878</v>
      </c>
      <c r="K135" t="s">
        <v>47</v>
      </c>
      <c r="L135" t="s">
        <v>1163</v>
      </c>
      <c r="M135" s="42">
        <v>-651566</v>
      </c>
      <c r="N135">
        <v>6904</v>
      </c>
      <c r="O135">
        <v>10</v>
      </c>
      <c r="P135" t="s">
        <v>1145</v>
      </c>
      <c r="Q135">
        <v>2025</v>
      </c>
      <c r="R135">
        <v>4</v>
      </c>
      <c r="S135" t="s">
        <v>1146</v>
      </c>
      <c r="T135">
        <f t="shared" si="4"/>
        <v>10</v>
      </c>
      <c r="U135" t="str">
        <f t="shared" si="5"/>
        <v>43</v>
      </c>
    </row>
    <row r="136" spans="1:21">
      <c r="A136">
        <v>6150284352</v>
      </c>
      <c r="B136" s="17">
        <v>45959</v>
      </c>
      <c r="C136">
        <v>86001333</v>
      </c>
      <c r="D136" t="s">
        <v>1141</v>
      </c>
      <c r="E136" t="s">
        <v>53</v>
      </c>
      <c r="F136" t="s">
        <v>909</v>
      </c>
      <c r="G136">
        <v>4112340</v>
      </c>
      <c r="H136" t="s">
        <v>1142</v>
      </c>
      <c r="I136" t="s">
        <v>1143</v>
      </c>
      <c r="J136">
        <v>4000006878</v>
      </c>
      <c r="K136" t="s">
        <v>47</v>
      </c>
      <c r="L136" t="s">
        <v>1163</v>
      </c>
      <c r="M136" s="42">
        <v>-162825</v>
      </c>
      <c r="N136">
        <v>6904</v>
      </c>
      <c r="O136">
        <v>10</v>
      </c>
      <c r="P136" t="s">
        <v>1145</v>
      </c>
      <c r="Q136">
        <v>2025</v>
      </c>
      <c r="R136">
        <v>5</v>
      </c>
      <c r="S136" t="s">
        <v>1146</v>
      </c>
      <c r="T136">
        <f t="shared" si="4"/>
        <v>10</v>
      </c>
      <c r="U136" t="str">
        <f t="shared" si="5"/>
        <v>43</v>
      </c>
    </row>
    <row r="137" spans="1:21">
      <c r="A137">
        <v>6150284352</v>
      </c>
      <c r="B137" s="17">
        <v>45959</v>
      </c>
      <c r="C137">
        <v>86001333</v>
      </c>
      <c r="D137" t="s">
        <v>1141</v>
      </c>
      <c r="E137" t="s">
        <v>53</v>
      </c>
      <c r="F137" t="s">
        <v>914</v>
      </c>
      <c r="G137">
        <v>4110110</v>
      </c>
      <c r="H137" t="s">
        <v>1018</v>
      </c>
      <c r="I137" t="s">
        <v>1143</v>
      </c>
      <c r="J137">
        <v>4000006878</v>
      </c>
      <c r="K137" t="s">
        <v>47</v>
      </c>
      <c r="L137" t="s">
        <v>1164</v>
      </c>
      <c r="M137" s="42">
        <v>-3897716</v>
      </c>
      <c r="N137">
        <v>6904</v>
      </c>
      <c r="O137">
        <v>10</v>
      </c>
      <c r="P137" t="s">
        <v>1145</v>
      </c>
      <c r="Q137">
        <v>2025</v>
      </c>
      <c r="R137">
        <v>6</v>
      </c>
      <c r="S137" t="s">
        <v>1146</v>
      </c>
      <c r="T137">
        <f t="shared" si="4"/>
        <v>10</v>
      </c>
      <c r="U137" t="str">
        <f t="shared" si="5"/>
        <v>43</v>
      </c>
    </row>
    <row r="138" spans="1:21">
      <c r="A138">
        <v>6150284352</v>
      </c>
      <c r="B138" s="17">
        <v>45959</v>
      </c>
      <c r="C138">
        <v>86001333</v>
      </c>
      <c r="D138" t="s">
        <v>1141</v>
      </c>
      <c r="E138" t="s">
        <v>53</v>
      </c>
      <c r="F138" t="s">
        <v>915</v>
      </c>
      <c r="G138">
        <v>4110110</v>
      </c>
      <c r="H138" t="s">
        <v>1018</v>
      </c>
      <c r="I138" t="s">
        <v>1143</v>
      </c>
      <c r="J138">
        <v>4000006878</v>
      </c>
      <c r="K138" t="s">
        <v>47</v>
      </c>
      <c r="L138" t="s">
        <v>1164</v>
      </c>
      <c r="M138" s="42">
        <v>-53288</v>
      </c>
      <c r="N138">
        <v>6904</v>
      </c>
      <c r="O138">
        <v>10</v>
      </c>
      <c r="P138" t="s">
        <v>1145</v>
      </c>
      <c r="Q138">
        <v>2025</v>
      </c>
      <c r="R138">
        <v>7</v>
      </c>
      <c r="S138" t="s">
        <v>1146</v>
      </c>
      <c r="T138">
        <f t="shared" si="4"/>
        <v>10</v>
      </c>
      <c r="U138" t="str">
        <f t="shared" si="5"/>
        <v>43</v>
      </c>
    </row>
    <row r="139" spans="1:21">
      <c r="A139">
        <v>6150284352</v>
      </c>
      <c r="B139" s="17">
        <v>45959</v>
      </c>
      <c r="C139">
        <v>86001333</v>
      </c>
      <c r="D139" t="s">
        <v>1141</v>
      </c>
      <c r="E139" t="s">
        <v>53</v>
      </c>
      <c r="F139" t="s">
        <v>914</v>
      </c>
      <c r="G139">
        <v>4110110</v>
      </c>
      <c r="H139" t="s">
        <v>1018</v>
      </c>
      <c r="I139" t="s">
        <v>1143</v>
      </c>
      <c r="J139">
        <v>4000006878</v>
      </c>
      <c r="K139" t="s">
        <v>47</v>
      </c>
      <c r="L139" t="s">
        <v>1164</v>
      </c>
      <c r="M139" s="42">
        <v>-213602</v>
      </c>
      <c r="N139">
        <v>6904</v>
      </c>
      <c r="O139">
        <v>10</v>
      </c>
      <c r="P139" t="s">
        <v>1145</v>
      </c>
      <c r="Q139">
        <v>2025</v>
      </c>
      <c r="R139">
        <v>8</v>
      </c>
      <c r="S139" t="s">
        <v>1146</v>
      </c>
      <c r="T139">
        <f t="shared" si="4"/>
        <v>10</v>
      </c>
      <c r="U139" t="str">
        <f t="shared" si="5"/>
        <v>43</v>
      </c>
    </row>
    <row r="140" spans="1:21">
      <c r="A140">
        <v>6150284352</v>
      </c>
      <c r="B140" s="17">
        <v>45959</v>
      </c>
      <c r="C140">
        <v>86001333</v>
      </c>
      <c r="D140" t="s">
        <v>1141</v>
      </c>
      <c r="E140" t="s">
        <v>53</v>
      </c>
      <c r="F140" t="s">
        <v>916</v>
      </c>
      <c r="G140">
        <v>4110110</v>
      </c>
      <c r="H140" t="s">
        <v>1018</v>
      </c>
      <c r="I140" t="s">
        <v>1143</v>
      </c>
      <c r="J140">
        <v>4000006878</v>
      </c>
      <c r="K140" t="s">
        <v>47</v>
      </c>
      <c r="L140" t="s">
        <v>1164</v>
      </c>
      <c r="M140" s="42">
        <v>-107693</v>
      </c>
      <c r="N140">
        <v>6904</v>
      </c>
      <c r="O140">
        <v>10</v>
      </c>
      <c r="P140" t="s">
        <v>1145</v>
      </c>
      <c r="Q140">
        <v>2025</v>
      </c>
      <c r="R140">
        <v>9</v>
      </c>
      <c r="S140" t="s">
        <v>1146</v>
      </c>
      <c r="T140">
        <f t="shared" si="4"/>
        <v>10</v>
      </c>
      <c r="U140" t="str">
        <f t="shared" si="5"/>
        <v>43</v>
      </c>
    </row>
    <row r="141" spans="1:21">
      <c r="A141">
        <v>6150284352</v>
      </c>
      <c r="B141" s="17">
        <v>45959</v>
      </c>
      <c r="C141">
        <v>86001333</v>
      </c>
      <c r="D141" t="s">
        <v>1141</v>
      </c>
      <c r="E141" t="s">
        <v>53</v>
      </c>
      <c r="F141" t="s">
        <v>956</v>
      </c>
      <c r="G141">
        <v>4110110</v>
      </c>
      <c r="H141" t="s">
        <v>1018</v>
      </c>
      <c r="I141" t="s">
        <v>1143</v>
      </c>
      <c r="J141">
        <v>4000006878</v>
      </c>
      <c r="K141" t="s">
        <v>47</v>
      </c>
      <c r="L141" t="s">
        <v>1164</v>
      </c>
      <c r="M141" s="42">
        <v>-23181</v>
      </c>
      <c r="N141">
        <v>6904</v>
      </c>
      <c r="O141">
        <v>10</v>
      </c>
      <c r="P141" t="s">
        <v>1145</v>
      </c>
      <c r="Q141">
        <v>2025</v>
      </c>
      <c r="R141">
        <v>10</v>
      </c>
      <c r="S141" t="s">
        <v>1146</v>
      </c>
      <c r="T141">
        <f t="shared" si="4"/>
        <v>10</v>
      </c>
      <c r="U141" t="str">
        <f t="shared" si="5"/>
        <v>43</v>
      </c>
    </row>
    <row r="142" spans="1:21">
      <c r="A142">
        <v>6150284352</v>
      </c>
      <c r="B142" s="17">
        <v>45959</v>
      </c>
      <c r="C142">
        <v>86001333</v>
      </c>
      <c r="D142" t="s">
        <v>1141</v>
      </c>
      <c r="E142" t="s">
        <v>53</v>
      </c>
      <c r="F142" t="s">
        <v>902</v>
      </c>
      <c r="G142">
        <v>4110110</v>
      </c>
      <c r="H142" t="s">
        <v>1018</v>
      </c>
      <c r="I142" t="s">
        <v>1143</v>
      </c>
      <c r="J142">
        <v>4000006878</v>
      </c>
      <c r="K142" t="s">
        <v>47</v>
      </c>
      <c r="L142" t="s">
        <v>1164</v>
      </c>
      <c r="M142" s="42">
        <v>-117346</v>
      </c>
      <c r="N142">
        <v>6904</v>
      </c>
      <c r="O142">
        <v>10</v>
      </c>
      <c r="P142" t="s">
        <v>1145</v>
      </c>
      <c r="Q142">
        <v>2025</v>
      </c>
      <c r="R142">
        <v>11</v>
      </c>
      <c r="S142" t="s">
        <v>1146</v>
      </c>
      <c r="T142">
        <f t="shared" si="4"/>
        <v>10</v>
      </c>
      <c r="U142" t="str">
        <f t="shared" si="5"/>
        <v>43</v>
      </c>
    </row>
    <row r="143" spans="1:21">
      <c r="A143">
        <v>6150284352</v>
      </c>
      <c r="B143" s="17">
        <v>45959</v>
      </c>
      <c r="C143">
        <v>86001333</v>
      </c>
      <c r="D143" t="s">
        <v>1141</v>
      </c>
      <c r="E143" t="s">
        <v>53</v>
      </c>
      <c r="F143" t="s">
        <v>914</v>
      </c>
      <c r="G143">
        <v>4110110</v>
      </c>
      <c r="H143" t="s">
        <v>1018</v>
      </c>
      <c r="I143" t="s">
        <v>1143</v>
      </c>
      <c r="J143">
        <v>4000006878</v>
      </c>
      <c r="K143" t="s">
        <v>47</v>
      </c>
      <c r="L143" t="s">
        <v>1164</v>
      </c>
      <c r="M143" s="42">
        <v>-9852648</v>
      </c>
      <c r="N143">
        <v>6904</v>
      </c>
      <c r="O143">
        <v>10</v>
      </c>
      <c r="P143" t="s">
        <v>1145</v>
      </c>
      <c r="Q143">
        <v>2025</v>
      </c>
      <c r="R143">
        <v>12</v>
      </c>
      <c r="S143" t="s">
        <v>1146</v>
      </c>
      <c r="T143">
        <f t="shared" si="4"/>
        <v>10</v>
      </c>
      <c r="U143" t="str">
        <f t="shared" si="5"/>
        <v>43</v>
      </c>
    </row>
    <row r="144" spans="1:21">
      <c r="A144">
        <v>6150284352</v>
      </c>
      <c r="B144" s="17">
        <v>45959</v>
      </c>
      <c r="C144">
        <v>86001333</v>
      </c>
      <c r="D144" t="s">
        <v>1141</v>
      </c>
      <c r="E144" t="s">
        <v>53</v>
      </c>
      <c r="F144" t="s">
        <v>915</v>
      </c>
      <c r="G144">
        <v>4110110</v>
      </c>
      <c r="H144" t="s">
        <v>1018</v>
      </c>
      <c r="I144" t="s">
        <v>1143</v>
      </c>
      <c r="J144">
        <v>4000006878</v>
      </c>
      <c r="K144" t="s">
        <v>47</v>
      </c>
      <c r="L144" t="s">
        <v>1164</v>
      </c>
      <c r="M144" s="42">
        <v>-2610614</v>
      </c>
      <c r="N144">
        <v>6904</v>
      </c>
      <c r="O144">
        <v>10</v>
      </c>
      <c r="P144" t="s">
        <v>1145</v>
      </c>
      <c r="Q144">
        <v>2025</v>
      </c>
      <c r="R144">
        <v>13</v>
      </c>
      <c r="S144" t="s">
        <v>1146</v>
      </c>
      <c r="T144">
        <f t="shared" si="4"/>
        <v>10</v>
      </c>
      <c r="U144" t="str">
        <f t="shared" si="5"/>
        <v>43</v>
      </c>
    </row>
    <row r="145" spans="1:21">
      <c r="A145">
        <v>6150284352</v>
      </c>
      <c r="B145" s="17">
        <v>45959</v>
      </c>
      <c r="C145">
        <v>86001333</v>
      </c>
      <c r="D145" t="s">
        <v>1141</v>
      </c>
      <c r="E145" t="s">
        <v>53</v>
      </c>
      <c r="F145" t="s">
        <v>916</v>
      </c>
      <c r="G145">
        <v>4110110</v>
      </c>
      <c r="H145" t="s">
        <v>1018</v>
      </c>
      <c r="I145" t="s">
        <v>1143</v>
      </c>
      <c r="J145">
        <v>4000006878</v>
      </c>
      <c r="K145" t="s">
        <v>47</v>
      </c>
      <c r="L145" t="s">
        <v>1164</v>
      </c>
      <c r="M145" s="42">
        <v>-208123</v>
      </c>
      <c r="N145">
        <v>6904</v>
      </c>
      <c r="O145">
        <v>10</v>
      </c>
      <c r="P145" t="s">
        <v>1145</v>
      </c>
      <c r="Q145">
        <v>2025</v>
      </c>
      <c r="R145">
        <v>14</v>
      </c>
      <c r="S145" t="s">
        <v>1146</v>
      </c>
      <c r="T145">
        <f t="shared" si="4"/>
        <v>10</v>
      </c>
      <c r="U145" t="str">
        <f t="shared" si="5"/>
        <v>43</v>
      </c>
    </row>
    <row r="146" spans="1:21">
      <c r="A146">
        <v>6150284352</v>
      </c>
      <c r="B146" s="17">
        <v>45959</v>
      </c>
      <c r="C146">
        <v>86001333</v>
      </c>
      <c r="D146" t="s">
        <v>1141</v>
      </c>
      <c r="E146" t="s">
        <v>53</v>
      </c>
      <c r="F146" t="s">
        <v>967</v>
      </c>
      <c r="G146">
        <v>4110110</v>
      </c>
      <c r="H146" t="s">
        <v>1018</v>
      </c>
      <c r="I146" t="s">
        <v>1143</v>
      </c>
      <c r="J146">
        <v>4000006878</v>
      </c>
      <c r="K146" t="s">
        <v>47</v>
      </c>
      <c r="L146" t="s">
        <v>1164</v>
      </c>
      <c r="M146" s="42">
        <v>-311947</v>
      </c>
      <c r="N146">
        <v>6904</v>
      </c>
      <c r="O146">
        <v>10</v>
      </c>
      <c r="P146" t="s">
        <v>1145</v>
      </c>
      <c r="Q146">
        <v>2025</v>
      </c>
      <c r="R146">
        <v>15</v>
      </c>
      <c r="S146" t="s">
        <v>1146</v>
      </c>
      <c r="T146">
        <f t="shared" si="4"/>
        <v>10</v>
      </c>
      <c r="U146" t="str">
        <f t="shared" si="5"/>
        <v>43</v>
      </c>
    </row>
    <row r="147" spans="1:21">
      <c r="A147">
        <v>6150284352</v>
      </c>
      <c r="B147" s="17">
        <v>45959</v>
      </c>
      <c r="C147">
        <v>86001333</v>
      </c>
      <c r="D147" t="s">
        <v>1141</v>
      </c>
      <c r="E147" t="s">
        <v>53</v>
      </c>
      <c r="F147" t="s">
        <v>956</v>
      </c>
      <c r="G147">
        <v>4110110</v>
      </c>
      <c r="H147" t="s">
        <v>1018</v>
      </c>
      <c r="I147" t="s">
        <v>1143</v>
      </c>
      <c r="J147">
        <v>4000006878</v>
      </c>
      <c r="K147" t="s">
        <v>47</v>
      </c>
      <c r="L147" t="s">
        <v>1164</v>
      </c>
      <c r="M147" s="42">
        <v>-1011169</v>
      </c>
      <c r="N147">
        <v>6904</v>
      </c>
      <c r="O147">
        <v>10</v>
      </c>
      <c r="P147" t="s">
        <v>1145</v>
      </c>
      <c r="Q147">
        <v>2025</v>
      </c>
      <c r="R147">
        <v>16</v>
      </c>
      <c r="S147" t="s">
        <v>1146</v>
      </c>
      <c r="T147">
        <f t="shared" si="4"/>
        <v>10</v>
      </c>
      <c r="U147" t="str">
        <f t="shared" si="5"/>
        <v>43</v>
      </c>
    </row>
    <row r="148" spans="1:21">
      <c r="A148">
        <v>6150284352</v>
      </c>
      <c r="B148" s="17">
        <v>45959</v>
      </c>
      <c r="C148">
        <v>86001333</v>
      </c>
      <c r="D148" t="s">
        <v>1141</v>
      </c>
      <c r="E148" t="s">
        <v>53</v>
      </c>
      <c r="F148" t="s">
        <v>946</v>
      </c>
      <c r="G148">
        <v>4110110</v>
      </c>
      <c r="H148" t="s">
        <v>1018</v>
      </c>
      <c r="I148" t="s">
        <v>1143</v>
      </c>
      <c r="J148">
        <v>4000006878</v>
      </c>
      <c r="K148" t="s">
        <v>47</v>
      </c>
      <c r="L148" t="s">
        <v>1164</v>
      </c>
      <c r="M148" s="42">
        <v>-106581</v>
      </c>
      <c r="N148">
        <v>6904</v>
      </c>
      <c r="O148">
        <v>10</v>
      </c>
      <c r="P148" t="s">
        <v>1145</v>
      </c>
      <c r="Q148">
        <v>2025</v>
      </c>
      <c r="R148">
        <v>17</v>
      </c>
      <c r="S148" t="s">
        <v>1146</v>
      </c>
      <c r="T148">
        <f t="shared" si="4"/>
        <v>10</v>
      </c>
      <c r="U148" t="str">
        <f t="shared" si="5"/>
        <v>43</v>
      </c>
    </row>
    <row r="149" spans="1:21">
      <c r="A149">
        <v>6150284352</v>
      </c>
      <c r="B149" s="17">
        <v>45959</v>
      </c>
      <c r="C149">
        <v>86001333</v>
      </c>
      <c r="D149" t="s">
        <v>1141</v>
      </c>
      <c r="E149" t="s">
        <v>53</v>
      </c>
      <c r="F149" t="s">
        <v>955</v>
      </c>
      <c r="G149">
        <v>4110110</v>
      </c>
      <c r="H149" t="s">
        <v>1018</v>
      </c>
      <c r="I149" t="s">
        <v>1143</v>
      </c>
      <c r="J149">
        <v>4000006878</v>
      </c>
      <c r="K149" t="s">
        <v>47</v>
      </c>
      <c r="L149" t="s">
        <v>1164</v>
      </c>
      <c r="M149" s="42">
        <v>-749317</v>
      </c>
      <c r="N149">
        <v>6904</v>
      </c>
      <c r="O149">
        <v>10</v>
      </c>
      <c r="P149" t="s">
        <v>1145</v>
      </c>
      <c r="Q149">
        <v>2025</v>
      </c>
      <c r="R149">
        <v>18</v>
      </c>
      <c r="S149" t="s">
        <v>1146</v>
      </c>
      <c r="T149">
        <f t="shared" si="4"/>
        <v>10</v>
      </c>
      <c r="U149" t="str">
        <f t="shared" si="5"/>
        <v>43</v>
      </c>
    </row>
    <row r="150" spans="1:21">
      <c r="A150">
        <v>6150284352</v>
      </c>
      <c r="B150" s="17">
        <v>45959</v>
      </c>
      <c r="C150">
        <v>86001333</v>
      </c>
      <c r="D150" t="s">
        <v>1141</v>
      </c>
      <c r="E150" t="s">
        <v>53</v>
      </c>
      <c r="F150" t="s">
        <v>949</v>
      </c>
      <c r="G150">
        <v>4110110</v>
      </c>
      <c r="H150" t="s">
        <v>1018</v>
      </c>
      <c r="I150" t="s">
        <v>1143</v>
      </c>
      <c r="J150">
        <v>4000006878</v>
      </c>
      <c r="K150" t="s">
        <v>47</v>
      </c>
      <c r="L150" t="s">
        <v>1164</v>
      </c>
      <c r="M150" s="42">
        <v>-48017</v>
      </c>
      <c r="N150">
        <v>6904</v>
      </c>
      <c r="O150">
        <v>10</v>
      </c>
      <c r="P150" t="s">
        <v>1145</v>
      </c>
      <c r="Q150">
        <v>2025</v>
      </c>
      <c r="R150">
        <v>19</v>
      </c>
      <c r="S150" t="s">
        <v>1146</v>
      </c>
      <c r="T150">
        <f t="shared" si="4"/>
        <v>10</v>
      </c>
      <c r="U150" t="str">
        <f t="shared" si="5"/>
        <v>43</v>
      </c>
    </row>
    <row r="151" spans="1:21">
      <c r="A151">
        <v>6170421600</v>
      </c>
      <c r="B151" s="17">
        <v>45988</v>
      </c>
      <c r="C151">
        <v>86001446</v>
      </c>
      <c r="D151" t="s">
        <v>1141</v>
      </c>
      <c r="E151" t="s">
        <v>53</v>
      </c>
      <c r="F151" t="s">
        <v>902</v>
      </c>
      <c r="G151">
        <v>4112340</v>
      </c>
      <c r="H151" t="s">
        <v>1142</v>
      </c>
      <c r="I151" t="s">
        <v>1143</v>
      </c>
      <c r="J151">
        <v>4000006878</v>
      </c>
      <c r="K151" t="s">
        <v>47</v>
      </c>
      <c r="L151" t="s">
        <v>1165</v>
      </c>
      <c r="M151" s="42">
        <v>-492265</v>
      </c>
      <c r="N151">
        <v>6965</v>
      </c>
      <c r="O151">
        <v>11</v>
      </c>
      <c r="P151" t="s">
        <v>1145</v>
      </c>
      <c r="Q151">
        <v>2025</v>
      </c>
      <c r="R151">
        <v>1</v>
      </c>
      <c r="S151" t="s">
        <v>1146</v>
      </c>
      <c r="T151">
        <f t="shared" si="4"/>
        <v>11</v>
      </c>
      <c r="U151" t="str">
        <f t="shared" si="5"/>
        <v>43</v>
      </c>
    </row>
    <row r="152" spans="1:21">
      <c r="A152">
        <v>6170421600</v>
      </c>
      <c r="B152" s="17">
        <v>45988</v>
      </c>
      <c r="C152">
        <v>86001446</v>
      </c>
      <c r="D152" t="s">
        <v>1141</v>
      </c>
      <c r="E152" t="s">
        <v>53</v>
      </c>
      <c r="F152" t="s">
        <v>908</v>
      </c>
      <c r="G152">
        <v>4112340</v>
      </c>
      <c r="H152" t="s">
        <v>1142</v>
      </c>
      <c r="I152" t="s">
        <v>1143</v>
      </c>
      <c r="J152">
        <v>4000006878</v>
      </c>
      <c r="K152" t="s">
        <v>47</v>
      </c>
      <c r="L152" t="s">
        <v>1165</v>
      </c>
      <c r="M152" s="42">
        <v>-564355</v>
      </c>
      <c r="N152">
        <v>6965</v>
      </c>
      <c r="O152">
        <v>11</v>
      </c>
      <c r="P152" t="s">
        <v>1145</v>
      </c>
      <c r="Q152">
        <v>2025</v>
      </c>
      <c r="R152">
        <v>2</v>
      </c>
      <c r="S152" t="s">
        <v>1146</v>
      </c>
      <c r="T152">
        <f t="shared" si="4"/>
        <v>11</v>
      </c>
      <c r="U152" t="str">
        <f t="shared" si="5"/>
        <v>43</v>
      </c>
    </row>
    <row r="153" spans="1:21">
      <c r="A153">
        <v>6170421600</v>
      </c>
      <c r="B153" s="17">
        <v>45988</v>
      </c>
      <c r="C153">
        <v>86001446</v>
      </c>
      <c r="D153" t="s">
        <v>1141</v>
      </c>
      <c r="E153" t="s">
        <v>53</v>
      </c>
      <c r="F153" t="s">
        <v>910</v>
      </c>
      <c r="G153">
        <v>4112340</v>
      </c>
      <c r="H153" t="s">
        <v>1142</v>
      </c>
      <c r="I153" t="s">
        <v>1143</v>
      </c>
      <c r="J153">
        <v>4000006878</v>
      </c>
      <c r="K153" t="s">
        <v>47</v>
      </c>
      <c r="L153" t="s">
        <v>1165</v>
      </c>
      <c r="M153" s="42">
        <v>-357945</v>
      </c>
      <c r="N153">
        <v>6965</v>
      </c>
      <c r="O153">
        <v>11</v>
      </c>
      <c r="P153" t="s">
        <v>1145</v>
      </c>
      <c r="Q153">
        <v>2025</v>
      </c>
      <c r="R153">
        <v>3</v>
      </c>
      <c r="S153" t="s">
        <v>1146</v>
      </c>
      <c r="T153">
        <f t="shared" si="4"/>
        <v>11</v>
      </c>
      <c r="U153" t="str">
        <f t="shared" si="5"/>
        <v>43</v>
      </c>
    </row>
    <row r="154" spans="1:21">
      <c r="A154">
        <v>6170421600</v>
      </c>
      <c r="B154" s="17">
        <v>45988</v>
      </c>
      <c r="C154">
        <v>86001446</v>
      </c>
      <c r="D154" t="s">
        <v>1141</v>
      </c>
      <c r="E154" t="s">
        <v>53</v>
      </c>
      <c r="F154" t="s">
        <v>967</v>
      </c>
      <c r="G154">
        <v>4112340</v>
      </c>
      <c r="H154" t="s">
        <v>1142</v>
      </c>
      <c r="I154" t="s">
        <v>1143</v>
      </c>
      <c r="J154">
        <v>4000006878</v>
      </c>
      <c r="K154" t="s">
        <v>47</v>
      </c>
      <c r="L154" t="s">
        <v>1165</v>
      </c>
      <c r="M154" s="42">
        <v>-4554</v>
      </c>
      <c r="N154">
        <v>6965</v>
      </c>
      <c r="O154">
        <v>11</v>
      </c>
      <c r="P154" t="s">
        <v>1145</v>
      </c>
      <c r="Q154">
        <v>2025</v>
      </c>
      <c r="R154">
        <v>4</v>
      </c>
      <c r="S154" t="s">
        <v>1146</v>
      </c>
      <c r="T154">
        <f t="shared" si="4"/>
        <v>11</v>
      </c>
      <c r="U154" t="str">
        <f t="shared" si="5"/>
        <v>43</v>
      </c>
    </row>
    <row r="155" spans="1:21">
      <c r="A155">
        <v>6170421600</v>
      </c>
      <c r="B155" s="17">
        <v>45988</v>
      </c>
      <c r="C155">
        <v>86001446</v>
      </c>
      <c r="D155" t="s">
        <v>1141</v>
      </c>
      <c r="E155" t="s">
        <v>53</v>
      </c>
      <c r="F155" t="s">
        <v>909</v>
      </c>
      <c r="G155">
        <v>4112340</v>
      </c>
      <c r="H155" t="s">
        <v>1142</v>
      </c>
      <c r="I155" t="s">
        <v>1143</v>
      </c>
      <c r="J155">
        <v>4000006878</v>
      </c>
      <c r="K155" t="s">
        <v>47</v>
      </c>
      <c r="L155" t="s">
        <v>1165</v>
      </c>
      <c r="M155" s="42">
        <v>-137073</v>
      </c>
      <c r="N155">
        <v>6965</v>
      </c>
      <c r="O155">
        <v>11</v>
      </c>
      <c r="P155" t="s">
        <v>1145</v>
      </c>
      <c r="Q155">
        <v>2025</v>
      </c>
      <c r="R155">
        <v>5</v>
      </c>
      <c r="S155" t="s">
        <v>1146</v>
      </c>
      <c r="T155">
        <f t="shared" si="4"/>
        <v>11</v>
      </c>
      <c r="U155" t="str">
        <f t="shared" si="5"/>
        <v>43</v>
      </c>
    </row>
    <row r="156" spans="1:21">
      <c r="A156">
        <v>6170421600</v>
      </c>
      <c r="B156" s="17">
        <v>45988</v>
      </c>
      <c r="C156">
        <v>86001446</v>
      </c>
      <c r="D156" t="s">
        <v>1141</v>
      </c>
      <c r="E156" t="s">
        <v>53</v>
      </c>
      <c r="F156" t="s">
        <v>914</v>
      </c>
      <c r="G156">
        <v>4110110</v>
      </c>
      <c r="H156" t="s">
        <v>1018</v>
      </c>
      <c r="I156" t="s">
        <v>1143</v>
      </c>
      <c r="J156">
        <v>4000006878</v>
      </c>
      <c r="K156" t="s">
        <v>47</v>
      </c>
      <c r="L156" t="s">
        <v>1166</v>
      </c>
      <c r="M156" s="42">
        <v>-386615</v>
      </c>
      <c r="N156">
        <v>6965</v>
      </c>
      <c r="O156">
        <v>11</v>
      </c>
      <c r="P156" t="s">
        <v>1145</v>
      </c>
      <c r="Q156">
        <v>2025</v>
      </c>
      <c r="R156">
        <v>6</v>
      </c>
      <c r="S156" t="s">
        <v>1146</v>
      </c>
      <c r="T156">
        <f t="shared" si="4"/>
        <v>11</v>
      </c>
      <c r="U156" t="str">
        <f t="shared" si="5"/>
        <v>43</v>
      </c>
    </row>
    <row r="157" spans="1:21">
      <c r="A157">
        <v>6170421600</v>
      </c>
      <c r="B157" s="17">
        <v>45988</v>
      </c>
      <c r="C157">
        <v>86001446</v>
      </c>
      <c r="D157" t="s">
        <v>1141</v>
      </c>
      <c r="E157" t="s">
        <v>53</v>
      </c>
      <c r="F157" t="s">
        <v>914</v>
      </c>
      <c r="G157">
        <v>4110110</v>
      </c>
      <c r="H157" t="s">
        <v>1018</v>
      </c>
      <c r="I157" t="s">
        <v>1143</v>
      </c>
      <c r="J157">
        <v>4000006878</v>
      </c>
      <c r="K157" t="s">
        <v>47</v>
      </c>
      <c r="L157" t="s">
        <v>1166</v>
      </c>
      <c r="M157" s="42">
        <v>-167535</v>
      </c>
      <c r="N157">
        <v>6965</v>
      </c>
      <c r="O157">
        <v>11</v>
      </c>
      <c r="P157" t="s">
        <v>1145</v>
      </c>
      <c r="Q157">
        <v>2025</v>
      </c>
      <c r="R157">
        <v>7</v>
      </c>
      <c r="S157" t="s">
        <v>1146</v>
      </c>
      <c r="T157">
        <f t="shared" si="4"/>
        <v>11</v>
      </c>
      <c r="U157" t="str">
        <f t="shared" si="5"/>
        <v>43</v>
      </c>
    </row>
    <row r="158" spans="1:21">
      <c r="A158">
        <v>6170421600</v>
      </c>
      <c r="B158" s="17">
        <v>45988</v>
      </c>
      <c r="C158">
        <v>86001446</v>
      </c>
      <c r="D158" t="s">
        <v>1141</v>
      </c>
      <c r="E158" t="s">
        <v>53</v>
      </c>
      <c r="F158" t="s">
        <v>967</v>
      </c>
      <c r="G158">
        <v>4110110</v>
      </c>
      <c r="H158" t="s">
        <v>1018</v>
      </c>
      <c r="I158" t="s">
        <v>1143</v>
      </c>
      <c r="J158">
        <v>4000006878</v>
      </c>
      <c r="K158" t="s">
        <v>47</v>
      </c>
      <c r="L158" t="s">
        <v>1166</v>
      </c>
      <c r="M158" s="42">
        <v>-45907</v>
      </c>
      <c r="N158">
        <v>6965</v>
      </c>
      <c r="O158">
        <v>11</v>
      </c>
      <c r="P158" t="s">
        <v>1145</v>
      </c>
      <c r="Q158">
        <v>2025</v>
      </c>
      <c r="R158">
        <v>8</v>
      </c>
      <c r="S158" t="s">
        <v>1146</v>
      </c>
      <c r="T158">
        <f t="shared" si="4"/>
        <v>11</v>
      </c>
      <c r="U158" t="str">
        <f t="shared" si="5"/>
        <v>43</v>
      </c>
    </row>
    <row r="159" spans="1:21">
      <c r="A159">
        <v>6170421600</v>
      </c>
      <c r="B159" s="17">
        <v>45988</v>
      </c>
      <c r="C159">
        <v>86001446</v>
      </c>
      <c r="D159" t="s">
        <v>1141</v>
      </c>
      <c r="E159" t="s">
        <v>53</v>
      </c>
      <c r="F159" t="s">
        <v>914</v>
      </c>
      <c r="G159">
        <v>4110110</v>
      </c>
      <c r="H159" t="s">
        <v>1018</v>
      </c>
      <c r="I159" t="s">
        <v>1143</v>
      </c>
      <c r="J159">
        <v>4000006878</v>
      </c>
      <c r="K159" t="s">
        <v>47</v>
      </c>
      <c r="L159" t="s">
        <v>1166</v>
      </c>
      <c r="M159" s="42">
        <v>-5308576</v>
      </c>
      <c r="N159">
        <v>6965</v>
      </c>
      <c r="O159">
        <v>11</v>
      </c>
      <c r="P159" t="s">
        <v>1145</v>
      </c>
      <c r="Q159">
        <v>2025</v>
      </c>
      <c r="R159">
        <v>9</v>
      </c>
      <c r="S159" t="s">
        <v>1146</v>
      </c>
      <c r="T159">
        <f t="shared" si="4"/>
        <v>11</v>
      </c>
      <c r="U159" t="str">
        <f t="shared" si="5"/>
        <v>43</v>
      </c>
    </row>
    <row r="160" spans="1:21">
      <c r="A160">
        <v>6170421600</v>
      </c>
      <c r="B160" s="17">
        <v>45988</v>
      </c>
      <c r="C160">
        <v>86001446</v>
      </c>
      <c r="D160" t="s">
        <v>1141</v>
      </c>
      <c r="E160" t="s">
        <v>53</v>
      </c>
      <c r="F160" t="s">
        <v>916</v>
      </c>
      <c r="G160">
        <v>4110110</v>
      </c>
      <c r="H160" t="s">
        <v>1018</v>
      </c>
      <c r="I160" t="s">
        <v>1143</v>
      </c>
      <c r="J160">
        <v>4000006878</v>
      </c>
      <c r="K160" t="s">
        <v>47</v>
      </c>
      <c r="L160" t="s">
        <v>1166</v>
      </c>
      <c r="M160" s="42">
        <v>-7791</v>
      </c>
      <c r="N160">
        <v>6965</v>
      </c>
      <c r="O160">
        <v>11</v>
      </c>
      <c r="P160" t="s">
        <v>1145</v>
      </c>
      <c r="Q160">
        <v>2025</v>
      </c>
      <c r="R160">
        <v>10</v>
      </c>
      <c r="S160" t="s">
        <v>1146</v>
      </c>
      <c r="T160">
        <f t="shared" si="4"/>
        <v>11</v>
      </c>
      <c r="U160" t="str">
        <f t="shared" si="5"/>
        <v>43</v>
      </c>
    </row>
    <row r="161" spans="1:21">
      <c r="A161">
        <v>6170421600</v>
      </c>
      <c r="B161" s="17">
        <v>45988</v>
      </c>
      <c r="C161">
        <v>86001446</v>
      </c>
      <c r="D161" t="s">
        <v>1141</v>
      </c>
      <c r="E161" t="s">
        <v>53</v>
      </c>
      <c r="F161" t="s">
        <v>967</v>
      </c>
      <c r="G161">
        <v>4110110</v>
      </c>
      <c r="H161" t="s">
        <v>1018</v>
      </c>
      <c r="I161" t="s">
        <v>1143</v>
      </c>
      <c r="J161">
        <v>4000006878</v>
      </c>
      <c r="K161" t="s">
        <v>47</v>
      </c>
      <c r="L161" t="s">
        <v>1166</v>
      </c>
      <c r="M161" s="42">
        <v>-217597</v>
      </c>
      <c r="N161">
        <v>6965</v>
      </c>
      <c r="O161">
        <v>11</v>
      </c>
      <c r="P161" t="s">
        <v>1145</v>
      </c>
      <c r="Q161">
        <v>2025</v>
      </c>
      <c r="R161">
        <v>11</v>
      </c>
      <c r="S161" t="s">
        <v>1146</v>
      </c>
      <c r="T161">
        <f t="shared" si="4"/>
        <v>11</v>
      </c>
      <c r="U161" t="str">
        <f t="shared" si="5"/>
        <v>43</v>
      </c>
    </row>
    <row r="162" spans="1:21">
      <c r="A162">
        <v>6170421600</v>
      </c>
      <c r="B162" s="17">
        <v>45988</v>
      </c>
      <c r="C162">
        <v>86001446</v>
      </c>
      <c r="D162" t="s">
        <v>1141</v>
      </c>
      <c r="E162" t="s">
        <v>53</v>
      </c>
      <c r="F162" t="s">
        <v>956</v>
      </c>
      <c r="G162">
        <v>4110110</v>
      </c>
      <c r="H162" t="s">
        <v>1018</v>
      </c>
      <c r="I162" t="s">
        <v>1143</v>
      </c>
      <c r="J162">
        <v>4000006878</v>
      </c>
      <c r="K162" t="s">
        <v>47</v>
      </c>
      <c r="L162" t="s">
        <v>1166</v>
      </c>
      <c r="M162" s="42">
        <v>-698446</v>
      </c>
      <c r="N162">
        <v>6965</v>
      </c>
      <c r="O162">
        <v>11</v>
      </c>
      <c r="P162" t="s">
        <v>1145</v>
      </c>
      <c r="Q162">
        <v>2025</v>
      </c>
      <c r="R162">
        <v>12</v>
      </c>
      <c r="S162" t="s">
        <v>1146</v>
      </c>
      <c r="T162">
        <f t="shared" si="4"/>
        <v>11</v>
      </c>
      <c r="U162" t="str">
        <f t="shared" si="5"/>
        <v>43</v>
      </c>
    </row>
    <row r="163" spans="1:21">
      <c r="A163">
        <v>6170421600</v>
      </c>
      <c r="B163" s="17">
        <v>45988</v>
      </c>
      <c r="C163">
        <v>86001446</v>
      </c>
      <c r="D163" t="s">
        <v>1141</v>
      </c>
      <c r="E163" t="s">
        <v>53</v>
      </c>
      <c r="F163" t="s">
        <v>1050</v>
      </c>
      <c r="G163">
        <v>4110110</v>
      </c>
      <c r="H163" t="s">
        <v>1018</v>
      </c>
      <c r="I163" t="s">
        <v>1143</v>
      </c>
      <c r="J163">
        <v>4000006878</v>
      </c>
      <c r="K163" t="s">
        <v>47</v>
      </c>
      <c r="L163" t="s">
        <v>1166</v>
      </c>
      <c r="M163" s="42">
        <v>-23390</v>
      </c>
      <c r="N163">
        <v>6965</v>
      </c>
      <c r="O163">
        <v>11</v>
      </c>
      <c r="P163" t="s">
        <v>1145</v>
      </c>
      <c r="Q163">
        <v>2025</v>
      </c>
      <c r="R163">
        <v>13</v>
      </c>
      <c r="S163" t="s">
        <v>1146</v>
      </c>
      <c r="T163">
        <f t="shared" si="4"/>
        <v>11</v>
      </c>
      <c r="U163" t="str">
        <f t="shared" si="5"/>
        <v>43</v>
      </c>
    </row>
    <row r="164" spans="1:21">
      <c r="A164">
        <v>6170421600</v>
      </c>
      <c r="B164" s="17">
        <v>45988</v>
      </c>
      <c r="C164">
        <v>86001446</v>
      </c>
      <c r="D164" t="s">
        <v>1141</v>
      </c>
      <c r="E164" t="s">
        <v>53</v>
      </c>
      <c r="F164" t="s">
        <v>1051</v>
      </c>
      <c r="G164">
        <v>4110031</v>
      </c>
      <c r="H164" t="s">
        <v>1167</v>
      </c>
      <c r="I164" t="s">
        <v>1143</v>
      </c>
      <c r="J164">
        <v>4000006878</v>
      </c>
      <c r="K164" t="s">
        <v>47</v>
      </c>
      <c r="L164" t="s">
        <v>1152</v>
      </c>
      <c r="M164">
        <v>-1</v>
      </c>
      <c r="N164">
        <v>6965</v>
      </c>
      <c r="O164">
        <v>11</v>
      </c>
      <c r="P164" t="s">
        <v>1145</v>
      </c>
      <c r="Q164">
        <v>2025</v>
      </c>
      <c r="R164">
        <v>14</v>
      </c>
      <c r="S164" t="s">
        <v>1146</v>
      </c>
      <c r="T164">
        <f t="shared" si="4"/>
        <v>11</v>
      </c>
      <c r="U164" t="str">
        <f t="shared" si="5"/>
        <v>43</v>
      </c>
    </row>
    <row r="165" spans="1:21">
      <c r="A165">
        <v>6194816480</v>
      </c>
      <c r="B165" s="17">
        <v>46021</v>
      </c>
      <c r="C165">
        <v>86001477</v>
      </c>
      <c r="D165" t="s">
        <v>1141</v>
      </c>
      <c r="E165" t="s">
        <v>53</v>
      </c>
      <c r="F165" t="s">
        <v>902</v>
      </c>
      <c r="G165">
        <v>4112340</v>
      </c>
      <c r="H165" t="s">
        <v>1142</v>
      </c>
      <c r="I165" t="s">
        <v>1143</v>
      </c>
      <c r="J165">
        <v>4000006878</v>
      </c>
      <c r="K165" t="s">
        <v>47</v>
      </c>
      <c r="L165" t="s">
        <v>1168</v>
      </c>
      <c r="M165" s="42">
        <v>-581371</v>
      </c>
      <c r="N165">
        <v>7031</v>
      </c>
      <c r="O165">
        <v>12</v>
      </c>
      <c r="P165" t="s">
        <v>1145</v>
      </c>
      <c r="Q165">
        <v>2025</v>
      </c>
      <c r="R165">
        <v>1</v>
      </c>
      <c r="S165" t="s">
        <v>1146</v>
      </c>
      <c r="T165">
        <f t="shared" si="4"/>
        <v>12</v>
      </c>
      <c r="U165" t="str">
        <f t="shared" si="5"/>
        <v>43</v>
      </c>
    </row>
    <row r="166" spans="1:21">
      <c r="A166">
        <v>6194816480</v>
      </c>
      <c r="B166" s="17">
        <v>46021</v>
      </c>
      <c r="C166">
        <v>86001477</v>
      </c>
      <c r="D166" t="s">
        <v>1141</v>
      </c>
      <c r="E166" t="s">
        <v>53</v>
      </c>
      <c r="F166" t="s">
        <v>908</v>
      </c>
      <c r="G166">
        <v>4112340</v>
      </c>
      <c r="H166" t="s">
        <v>1142</v>
      </c>
      <c r="I166" t="s">
        <v>1143</v>
      </c>
      <c r="J166">
        <v>4000006878</v>
      </c>
      <c r="K166" t="s">
        <v>47</v>
      </c>
      <c r="L166" t="s">
        <v>1168</v>
      </c>
      <c r="M166" s="42">
        <v>-597645</v>
      </c>
      <c r="N166">
        <v>7031</v>
      </c>
      <c r="O166">
        <v>12</v>
      </c>
      <c r="P166" t="s">
        <v>1145</v>
      </c>
      <c r="Q166">
        <v>2025</v>
      </c>
      <c r="R166">
        <v>2</v>
      </c>
      <c r="S166" t="s">
        <v>1146</v>
      </c>
      <c r="T166">
        <f t="shared" si="4"/>
        <v>12</v>
      </c>
      <c r="U166" t="str">
        <f t="shared" si="5"/>
        <v>43</v>
      </c>
    </row>
    <row r="167" spans="1:21">
      <c r="A167">
        <v>6194816480</v>
      </c>
      <c r="B167" s="17">
        <v>46021</v>
      </c>
      <c r="C167">
        <v>86001477</v>
      </c>
      <c r="D167" t="s">
        <v>1141</v>
      </c>
      <c r="E167" t="s">
        <v>53</v>
      </c>
      <c r="F167" t="s">
        <v>910</v>
      </c>
      <c r="G167">
        <v>4112340</v>
      </c>
      <c r="H167" t="s">
        <v>1142</v>
      </c>
      <c r="I167" t="s">
        <v>1143</v>
      </c>
      <c r="J167">
        <v>4000006878</v>
      </c>
      <c r="K167" t="s">
        <v>47</v>
      </c>
      <c r="L167" t="s">
        <v>1168</v>
      </c>
      <c r="M167" s="42">
        <v>-920478</v>
      </c>
      <c r="N167">
        <v>7031</v>
      </c>
      <c r="O167">
        <v>12</v>
      </c>
      <c r="P167" t="s">
        <v>1145</v>
      </c>
      <c r="Q167">
        <v>2025</v>
      </c>
      <c r="R167">
        <v>3</v>
      </c>
      <c r="S167" t="s">
        <v>1146</v>
      </c>
      <c r="T167">
        <f t="shared" si="4"/>
        <v>12</v>
      </c>
      <c r="U167" t="str">
        <f t="shared" si="5"/>
        <v>43</v>
      </c>
    </row>
    <row r="168" spans="1:21">
      <c r="A168">
        <v>6194816480</v>
      </c>
      <c r="B168" s="17">
        <v>46021</v>
      </c>
      <c r="C168">
        <v>86001477</v>
      </c>
      <c r="D168" t="s">
        <v>1141</v>
      </c>
      <c r="E168" t="s">
        <v>53</v>
      </c>
      <c r="F168" t="s">
        <v>909</v>
      </c>
      <c r="G168">
        <v>4112340</v>
      </c>
      <c r="H168" t="s">
        <v>1142</v>
      </c>
      <c r="I168" t="s">
        <v>1143</v>
      </c>
      <c r="J168">
        <v>4000006878</v>
      </c>
      <c r="K168" t="s">
        <v>47</v>
      </c>
      <c r="L168" t="s">
        <v>1168</v>
      </c>
      <c r="M168" s="42">
        <v>-387528</v>
      </c>
      <c r="N168">
        <v>7031</v>
      </c>
      <c r="O168">
        <v>12</v>
      </c>
      <c r="P168" t="s">
        <v>1145</v>
      </c>
      <c r="Q168">
        <v>2025</v>
      </c>
      <c r="R168">
        <v>4</v>
      </c>
      <c r="S168" t="s">
        <v>1146</v>
      </c>
      <c r="T168">
        <f t="shared" si="4"/>
        <v>12</v>
      </c>
      <c r="U168" t="str">
        <f t="shared" si="5"/>
        <v>43</v>
      </c>
    </row>
    <row r="169" spans="1:21">
      <c r="A169">
        <v>6194816480</v>
      </c>
      <c r="B169" s="17">
        <v>46021</v>
      </c>
      <c r="C169">
        <v>86001477</v>
      </c>
      <c r="D169" t="s">
        <v>1141</v>
      </c>
      <c r="E169" t="s">
        <v>53</v>
      </c>
      <c r="F169" t="s">
        <v>914</v>
      </c>
      <c r="G169">
        <v>4110110</v>
      </c>
      <c r="H169" t="s">
        <v>1018</v>
      </c>
      <c r="I169" t="s">
        <v>1143</v>
      </c>
      <c r="J169">
        <v>4000006878</v>
      </c>
      <c r="K169" t="s">
        <v>47</v>
      </c>
      <c r="L169" t="s">
        <v>1169</v>
      </c>
      <c r="M169" s="42">
        <v>-334792</v>
      </c>
      <c r="N169">
        <v>7031</v>
      </c>
      <c r="O169">
        <v>12</v>
      </c>
      <c r="P169" t="s">
        <v>1145</v>
      </c>
      <c r="Q169">
        <v>2025</v>
      </c>
      <c r="R169">
        <v>5</v>
      </c>
      <c r="S169" t="s">
        <v>1146</v>
      </c>
      <c r="T169">
        <f t="shared" si="4"/>
        <v>12</v>
      </c>
      <c r="U169" t="str">
        <f t="shared" si="5"/>
        <v>43</v>
      </c>
    </row>
    <row r="170" spans="1:21">
      <c r="A170">
        <v>6194816480</v>
      </c>
      <c r="B170" s="17">
        <v>46021</v>
      </c>
      <c r="C170">
        <v>86001477</v>
      </c>
      <c r="D170" t="s">
        <v>1141</v>
      </c>
      <c r="E170" t="s">
        <v>53</v>
      </c>
      <c r="F170" t="s">
        <v>914</v>
      </c>
      <c r="G170">
        <v>4110110</v>
      </c>
      <c r="H170" t="s">
        <v>1018</v>
      </c>
      <c r="I170" t="s">
        <v>1143</v>
      </c>
      <c r="J170">
        <v>4000006878</v>
      </c>
      <c r="K170" t="s">
        <v>47</v>
      </c>
      <c r="L170" t="s">
        <v>1169</v>
      </c>
      <c r="M170" s="42">
        <v>-173519</v>
      </c>
      <c r="N170">
        <v>7031</v>
      </c>
      <c r="O170">
        <v>12</v>
      </c>
      <c r="P170" t="s">
        <v>1145</v>
      </c>
      <c r="Q170">
        <v>2025</v>
      </c>
      <c r="R170">
        <v>6</v>
      </c>
      <c r="S170" t="s">
        <v>1146</v>
      </c>
      <c r="T170">
        <f t="shared" si="4"/>
        <v>12</v>
      </c>
      <c r="U170" t="str">
        <f t="shared" si="5"/>
        <v>43</v>
      </c>
    </row>
    <row r="171" spans="1:21">
      <c r="A171">
        <v>6194816480</v>
      </c>
      <c r="B171" s="17">
        <v>46021</v>
      </c>
      <c r="C171">
        <v>86001477</v>
      </c>
      <c r="D171" t="s">
        <v>1141</v>
      </c>
      <c r="E171" t="s">
        <v>53</v>
      </c>
      <c r="F171" t="s">
        <v>914</v>
      </c>
      <c r="G171">
        <v>4110110</v>
      </c>
      <c r="H171" t="s">
        <v>1018</v>
      </c>
      <c r="I171" t="s">
        <v>1143</v>
      </c>
      <c r="J171">
        <v>4000006878</v>
      </c>
      <c r="K171" t="s">
        <v>47</v>
      </c>
      <c r="L171" t="s">
        <v>1169</v>
      </c>
      <c r="M171" s="42">
        <v>-3780577</v>
      </c>
      <c r="N171">
        <v>7031</v>
      </c>
      <c r="O171">
        <v>12</v>
      </c>
      <c r="P171" t="s">
        <v>1145</v>
      </c>
      <c r="Q171">
        <v>2025</v>
      </c>
      <c r="R171">
        <v>7</v>
      </c>
      <c r="S171" t="s">
        <v>1146</v>
      </c>
      <c r="T171">
        <f t="shared" si="4"/>
        <v>12</v>
      </c>
      <c r="U171" t="str">
        <f t="shared" si="5"/>
        <v>43</v>
      </c>
    </row>
    <row r="172" spans="1:21">
      <c r="A172">
        <v>6194816480</v>
      </c>
      <c r="B172" s="17">
        <v>46021</v>
      </c>
      <c r="C172">
        <v>86001477</v>
      </c>
      <c r="D172" t="s">
        <v>1141</v>
      </c>
      <c r="E172" t="s">
        <v>53</v>
      </c>
      <c r="F172" t="s">
        <v>967</v>
      </c>
      <c r="G172">
        <v>4110110</v>
      </c>
      <c r="H172" t="s">
        <v>1018</v>
      </c>
      <c r="I172" t="s">
        <v>1143</v>
      </c>
      <c r="J172">
        <v>4000006878</v>
      </c>
      <c r="K172" t="s">
        <v>47</v>
      </c>
      <c r="L172" t="s">
        <v>1169</v>
      </c>
      <c r="M172" s="42">
        <v>-4272483</v>
      </c>
      <c r="N172">
        <v>7031</v>
      </c>
      <c r="O172">
        <v>12</v>
      </c>
      <c r="P172" t="s">
        <v>1145</v>
      </c>
      <c r="Q172">
        <v>2025</v>
      </c>
      <c r="R172">
        <v>8</v>
      </c>
      <c r="S172" t="s">
        <v>1146</v>
      </c>
      <c r="T172">
        <f t="shared" si="4"/>
        <v>12</v>
      </c>
      <c r="U172" t="str">
        <f t="shared" si="5"/>
        <v>43</v>
      </c>
    </row>
    <row r="173" spans="1:21">
      <c r="A173">
        <v>6194816480</v>
      </c>
      <c r="B173" s="17">
        <v>46021</v>
      </c>
      <c r="C173">
        <v>86001477</v>
      </c>
      <c r="D173" t="s">
        <v>1141</v>
      </c>
      <c r="E173" t="s">
        <v>53</v>
      </c>
      <c r="F173" t="s">
        <v>918</v>
      </c>
      <c r="G173">
        <v>4110110</v>
      </c>
      <c r="H173" t="s">
        <v>1018</v>
      </c>
      <c r="I173" t="s">
        <v>1143</v>
      </c>
      <c r="J173">
        <v>4000006878</v>
      </c>
      <c r="K173" t="s">
        <v>47</v>
      </c>
      <c r="L173" t="s">
        <v>1169</v>
      </c>
      <c r="M173" s="42">
        <v>-157855</v>
      </c>
      <c r="N173">
        <v>7031</v>
      </c>
      <c r="O173">
        <v>12</v>
      </c>
      <c r="P173" t="s">
        <v>1145</v>
      </c>
      <c r="Q173">
        <v>2025</v>
      </c>
      <c r="R173">
        <v>9</v>
      </c>
      <c r="S173" t="s">
        <v>1146</v>
      </c>
      <c r="T173">
        <f t="shared" si="4"/>
        <v>12</v>
      </c>
      <c r="U173" t="str">
        <f t="shared" si="5"/>
        <v>43</v>
      </c>
    </row>
    <row r="174" spans="1:21">
      <c r="A174">
        <v>6194816480</v>
      </c>
      <c r="B174" s="17">
        <v>46021</v>
      </c>
      <c r="C174">
        <v>86001477</v>
      </c>
      <c r="D174" t="s">
        <v>1141</v>
      </c>
      <c r="E174" t="s">
        <v>53</v>
      </c>
      <c r="F174" t="s">
        <v>915</v>
      </c>
      <c r="G174">
        <v>4110110</v>
      </c>
      <c r="H174" t="s">
        <v>1018</v>
      </c>
      <c r="I174" t="s">
        <v>1143</v>
      </c>
      <c r="J174">
        <v>4000006878</v>
      </c>
      <c r="K174" t="s">
        <v>47</v>
      </c>
      <c r="L174" t="s">
        <v>1169</v>
      </c>
      <c r="M174" s="42">
        <v>-406249</v>
      </c>
      <c r="N174">
        <v>7031</v>
      </c>
      <c r="O174">
        <v>12</v>
      </c>
      <c r="P174" t="s">
        <v>1145</v>
      </c>
      <c r="Q174">
        <v>2025</v>
      </c>
      <c r="R174">
        <v>10</v>
      </c>
      <c r="S174" t="s">
        <v>1146</v>
      </c>
      <c r="T174">
        <f t="shared" si="4"/>
        <v>12</v>
      </c>
      <c r="U174" t="str">
        <f t="shared" si="5"/>
        <v>43</v>
      </c>
    </row>
    <row r="175" spans="1:21">
      <c r="A175">
        <v>6212412239</v>
      </c>
      <c r="B175" s="17">
        <v>46050</v>
      </c>
      <c r="C175">
        <v>86000131</v>
      </c>
      <c r="D175" t="s">
        <v>1141</v>
      </c>
      <c r="E175" t="s">
        <v>53</v>
      </c>
      <c r="F175" t="s">
        <v>902</v>
      </c>
      <c r="G175">
        <v>4112340</v>
      </c>
      <c r="H175" t="s">
        <v>1142</v>
      </c>
      <c r="I175" t="s">
        <v>1143</v>
      </c>
      <c r="J175">
        <v>4000006878</v>
      </c>
      <c r="K175" t="s">
        <v>47</v>
      </c>
      <c r="L175" t="s">
        <v>1170</v>
      </c>
      <c r="M175" s="42">
        <v>-633774</v>
      </c>
      <c r="N175">
        <v>7086</v>
      </c>
      <c r="O175">
        <v>1</v>
      </c>
      <c r="P175" t="s">
        <v>1145</v>
      </c>
      <c r="Q175">
        <v>2026</v>
      </c>
      <c r="R175">
        <v>1</v>
      </c>
      <c r="S175" t="s">
        <v>1171</v>
      </c>
      <c r="T175">
        <f t="shared" si="4"/>
        <v>1</v>
      </c>
      <c r="U175" t="str">
        <f t="shared" si="5"/>
        <v>43</v>
      </c>
    </row>
    <row r="176" spans="1:21">
      <c r="A176">
        <v>6212412239</v>
      </c>
      <c r="B176" s="17">
        <v>46050</v>
      </c>
      <c r="C176">
        <v>86000131</v>
      </c>
      <c r="D176" t="s">
        <v>1141</v>
      </c>
      <c r="E176" t="s">
        <v>53</v>
      </c>
      <c r="F176" t="s">
        <v>908</v>
      </c>
      <c r="G176">
        <v>4112340</v>
      </c>
      <c r="H176" t="s">
        <v>1142</v>
      </c>
      <c r="I176" t="s">
        <v>1143</v>
      </c>
      <c r="J176">
        <v>4000006878</v>
      </c>
      <c r="K176" t="s">
        <v>47</v>
      </c>
      <c r="L176" t="s">
        <v>1170</v>
      </c>
      <c r="M176" s="42">
        <v>-432559</v>
      </c>
      <c r="N176">
        <v>7086</v>
      </c>
      <c r="O176">
        <v>1</v>
      </c>
      <c r="P176" t="s">
        <v>1145</v>
      </c>
      <c r="Q176">
        <v>2026</v>
      </c>
      <c r="R176">
        <v>2</v>
      </c>
      <c r="S176" t="s">
        <v>1171</v>
      </c>
      <c r="T176">
        <f t="shared" si="4"/>
        <v>1</v>
      </c>
      <c r="U176" t="str">
        <f t="shared" si="5"/>
        <v>43</v>
      </c>
    </row>
    <row r="177" spans="1:21">
      <c r="A177">
        <v>6212412239</v>
      </c>
      <c r="B177" s="17">
        <v>46050</v>
      </c>
      <c r="C177">
        <v>86000131</v>
      </c>
      <c r="D177" t="s">
        <v>1141</v>
      </c>
      <c r="E177" t="s">
        <v>53</v>
      </c>
      <c r="F177" t="s">
        <v>909</v>
      </c>
      <c r="G177">
        <v>4112340</v>
      </c>
      <c r="H177" t="s">
        <v>1142</v>
      </c>
      <c r="I177" t="s">
        <v>1143</v>
      </c>
      <c r="J177">
        <v>4000006878</v>
      </c>
      <c r="K177" t="s">
        <v>47</v>
      </c>
      <c r="L177" t="s">
        <v>1170</v>
      </c>
      <c r="M177" s="42">
        <v>-90529</v>
      </c>
      <c r="N177">
        <v>7086</v>
      </c>
      <c r="O177">
        <v>1</v>
      </c>
      <c r="P177" t="s">
        <v>1145</v>
      </c>
      <c r="Q177">
        <v>2026</v>
      </c>
      <c r="R177">
        <v>3</v>
      </c>
      <c r="S177" t="s">
        <v>1171</v>
      </c>
      <c r="T177">
        <f t="shared" si="4"/>
        <v>1</v>
      </c>
      <c r="U177" t="str">
        <f t="shared" si="5"/>
        <v>43</v>
      </c>
    </row>
    <row r="178" spans="1:21">
      <c r="A178">
        <v>6212412239</v>
      </c>
      <c r="B178" s="17">
        <v>46050</v>
      </c>
      <c r="C178">
        <v>86000131</v>
      </c>
      <c r="D178" t="s">
        <v>1141</v>
      </c>
      <c r="E178" t="s">
        <v>53</v>
      </c>
      <c r="F178" t="s">
        <v>910</v>
      </c>
      <c r="G178">
        <v>4112340</v>
      </c>
      <c r="H178" t="s">
        <v>1142</v>
      </c>
      <c r="I178" t="s">
        <v>1143</v>
      </c>
      <c r="J178">
        <v>4000006878</v>
      </c>
      <c r="K178" t="s">
        <v>47</v>
      </c>
      <c r="L178" t="s">
        <v>1170</v>
      </c>
      <c r="M178" s="42">
        <v>-203561</v>
      </c>
      <c r="N178">
        <v>7086</v>
      </c>
      <c r="O178">
        <v>1</v>
      </c>
      <c r="P178" t="s">
        <v>1145</v>
      </c>
      <c r="Q178">
        <v>2026</v>
      </c>
      <c r="R178">
        <v>4</v>
      </c>
      <c r="S178" t="s">
        <v>1171</v>
      </c>
      <c r="T178">
        <f t="shared" si="4"/>
        <v>1</v>
      </c>
      <c r="U178" t="str">
        <f t="shared" si="5"/>
        <v>43</v>
      </c>
    </row>
    <row r="179" spans="1:21">
      <c r="A179">
        <v>6212412239</v>
      </c>
      <c r="B179" s="17">
        <v>46050</v>
      </c>
      <c r="C179">
        <v>86000131</v>
      </c>
      <c r="D179" t="s">
        <v>1141</v>
      </c>
      <c r="E179" t="s">
        <v>53</v>
      </c>
      <c r="F179" t="s">
        <v>1071</v>
      </c>
      <c r="G179">
        <v>4110110</v>
      </c>
      <c r="H179" t="s">
        <v>1018</v>
      </c>
      <c r="I179" t="s">
        <v>1143</v>
      </c>
      <c r="J179">
        <v>4000006878</v>
      </c>
      <c r="K179" t="s">
        <v>47</v>
      </c>
      <c r="L179" t="s">
        <v>1172</v>
      </c>
      <c r="M179" s="42">
        <v>-392626</v>
      </c>
      <c r="N179">
        <v>7086</v>
      </c>
      <c r="O179">
        <v>1</v>
      </c>
      <c r="P179" t="s">
        <v>1145</v>
      </c>
      <c r="Q179">
        <v>2026</v>
      </c>
      <c r="R179">
        <v>5</v>
      </c>
      <c r="S179" t="s">
        <v>1171</v>
      </c>
      <c r="T179">
        <f t="shared" si="4"/>
        <v>1</v>
      </c>
      <c r="U179" t="str">
        <f t="shared" si="5"/>
        <v>13</v>
      </c>
    </row>
    <row r="180" spans="1:21">
      <c r="A180">
        <v>6212412239</v>
      </c>
      <c r="B180" s="17">
        <v>46050</v>
      </c>
      <c r="C180">
        <v>86000131</v>
      </c>
      <c r="D180" t="s">
        <v>1141</v>
      </c>
      <c r="E180" t="s">
        <v>53</v>
      </c>
      <c r="F180" t="s">
        <v>910</v>
      </c>
      <c r="G180">
        <v>4110110</v>
      </c>
      <c r="H180" t="s">
        <v>1018</v>
      </c>
      <c r="I180" t="s">
        <v>1143</v>
      </c>
      <c r="J180">
        <v>4000006878</v>
      </c>
      <c r="K180" t="s">
        <v>47</v>
      </c>
      <c r="L180" t="s">
        <v>1172</v>
      </c>
      <c r="M180" s="42">
        <v>-201824</v>
      </c>
      <c r="N180">
        <v>7086</v>
      </c>
      <c r="O180">
        <v>1</v>
      </c>
      <c r="P180" t="s">
        <v>1145</v>
      </c>
      <c r="Q180">
        <v>2026</v>
      </c>
      <c r="R180">
        <v>6</v>
      </c>
      <c r="S180" t="s">
        <v>1171</v>
      </c>
      <c r="T180">
        <f t="shared" si="4"/>
        <v>1</v>
      </c>
      <c r="U180" t="str">
        <f t="shared" si="5"/>
        <v>43</v>
      </c>
    </row>
    <row r="181" spans="1:21">
      <c r="A181">
        <v>6212412239</v>
      </c>
      <c r="B181" s="17">
        <v>46050</v>
      </c>
      <c r="C181">
        <v>86000131</v>
      </c>
      <c r="D181" t="s">
        <v>1141</v>
      </c>
      <c r="E181" t="s">
        <v>53</v>
      </c>
      <c r="F181" t="s">
        <v>910</v>
      </c>
      <c r="G181">
        <v>4110110</v>
      </c>
      <c r="H181" t="s">
        <v>1018</v>
      </c>
      <c r="I181" t="s">
        <v>1143</v>
      </c>
      <c r="J181">
        <v>4000006878</v>
      </c>
      <c r="K181" t="s">
        <v>47</v>
      </c>
      <c r="L181" t="s">
        <v>1172</v>
      </c>
      <c r="M181" s="42">
        <v>-69777</v>
      </c>
      <c r="N181">
        <v>7086</v>
      </c>
      <c r="O181">
        <v>1</v>
      </c>
      <c r="P181" t="s">
        <v>1145</v>
      </c>
      <c r="Q181">
        <v>2026</v>
      </c>
      <c r="R181">
        <v>7</v>
      </c>
      <c r="S181" t="s">
        <v>1171</v>
      </c>
      <c r="T181">
        <f t="shared" si="4"/>
        <v>1</v>
      </c>
      <c r="U181" t="str">
        <f t="shared" si="5"/>
        <v>43</v>
      </c>
    </row>
    <row r="182" spans="1:21">
      <c r="A182">
        <v>6212412239</v>
      </c>
      <c r="B182" s="17">
        <v>46050</v>
      </c>
      <c r="C182">
        <v>86000131</v>
      </c>
      <c r="D182" t="s">
        <v>1141</v>
      </c>
      <c r="E182" t="s">
        <v>53</v>
      </c>
      <c r="F182" t="s">
        <v>910</v>
      </c>
      <c r="G182">
        <v>4110110</v>
      </c>
      <c r="H182" t="s">
        <v>1018</v>
      </c>
      <c r="I182" t="s">
        <v>1143</v>
      </c>
      <c r="J182">
        <v>4000006878</v>
      </c>
      <c r="K182" t="s">
        <v>47</v>
      </c>
      <c r="L182" t="s">
        <v>1172</v>
      </c>
      <c r="M182" s="42">
        <v>-173842</v>
      </c>
      <c r="N182">
        <v>7086</v>
      </c>
      <c r="O182">
        <v>1</v>
      </c>
      <c r="P182" t="s">
        <v>1145</v>
      </c>
      <c r="Q182">
        <v>2026</v>
      </c>
      <c r="R182">
        <v>8</v>
      </c>
      <c r="S182" t="s">
        <v>1171</v>
      </c>
      <c r="T182">
        <f t="shared" si="4"/>
        <v>1</v>
      </c>
      <c r="U182" t="str">
        <f t="shared" si="5"/>
        <v>43</v>
      </c>
    </row>
    <row r="183" spans="1:21">
      <c r="A183">
        <v>6212412239</v>
      </c>
      <c r="B183" s="17">
        <v>46050</v>
      </c>
      <c r="C183">
        <v>86000131</v>
      </c>
      <c r="D183" t="s">
        <v>1141</v>
      </c>
      <c r="E183" t="s">
        <v>53</v>
      </c>
      <c r="F183" t="s">
        <v>910</v>
      </c>
      <c r="G183">
        <v>4110110</v>
      </c>
      <c r="H183" t="s">
        <v>1018</v>
      </c>
      <c r="I183" t="s">
        <v>1143</v>
      </c>
      <c r="J183">
        <v>4000006878</v>
      </c>
      <c r="K183" t="s">
        <v>47</v>
      </c>
      <c r="L183" t="s">
        <v>1172</v>
      </c>
      <c r="M183" s="42">
        <v>-4320865</v>
      </c>
      <c r="N183">
        <v>7086</v>
      </c>
      <c r="O183">
        <v>1</v>
      </c>
      <c r="P183" t="s">
        <v>1145</v>
      </c>
      <c r="Q183">
        <v>2026</v>
      </c>
      <c r="R183">
        <v>9</v>
      </c>
      <c r="S183" t="s">
        <v>1171</v>
      </c>
      <c r="T183">
        <f t="shared" si="4"/>
        <v>1</v>
      </c>
      <c r="U183" t="str">
        <f t="shared" si="5"/>
        <v>43</v>
      </c>
    </row>
    <row r="184" spans="1:21">
      <c r="A184">
        <v>6212412239</v>
      </c>
      <c r="B184" s="17">
        <v>46050</v>
      </c>
      <c r="C184">
        <v>86000131</v>
      </c>
      <c r="D184" t="s">
        <v>1141</v>
      </c>
      <c r="E184" t="s">
        <v>53</v>
      </c>
      <c r="F184" t="s">
        <v>910</v>
      </c>
      <c r="G184">
        <v>4110110</v>
      </c>
      <c r="H184" t="s">
        <v>1018</v>
      </c>
      <c r="I184" t="s">
        <v>1143</v>
      </c>
      <c r="J184">
        <v>4000006878</v>
      </c>
      <c r="K184" t="s">
        <v>47</v>
      </c>
      <c r="L184" t="s">
        <v>1172</v>
      </c>
      <c r="M184" s="42">
        <v>-1279466</v>
      </c>
      <c r="N184">
        <v>7086</v>
      </c>
      <c r="O184">
        <v>1</v>
      </c>
      <c r="P184" t="s">
        <v>1145</v>
      </c>
      <c r="Q184">
        <v>2026</v>
      </c>
      <c r="R184">
        <v>10</v>
      </c>
      <c r="S184" t="s">
        <v>1171</v>
      </c>
      <c r="T184">
        <f t="shared" si="4"/>
        <v>1</v>
      </c>
      <c r="U184" t="str">
        <f t="shared" si="5"/>
        <v>43</v>
      </c>
    </row>
    <row r="185" spans="1:21">
      <c r="A185">
        <v>6230564833</v>
      </c>
      <c r="B185" s="17">
        <v>46078</v>
      </c>
      <c r="C185">
        <v>86000298</v>
      </c>
      <c r="D185" t="s">
        <v>1141</v>
      </c>
      <c r="E185" t="s">
        <v>53</v>
      </c>
      <c r="F185" t="s">
        <v>915</v>
      </c>
      <c r="G185">
        <v>4110110</v>
      </c>
      <c r="H185" t="s">
        <v>1018</v>
      </c>
      <c r="I185" t="s">
        <v>1143</v>
      </c>
      <c r="J185">
        <v>4000006878</v>
      </c>
      <c r="K185" t="s">
        <v>47</v>
      </c>
      <c r="L185" t="s">
        <v>1173</v>
      </c>
      <c r="M185" s="42">
        <v>-512354</v>
      </c>
      <c r="N185">
        <v>7144</v>
      </c>
      <c r="O185">
        <v>2</v>
      </c>
      <c r="P185" t="s">
        <v>1145</v>
      </c>
      <c r="Q185">
        <v>2026</v>
      </c>
      <c r="R185">
        <v>1</v>
      </c>
      <c r="S185" t="s">
        <v>1171</v>
      </c>
      <c r="T185">
        <f t="shared" si="4"/>
        <v>2</v>
      </c>
      <c r="U185" t="str">
        <f t="shared" si="5"/>
        <v>43</v>
      </c>
    </row>
    <row r="186" spans="1:21">
      <c r="A186">
        <v>6230564833</v>
      </c>
      <c r="B186" s="17">
        <v>46078</v>
      </c>
      <c r="C186">
        <v>86000298</v>
      </c>
      <c r="D186" t="s">
        <v>1141</v>
      </c>
      <c r="E186" t="s">
        <v>53</v>
      </c>
      <c r="F186" t="s">
        <v>902</v>
      </c>
      <c r="G186">
        <v>4112340</v>
      </c>
      <c r="H186" t="s">
        <v>1142</v>
      </c>
      <c r="I186" t="s">
        <v>1143</v>
      </c>
      <c r="J186">
        <v>4000006878</v>
      </c>
      <c r="K186" t="s">
        <v>47</v>
      </c>
      <c r="L186" t="s">
        <v>1173</v>
      </c>
      <c r="M186" s="42">
        <v>-1575192</v>
      </c>
      <c r="N186">
        <v>7144</v>
      </c>
      <c r="O186">
        <v>2</v>
      </c>
      <c r="P186" t="s">
        <v>1145</v>
      </c>
      <c r="Q186">
        <v>2026</v>
      </c>
      <c r="R186">
        <v>2</v>
      </c>
      <c r="S186" t="s">
        <v>1171</v>
      </c>
      <c r="T186">
        <f t="shared" si="4"/>
        <v>2</v>
      </c>
      <c r="U186" t="str">
        <f t="shared" si="5"/>
        <v>43</v>
      </c>
    </row>
    <row r="187" spans="1:21">
      <c r="A187">
        <v>6230564833</v>
      </c>
      <c r="B187" s="17">
        <v>46078</v>
      </c>
      <c r="C187">
        <v>86000298</v>
      </c>
      <c r="D187" t="s">
        <v>1141</v>
      </c>
      <c r="E187" t="s">
        <v>53</v>
      </c>
      <c r="F187" t="s">
        <v>946</v>
      </c>
      <c r="G187">
        <v>4112340</v>
      </c>
      <c r="H187" t="s">
        <v>1142</v>
      </c>
      <c r="I187" t="s">
        <v>1143</v>
      </c>
      <c r="J187">
        <v>4000006878</v>
      </c>
      <c r="K187" t="s">
        <v>47</v>
      </c>
      <c r="L187" t="s">
        <v>1173</v>
      </c>
      <c r="M187" s="42">
        <v>-193301</v>
      </c>
      <c r="N187">
        <v>7144</v>
      </c>
      <c r="O187">
        <v>2</v>
      </c>
      <c r="P187" t="s">
        <v>1145</v>
      </c>
      <c r="Q187">
        <v>2026</v>
      </c>
      <c r="R187">
        <v>3</v>
      </c>
      <c r="S187" t="s">
        <v>1171</v>
      </c>
      <c r="T187">
        <f t="shared" si="4"/>
        <v>2</v>
      </c>
      <c r="U187" t="str">
        <f t="shared" si="5"/>
        <v>43</v>
      </c>
    </row>
    <row r="188" spans="1:21">
      <c r="A188">
        <v>6230564833</v>
      </c>
      <c r="B188" s="17">
        <v>46078</v>
      </c>
      <c r="C188">
        <v>86000298</v>
      </c>
      <c r="D188" t="s">
        <v>1141</v>
      </c>
      <c r="E188" t="s">
        <v>53</v>
      </c>
      <c r="F188" t="s">
        <v>908</v>
      </c>
      <c r="G188">
        <v>4112340</v>
      </c>
      <c r="H188" t="s">
        <v>1142</v>
      </c>
      <c r="I188" t="s">
        <v>1143</v>
      </c>
      <c r="J188">
        <v>4000006878</v>
      </c>
      <c r="K188" t="s">
        <v>47</v>
      </c>
      <c r="L188" t="s">
        <v>1173</v>
      </c>
      <c r="M188" s="42">
        <v>-449972</v>
      </c>
      <c r="N188">
        <v>7144</v>
      </c>
      <c r="O188">
        <v>2</v>
      </c>
      <c r="P188" t="s">
        <v>1145</v>
      </c>
      <c r="Q188">
        <v>2026</v>
      </c>
      <c r="R188">
        <v>4</v>
      </c>
      <c r="S188" t="s">
        <v>1171</v>
      </c>
      <c r="T188">
        <f t="shared" si="4"/>
        <v>2</v>
      </c>
      <c r="U188" t="str">
        <f t="shared" si="5"/>
        <v>43</v>
      </c>
    </row>
    <row r="189" spans="1:21">
      <c r="A189">
        <v>6230564833</v>
      </c>
      <c r="B189" s="17">
        <v>46078</v>
      </c>
      <c r="C189">
        <v>86000298</v>
      </c>
      <c r="D189" t="s">
        <v>1141</v>
      </c>
      <c r="E189" t="s">
        <v>53</v>
      </c>
      <c r="F189" t="s">
        <v>914</v>
      </c>
      <c r="G189">
        <v>4110110</v>
      </c>
      <c r="H189" t="s">
        <v>1018</v>
      </c>
      <c r="I189" t="s">
        <v>1143</v>
      </c>
      <c r="J189">
        <v>4000006878</v>
      </c>
      <c r="K189" t="s">
        <v>47</v>
      </c>
      <c r="L189" t="s">
        <v>1173</v>
      </c>
      <c r="M189" s="42">
        <v>-6212372</v>
      </c>
      <c r="N189">
        <v>7144</v>
      </c>
      <c r="O189">
        <v>2</v>
      </c>
      <c r="P189" t="s">
        <v>1145</v>
      </c>
      <c r="Q189">
        <v>2026</v>
      </c>
      <c r="R189">
        <v>5</v>
      </c>
      <c r="S189" t="s">
        <v>1171</v>
      </c>
      <c r="T189">
        <f t="shared" si="4"/>
        <v>2</v>
      </c>
      <c r="U189" t="str">
        <f t="shared" si="5"/>
        <v>43</v>
      </c>
    </row>
    <row r="190" spans="1:21">
      <c r="A190">
        <v>6230564833</v>
      </c>
      <c r="B190" s="17">
        <v>46078</v>
      </c>
      <c r="C190">
        <v>86000298</v>
      </c>
      <c r="D190" t="s">
        <v>1141</v>
      </c>
      <c r="E190" t="s">
        <v>53</v>
      </c>
      <c r="F190" t="s">
        <v>914</v>
      </c>
      <c r="G190">
        <v>4110110</v>
      </c>
      <c r="H190" t="s">
        <v>1018</v>
      </c>
      <c r="I190" t="s">
        <v>1143</v>
      </c>
      <c r="J190">
        <v>4000006878</v>
      </c>
      <c r="K190" t="s">
        <v>47</v>
      </c>
      <c r="L190" t="s">
        <v>1173</v>
      </c>
      <c r="M190" s="42">
        <v>-71619</v>
      </c>
      <c r="N190">
        <v>7144</v>
      </c>
      <c r="O190">
        <v>2</v>
      </c>
      <c r="P190" t="s">
        <v>1145</v>
      </c>
      <c r="Q190">
        <v>2026</v>
      </c>
      <c r="R190">
        <v>6</v>
      </c>
      <c r="S190" t="s">
        <v>1171</v>
      </c>
      <c r="T190">
        <f t="shared" si="4"/>
        <v>2</v>
      </c>
      <c r="U190" t="str">
        <f t="shared" si="5"/>
        <v>43</v>
      </c>
    </row>
    <row r="191" spans="1:21">
      <c r="A191">
        <v>6230564833</v>
      </c>
      <c r="B191" s="17">
        <v>46078</v>
      </c>
      <c r="C191">
        <v>86000298</v>
      </c>
      <c r="D191" t="s">
        <v>1141</v>
      </c>
      <c r="E191" t="s">
        <v>53</v>
      </c>
      <c r="F191" t="s">
        <v>914</v>
      </c>
      <c r="G191">
        <v>4110110</v>
      </c>
      <c r="H191" t="s">
        <v>1018</v>
      </c>
      <c r="I191" t="s">
        <v>1143</v>
      </c>
      <c r="J191">
        <v>4000006878</v>
      </c>
      <c r="K191" t="s">
        <v>47</v>
      </c>
      <c r="L191" t="s">
        <v>1173</v>
      </c>
      <c r="M191" s="42">
        <v>-1317098</v>
      </c>
      <c r="N191">
        <v>7144</v>
      </c>
      <c r="O191">
        <v>2</v>
      </c>
      <c r="P191" t="s">
        <v>1145</v>
      </c>
      <c r="Q191">
        <v>2026</v>
      </c>
      <c r="R191">
        <v>7</v>
      </c>
      <c r="S191" t="s">
        <v>1171</v>
      </c>
      <c r="T191">
        <f t="shared" si="4"/>
        <v>2</v>
      </c>
      <c r="U191" t="str">
        <f t="shared" si="5"/>
        <v>43</v>
      </c>
    </row>
    <row r="192" spans="1:21">
      <c r="A192">
        <v>6230564833</v>
      </c>
      <c r="B192" s="17">
        <v>46078</v>
      </c>
      <c r="C192">
        <v>86000298</v>
      </c>
      <c r="D192" t="s">
        <v>1141</v>
      </c>
      <c r="E192" t="s">
        <v>53</v>
      </c>
      <c r="F192" t="s">
        <v>909</v>
      </c>
      <c r="G192">
        <v>4112340</v>
      </c>
      <c r="H192" t="s">
        <v>1142</v>
      </c>
      <c r="I192" t="s">
        <v>1143</v>
      </c>
      <c r="J192">
        <v>4000006878</v>
      </c>
      <c r="K192" t="s">
        <v>47</v>
      </c>
      <c r="L192" t="s">
        <v>1173</v>
      </c>
      <c r="M192" s="42">
        <v>-587960</v>
      </c>
      <c r="N192">
        <v>7144</v>
      </c>
      <c r="O192">
        <v>2</v>
      </c>
      <c r="P192" t="s">
        <v>1145</v>
      </c>
      <c r="Q192">
        <v>2026</v>
      </c>
      <c r="R192">
        <v>8</v>
      </c>
      <c r="S192" t="s">
        <v>1171</v>
      </c>
      <c r="T192">
        <f t="shared" si="4"/>
        <v>2</v>
      </c>
      <c r="U192" t="str">
        <f t="shared" si="5"/>
        <v>43</v>
      </c>
    </row>
    <row r="193" spans="1:21">
      <c r="A193">
        <v>6230564833</v>
      </c>
      <c r="B193" s="17">
        <v>46078</v>
      </c>
      <c r="C193">
        <v>86000298</v>
      </c>
      <c r="D193" t="s">
        <v>1141</v>
      </c>
      <c r="E193" t="s">
        <v>53</v>
      </c>
      <c r="F193" t="s">
        <v>967</v>
      </c>
      <c r="G193">
        <v>4110110</v>
      </c>
      <c r="H193" t="s">
        <v>1018</v>
      </c>
      <c r="I193" t="s">
        <v>1143</v>
      </c>
      <c r="J193">
        <v>4000006878</v>
      </c>
      <c r="K193" t="s">
        <v>47</v>
      </c>
      <c r="L193" t="s">
        <v>1173</v>
      </c>
      <c r="M193" s="42">
        <v>-2197368</v>
      </c>
      <c r="N193">
        <v>7144</v>
      </c>
      <c r="O193">
        <v>2</v>
      </c>
      <c r="P193" t="s">
        <v>1145</v>
      </c>
      <c r="Q193">
        <v>2026</v>
      </c>
      <c r="R193">
        <v>9</v>
      </c>
      <c r="S193" t="s">
        <v>1171</v>
      </c>
      <c r="T193">
        <f t="shared" si="4"/>
        <v>2</v>
      </c>
      <c r="U193" t="str">
        <f t="shared" si="5"/>
        <v>43</v>
      </c>
    </row>
    <row r="194" spans="1:21">
      <c r="A194">
        <v>6230564833</v>
      </c>
      <c r="B194" s="17">
        <v>46078</v>
      </c>
      <c r="C194">
        <v>86000298</v>
      </c>
      <c r="D194" t="s">
        <v>1141</v>
      </c>
      <c r="E194" t="s">
        <v>53</v>
      </c>
      <c r="F194" t="s">
        <v>910</v>
      </c>
      <c r="G194">
        <v>4112340</v>
      </c>
      <c r="H194" t="s">
        <v>1142</v>
      </c>
      <c r="I194" t="s">
        <v>1143</v>
      </c>
      <c r="J194">
        <v>4000006878</v>
      </c>
      <c r="K194" t="s">
        <v>47</v>
      </c>
      <c r="L194" t="s">
        <v>1173</v>
      </c>
      <c r="M194" s="42">
        <v>-524902</v>
      </c>
      <c r="N194">
        <v>7144</v>
      </c>
      <c r="O194">
        <v>2</v>
      </c>
      <c r="P194" t="s">
        <v>1145</v>
      </c>
      <c r="Q194">
        <v>2026</v>
      </c>
      <c r="R194">
        <v>10</v>
      </c>
      <c r="S194" t="s">
        <v>1171</v>
      </c>
      <c r="T194">
        <f t="shared" si="4"/>
        <v>2</v>
      </c>
      <c r="U194" t="str">
        <f t="shared" si="5"/>
        <v>43</v>
      </c>
    </row>
    <row r="195" spans="1:21">
      <c r="A195">
        <v>6230579305</v>
      </c>
      <c r="B195" s="17">
        <v>46078</v>
      </c>
      <c r="C195">
        <v>259003698</v>
      </c>
      <c r="D195" t="s">
        <v>1174</v>
      </c>
      <c r="E195" t="s">
        <v>53</v>
      </c>
      <c r="F195" t="s">
        <v>915</v>
      </c>
      <c r="G195">
        <v>4110110</v>
      </c>
      <c r="H195" t="s">
        <v>1018</v>
      </c>
      <c r="I195" t="s">
        <v>1143</v>
      </c>
      <c r="J195">
        <v>4000006878</v>
      </c>
      <c r="K195" t="s">
        <v>47</v>
      </c>
      <c r="L195" t="s">
        <v>1173</v>
      </c>
      <c r="M195" s="42">
        <v>512354</v>
      </c>
      <c r="N195">
        <v>7144</v>
      </c>
      <c r="O195">
        <v>2</v>
      </c>
      <c r="P195" t="s">
        <v>1145</v>
      </c>
      <c r="Q195">
        <v>2026</v>
      </c>
      <c r="R195">
        <v>1</v>
      </c>
      <c r="S195" t="s">
        <v>1171</v>
      </c>
      <c r="T195">
        <f t="shared" ref="T195:T214" si="6">IFERROR(MONTH(B195),"")</f>
        <v>2</v>
      </c>
      <c r="U195" t="str">
        <f t="shared" ref="U195:U214" si="7">RIGHT(F195,2)</f>
        <v>43</v>
      </c>
    </row>
    <row r="196" spans="1:21">
      <c r="A196">
        <v>6230579305</v>
      </c>
      <c r="B196" s="17">
        <v>46078</v>
      </c>
      <c r="C196">
        <v>259003698</v>
      </c>
      <c r="D196" t="s">
        <v>1174</v>
      </c>
      <c r="E196" t="s">
        <v>53</v>
      </c>
      <c r="F196" t="s">
        <v>902</v>
      </c>
      <c r="G196">
        <v>4112340</v>
      </c>
      <c r="H196" t="s">
        <v>1142</v>
      </c>
      <c r="I196" t="s">
        <v>1143</v>
      </c>
      <c r="J196">
        <v>4000006878</v>
      </c>
      <c r="K196" t="s">
        <v>47</v>
      </c>
      <c r="L196" t="s">
        <v>1173</v>
      </c>
      <c r="M196" s="42">
        <v>1575192</v>
      </c>
      <c r="N196">
        <v>7144</v>
      </c>
      <c r="O196">
        <v>2</v>
      </c>
      <c r="P196" t="s">
        <v>1145</v>
      </c>
      <c r="Q196">
        <v>2026</v>
      </c>
      <c r="R196">
        <v>2</v>
      </c>
      <c r="S196" t="s">
        <v>1171</v>
      </c>
      <c r="T196">
        <f t="shared" si="6"/>
        <v>2</v>
      </c>
      <c r="U196" t="str">
        <f t="shared" si="7"/>
        <v>43</v>
      </c>
    </row>
    <row r="197" spans="1:21">
      <c r="A197">
        <v>6230579305</v>
      </c>
      <c r="B197" s="17">
        <v>46078</v>
      </c>
      <c r="C197">
        <v>259003698</v>
      </c>
      <c r="D197" t="s">
        <v>1174</v>
      </c>
      <c r="E197" t="s">
        <v>53</v>
      </c>
      <c r="F197" t="s">
        <v>946</v>
      </c>
      <c r="G197">
        <v>4112340</v>
      </c>
      <c r="H197" t="s">
        <v>1142</v>
      </c>
      <c r="I197" t="s">
        <v>1143</v>
      </c>
      <c r="J197">
        <v>4000006878</v>
      </c>
      <c r="K197" t="s">
        <v>47</v>
      </c>
      <c r="L197" t="s">
        <v>1173</v>
      </c>
      <c r="M197" s="42">
        <v>193301</v>
      </c>
      <c r="N197">
        <v>7144</v>
      </c>
      <c r="O197">
        <v>2</v>
      </c>
      <c r="P197" t="s">
        <v>1145</v>
      </c>
      <c r="Q197">
        <v>2026</v>
      </c>
      <c r="R197">
        <v>3</v>
      </c>
      <c r="S197" t="s">
        <v>1171</v>
      </c>
      <c r="T197">
        <f t="shared" si="6"/>
        <v>2</v>
      </c>
      <c r="U197" t="str">
        <f t="shared" si="7"/>
        <v>43</v>
      </c>
    </row>
    <row r="198" spans="1:21">
      <c r="A198">
        <v>6230579305</v>
      </c>
      <c r="B198" s="17">
        <v>46078</v>
      </c>
      <c r="C198">
        <v>259003698</v>
      </c>
      <c r="D198" t="s">
        <v>1174</v>
      </c>
      <c r="E198" t="s">
        <v>53</v>
      </c>
      <c r="F198" t="s">
        <v>908</v>
      </c>
      <c r="G198">
        <v>4112340</v>
      </c>
      <c r="H198" t="s">
        <v>1142</v>
      </c>
      <c r="I198" t="s">
        <v>1143</v>
      </c>
      <c r="J198">
        <v>4000006878</v>
      </c>
      <c r="K198" t="s">
        <v>47</v>
      </c>
      <c r="L198" t="s">
        <v>1173</v>
      </c>
      <c r="M198" s="42">
        <v>449972</v>
      </c>
      <c r="N198">
        <v>7144</v>
      </c>
      <c r="O198">
        <v>2</v>
      </c>
      <c r="P198" t="s">
        <v>1145</v>
      </c>
      <c r="Q198">
        <v>2026</v>
      </c>
      <c r="R198">
        <v>4</v>
      </c>
      <c r="S198" t="s">
        <v>1171</v>
      </c>
      <c r="T198">
        <f t="shared" si="6"/>
        <v>2</v>
      </c>
      <c r="U198" t="str">
        <f t="shared" si="7"/>
        <v>43</v>
      </c>
    </row>
    <row r="199" spans="1:21">
      <c r="A199">
        <v>6230579305</v>
      </c>
      <c r="B199" s="17">
        <v>46078</v>
      </c>
      <c r="C199">
        <v>259003698</v>
      </c>
      <c r="D199" t="s">
        <v>1174</v>
      </c>
      <c r="E199" t="s">
        <v>53</v>
      </c>
      <c r="F199" t="s">
        <v>914</v>
      </c>
      <c r="G199">
        <v>4110110</v>
      </c>
      <c r="H199" t="s">
        <v>1018</v>
      </c>
      <c r="I199" t="s">
        <v>1143</v>
      </c>
      <c r="J199">
        <v>4000006878</v>
      </c>
      <c r="K199" t="s">
        <v>47</v>
      </c>
      <c r="L199" t="s">
        <v>1173</v>
      </c>
      <c r="M199" s="42">
        <v>6212372</v>
      </c>
      <c r="N199">
        <v>7144</v>
      </c>
      <c r="O199">
        <v>2</v>
      </c>
      <c r="P199" t="s">
        <v>1145</v>
      </c>
      <c r="Q199">
        <v>2026</v>
      </c>
      <c r="R199">
        <v>5</v>
      </c>
      <c r="S199" t="s">
        <v>1171</v>
      </c>
      <c r="T199">
        <f t="shared" si="6"/>
        <v>2</v>
      </c>
      <c r="U199" t="str">
        <f t="shared" si="7"/>
        <v>43</v>
      </c>
    </row>
    <row r="200" spans="1:21">
      <c r="A200">
        <v>6230579305</v>
      </c>
      <c r="B200" s="17">
        <v>46078</v>
      </c>
      <c r="C200">
        <v>259003698</v>
      </c>
      <c r="D200" t="s">
        <v>1174</v>
      </c>
      <c r="E200" t="s">
        <v>53</v>
      </c>
      <c r="F200" t="s">
        <v>914</v>
      </c>
      <c r="G200">
        <v>4110110</v>
      </c>
      <c r="H200" t="s">
        <v>1018</v>
      </c>
      <c r="I200" t="s">
        <v>1143</v>
      </c>
      <c r="J200">
        <v>4000006878</v>
      </c>
      <c r="K200" t="s">
        <v>47</v>
      </c>
      <c r="L200" t="s">
        <v>1173</v>
      </c>
      <c r="M200" s="42">
        <v>71619</v>
      </c>
      <c r="N200">
        <v>7144</v>
      </c>
      <c r="O200">
        <v>2</v>
      </c>
      <c r="P200" t="s">
        <v>1145</v>
      </c>
      <c r="Q200">
        <v>2026</v>
      </c>
      <c r="R200">
        <v>6</v>
      </c>
      <c r="S200" t="s">
        <v>1171</v>
      </c>
      <c r="T200">
        <f t="shared" si="6"/>
        <v>2</v>
      </c>
      <c r="U200" t="str">
        <f t="shared" si="7"/>
        <v>43</v>
      </c>
    </row>
    <row r="201" spans="1:21">
      <c r="A201">
        <v>6230579305</v>
      </c>
      <c r="B201" s="17">
        <v>46078</v>
      </c>
      <c r="C201">
        <v>259003698</v>
      </c>
      <c r="D201" t="s">
        <v>1174</v>
      </c>
      <c r="E201" t="s">
        <v>53</v>
      </c>
      <c r="F201" t="s">
        <v>914</v>
      </c>
      <c r="G201">
        <v>4110110</v>
      </c>
      <c r="H201" t="s">
        <v>1018</v>
      </c>
      <c r="I201" t="s">
        <v>1143</v>
      </c>
      <c r="J201">
        <v>4000006878</v>
      </c>
      <c r="K201" t="s">
        <v>47</v>
      </c>
      <c r="L201" t="s">
        <v>1173</v>
      </c>
      <c r="M201" s="42">
        <v>1317098</v>
      </c>
      <c r="N201">
        <v>7144</v>
      </c>
      <c r="O201">
        <v>2</v>
      </c>
      <c r="P201" t="s">
        <v>1145</v>
      </c>
      <c r="Q201">
        <v>2026</v>
      </c>
      <c r="R201">
        <v>7</v>
      </c>
      <c r="S201" t="s">
        <v>1171</v>
      </c>
      <c r="T201">
        <f t="shared" si="6"/>
        <v>2</v>
      </c>
      <c r="U201" t="str">
        <f t="shared" si="7"/>
        <v>43</v>
      </c>
    </row>
    <row r="202" spans="1:21">
      <c r="A202">
        <v>6230579305</v>
      </c>
      <c r="B202" s="17">
        <v>46078</v>
      </c>
      <c r="C202">
        <v>259003698</v>
      </c>
      <c r="D202" t="s">
        <v>1174</v>
      </c>
      <c r="E202" t="s">
        <v>53</v>
      </c>
      <c r="F202" t="s">
        <v>909</v>
      </c>
      <c r="G202">
        <v>4112340</v>
      </c>
      <c r="H202" t="s">
        <v>1142</v>
      </c>
      <c r="I202" t="s">
        <v>1143</v>
      </c>
      <c r="J202">
        <v>4000006878</v>
      </c>
      <c r="K202" t="s">
        <v>47</v>
      </c>
      <c r="L202" t="s">
        <v>1173</v>
      </c>
      <c r="M202" s="42">
        <v>587960</v>
      </c>
      <c r="N202">
        <v>7144</v>
      </c>
      <c r="O202">
        <v>2</v>
      </c>
      <c r="P202" t="s">
        <v>1145</v>
      </c>
      <c r="Q202">
        <v>2026</v>
      </c>
      <c r="R202">
        <v>8</v>
      </c>
      <c r="S202" t="s">
        <v>1171</v>
      </c>
      <c r="T202">
        <f t="shared" si="6"/>
        <v>2</v>
      </c>
      <c r="U202" t="str">
        <f t="shared" si="7"/>
        <v>43</v>
      </c>
    </row>
    <row r="203" spans="1:21">
      <c r="A203">
        <v>6230579305</v>
      </c>
      <c r="B203" s="17">
        <v>46078</v>
      </c>
      <c r="C203">
        <v>259003698</v>
      </c>
      <c r="D203" t="s">
        <v>1174</v>
      </c>
      <c r="E203" t="s">
        <v>53</v>
      </c>
      <c r="F203" t="s">
        <v>967</v>
      </c>
      <c r="G203">
        <v>4110110</v>
      </c>
      <c r="H203" t="s">
        <v>1018</v>
      </c>
      <c r="I203" t="s">
        <v>1143</v>
      </c>
      <c r="J203">
        <v>4000006878</v>
      </c>
      <c r="K203" t="s">
        <v>47</v>
      </c>
      <c r="L203" t="s">
        <v>1173</v>
      </c>
      <c r="M203" s="42">
        <v>2197368</v>
      </c>
      <c r="N203">
        <v>7144</v>
      </c>
      <c r="O203">
        <v>2</v>
      </c>
      <c r="P203" t="s">
        <v>1145</v>
      </c>
      <c r="Q203">
        <v>2026</v>
      </c>
      <c r="R203">
        <v>9</v>
      </c>
      <c r="S203" t="s">
        <v>1171</v>
      </c>
      <c r="T203">
        <f t="shared" si="6"/>
        <v>2</v>
      </c>
      <c r="U203" t="str">
        <f t="shared" si="7"/>
        <v>43</v>
      </c>
    </row>
    <row r="204" spans="1:21">
      <c r="A204">
        <v>6230579305</v>
      </c>
      <c r="B204" s="17">
        <v>46078</v>
      </c>
      <c r="C204">
        <v>259003698</v>
      </c>
      <c r="D204" t="s">
        <v>1174</v>
      </c>
      <c r="E204" t="s">
        <v>53</v>
      </c>
      <c r="F204" t="s">
        <v>910</v>
      </c>
      <c r="G204">
        <v>4112340</v>
      </c>
      <c r="H204" t="s">
        <v>1142</v>
      </c>
      <c r="I204" t="s">
        <v>1143</v>
      </c>
      <c r="J204">
        <v>4000006878</v>
      </c>
      <c r="K204" t="s">
        <v>47</v>
      </c>
      <c r="L204" t="s">
        <v>1173</v>
      </c>
      <c r="M204" s="42">
        <v>524902</v>
      </c>
      <c r="N204">
        <v>7144</v>
      </c>
      <c r="O204">
        <v>2</v>
      </c>
      <c r="P204" t="s">
        <v>1145</v>
      </c>
      <c r="Q204">
        <v>2026</v>
      </c>
      <c r="R204">
        <v>10</v>
      </c>
      <c r="S204" t="s">
        <v>1171</v>
      </c>
      <c r="T204">
        <f t="shared" si="6"/>
        <v>2</v>
      </c>
      <c r="U204" t="str">
        <f t="shared" si="7"/>
        <v>43</v>
      </c>
    </row>
    <row r="205" spans="1:21">
      <c r="A205">
        <v>6230587704</v>
      </c>
      <c r="B205" s="17">
        <v>46078</v>
      </c>
      <c r="C205">
        <v>86000451</v>
      </c>
      <c r="D205" t="s">
        <v>1141</v>
      </c>
      <c r="E205" t="s">
        <v>53</v>
      </c>
      <c r="F205" t="s">
        <v>915</v>
      </c>
      <c r="G205">
        <v>4110110</v>
      </c>
      <c r="H205" t="s">
        <v>1018</v>
      </c>
      <c r="I205" t="s">
        <v>1143</v>
      </c>
      <c r="J205">
        <v>4000006878</v>
      </c>
      <c r="K205" t="s">
        <v>47</v>
      </c>
      <c r="L205" t="s">
        <v>1173</v>
      </c>
      <c r="M205" s="42">
        <v>-512354</v>
      </c>
      <c r="N205">
        <v>7144</v>
      </c>
      <c r="O205">
        <v>2</v>
      </c>
      <c r="P205" t="s">
        <v>1145</v>
      </c>
      <c r="Q205">
        <v>2026</v>
      </c>
      <c r="R205">
        <v>1</v>
      </c>
      <c r="S205" t="s">
        <v>1171</v>
      </c>
      <c r="T205">
        <f t="shared" si="6"/>
        <v>2</v>
      </c>
      <c r="U205" t="str">
        <f t="shared" si="7"/>
        <v>43</v>
      </c>
    </row>
    <row r="206" spans="1:21">
      <c r="A206">
        <v>6230587704</v>
      </c>
      <c r="B206" s="17">
        <v>46078</v>
      </c>
      <c r="C206">
        <v>86000451</v>
      </c>
      <c r="D206" t="s">
        <v>1141</v>
      </c>
      <c r="E206" t="s">
        <v>53</v>
      </c>
      <c r="F206" t="s">
        <v>902</v>
      </c>
      <c r="G206">
        <v>4112340</v>
      </c>
      <c r="H206" t="s">
        <v>1142</v>
      </c>
      <c r="I206" t="s">
        <v>1143</v>
      </c>
      <c r="J206">
        <v>4000006878</v>
      </c>
      <c r="K206" t="s">
        <v>47</v>
      </c>
      <c r="L206" t="s">
        <v>1173</v>
      </c>
      <c r="M206" s="42">
        <v>-1575192</v>
      </c>
      <c r="N206">
        <v>7144</v>
      </c>
      <c r="O206">
        <v>2</v>
      </c>
      <c r="P206" t="s">
        <v>1145</v>
      </c>
      <c r="Q206">
        <v>2026</v>
      </c>
      <c r="R206">
        <v>2</v>
      </c>
      <c r="S206" t="s">
        <v>1171</v>
      </c>
      <c r="T206">
        <f t="shared" si="6"/>
        <v>2</v>
      </c>
      <c r="U206" t="str">
        <f t="shared" si="7"/>
        <v>43</v>
      </c>
    </row>
    <row r="207" spans="1:21">
      <c r="A207">
        <v>6230587704</v>
      </c>
      <c r="B207" s="17">
        <v>46078</v>
      </c>
      <c r="C207">
        <v>86000451</v>
      </c>
      <c r="D207" t="s">
        <v>1141</v>
      </c>
      <c r="E207" t="s">
        <v>53</v>
      </c>
      <c r="F207" t="s">
        <v>946</v>
      </c>
      <c r="G207">
        <v>4112340</v>
      </c>
      <c r="H207" t="s">
        <v>1142</v>
      </c>
      <c r="I207" t="s">
        <v>1143</v>
      </c>
      <c r="J207">
        <v>4000006878</v>
      </c>
      <c r="K207" t="s">
        <v>47</v>
      </c>
      <c r="L207" t="s">
        <v>1173</v>
      </c>
      <c r="M207" s="42">
        <v>-193301</v>
      </c>
      <c r="N207">
        <v>7144</v>
      </c>
      <c r="O207">
        <v>2</v>
      </c>
      <c r="P207" t="s">
        <v>1145</v>
      </c>
      <c r="Q207">
        <v>2026</v>
      </c>
      <c r="R207">
        <v>3</v>
      </c>
      <c r="S207" t="s">
        <v>1171</v>
      </c>
      <c r="T207">
        <f t="shared" si="6"/>
        <v>2</v>
      </c>
      <c r="U207" t="str">
        <f t="shared" si="7"/>
        <v>43</v>
      </c>
    </row>
    <row r="208" spans="1:21">
      <c r="A208">
        <v>6230587704</v>
      </c>
      <c r="B208" s="17">
        <v>46078</v>
      </c>
      <c r="C208">
        <v>86000451</v>
      </c>
      <c r="D208" t="s">
        <v>1141</v>
      </c>
      <c r="E208" t="s">
        <v>53</v>
      </c>
      <c r="F208" t="s">
        <v>908</v>
      </c>
      <c r="G208">
        <v>4112340</v>
      </c>
      <c r="H208" t="s">
        <v>1142</v>
      </c>
      <c r="I208" t="s">
        <v>1143</v>
      </c>
      <c r="J208">
        <v>4000006878</v>
      </c>
      <c r="K208" t="s">
        <v>47</v>
      </c>
      <c r="L208" t="s">
        <v>1173</v>
      </c>
      <c r="M208" s="42">
        <v>-449972</v>
      </c>
      <c r="N208">
        <v>7144</v>
      </c>
      <c r="O208">
        <v>2</v>
      </c>
      <c r="P208" t="s">
        <v>1145</v>
      </c>
      <c r="Q208">
        <v>2026</v>
      </c>
      <c r="R208">
        <v>4</v>
      </c>
      <c r="S208" t="s">
        <v>1171</v>
      </c>
      <c r="T208">
        <f t="shared" si="6"/>
        <v>2</v>
      </c>
      <c r="U208" t="str">
        <f t="shared" si="7"/>
        <v>43</v>
      </c>
    </row>
    <row r="209" spans="1:21">
      <c r="A209">
        <v>6230587704</v>
      </c>
      <c r="B209" s="17">
        <v>46078</v>
      </c>
      <c r="C209">
        <v>86000451</v>
      </c>
      <c r="D209" t="s">
        <v>1141</v>
      </c>
      <c r="E209" t="s">
        <v>53</v>
      </c>
      <c r="F209" t="s">
        <v>914</v>
      </c>
      <c r="G209">
        <v>4110110</v>
      </c>
      <c r="H209" t="s">
        <v>1018</v>
      </c>
      <c r="I209" t="s">
        <v>1143</v>
      </c>
      <c r="J209">
        <v>4000006878</v>
      </c>
      <c r="K209" t="s">
        <v>47</v>
      </c>
      <c r="L209" t="s">
        <v>1173</v>
      </c>
      <c r="M209" s="42">
        <v>-6212372</v>
      </c>
      <c r="N209">
        <v>7144</v>
      </c>
      <c r="O209">
        <v>2</v>
      </c>
      <c r="P209" t="s">
        <v>1145</v>
      </c>
      <c r="Q209">
        <v>2026</v>
      </c>
      <c r="R209">
        <v>5</v>
      </c>
      <c r="S209" t="s">
        <v>1171</v>
      </c>
      <c r="T209">
        <f t="shared" si="6"/>
        <v>2</v>
      </c>
      <c r="U209" t="str">
        <f t="shared" si="7"/>
        <v>43</v>
      </c>
    </row>
    <row r="210" spans="1:21">
      <c r="A210">
        <v>6230587704</v>
      </c>
      <c r="B210" s="17">
        <v>46078</v>
      </c>
      <c r="C210">
        <v>86000451</v>
      </c>
      <c r="D210" t="s">
        <v>1141</v>
      </c>
      <c r="E210" t="s">
        <v>53</v>
      </c>
      <c r="F210" t="s">
        <v>914</v>
      </c>
      <c r="G210">
        <v>4110110</v>
      </c>
      <c r="H210" t="s">
        <v>1018</v>
      </c>
      <c r="I210" t="s">
        <v>1143</v>
      </c>
      <c r="J210">
        <v>4000006878</v>
      </c>
      <c r="K210" t="s">
        <v>47</v>
      </c>
      <c r="L210" t="s">
        <v>1173</v>
      </c>
      <c r="M210" s="42">
        <v>-71619</v>
      </c>
      <c r="N210">
        <v>7144</v>
      </c>
      <c r="O210">
        <v>2</v>
      </c>
      <c r="P210" t="s">
        <v>1145</v>
      </c>
      <c r="Q210">
        <v>2026</v>
      </c>
      <c r="R210">
        <v>6</v>
      </c>
      <c r="S210" t="s">
        <v>1171</v>
      </c>
      <c r="T210">
        <f t="shared" si="6"/>
        <v>2</v>
      </c>
      <c r="U210" t="str">
        <f t="shared" si="7"/>
        <v>43</v>
      </c>
    </row>
    <row r="211" spans="1:21">
      <c r="A211">
        <v>6230587704</v>
      </c>
      <c r="B211" s="17">
        <v>46078</v>
      </c>
      <c r="C211">
        <v>86000451</v>
      </c>
      <c r="D211" t="s">
        <v>1141</v>
      </c>
      <c r="E211" t="s">
        <v>53</v>
      </c>
      <c r="F211" t="s">
        <v>914</v>
      </c>
      <c r="G211">
        <v>4110110</v>
      </c>
      <c r="H211" t="s">
        <v>1018</v>
      </c>
      <c r="I211" t="s">
        <v>1143</v>
      </c>
      <c r="J211">
        <v>4000006878</v>
      </c>
      <c r="K211" t="s">
        <v>47</v>
      </c>
      <c r="L211" t="s">
        <v>1173</v>
      </c>
      <c r="M211" s="42">
        <v>-1317098</v>
      </c>
      <c r="N211">
        <v>7144</v>
      </c>
      <c r="O211">
        <v>2</v>
      </c>
      <c r="P211" t="s">
        <v>1145</v>
      </c>
      <c r="Q211">
        <v>2026</v>
      </c>
      <c r="R211">
        <v>7</v>
      </c>
      <c r="S211" t="s">
        <v>1171</v>
      </c>
      <c r="T211">
        <f t="shared" si="6"/>
        <v>2</v>
      </c>
      <c r="U211" t="str">
        <f t="shared" si="7"/>
        <v>43</v>
      </c>
    </row>
    <row r="212" spans="1:21">
      <c r="A212">
        <v>6230587704</v>
      </c>
      <c r="B212" s="17">
        <v>46078</v>
      </c>
      <c r="C212">
        <v>86000451</v>
      </c>
      <c r="D212" t="s">
        <v>1141</v>
      </c>
      <c r="E212" t="s">
        <v>53</v>
      </c>
      <c r="F212" t="s">
        <v>909</v>
      </c>
      <c r="G212">
        <v>4112340</v>
      </c>
      <c r="H212" t="s">
        <v>1142</v>
      </c>
      <c r="I212" t="s">
        <v>1143</v>
      </c>
      <c r="J212">
        <v>4000006878</v>
      </c>
      <c r="K212" t="s">
        <v>47</v>
      </c>
      <c r="L212" t="s">
        <v>1173</v>
      </c>
      <c r="M212" s="42">
        <v>-587960</v>
      </c>
      <c r="N212">
        <v>7144</v>
      </c>
      <c r="O212">
        <v>2</v>
      </c>
      <c r="P212" t="s">
        <v>1145</v>
      </c>
      <c r="Q212">
        <v>2026</v>
      </c>
      <c r="R212">
        <v>8</v>
      </c>
      <c r="S212" t="s">
        <v>1171</v>
      </c>
      <c r="T212">
        <f t="shared" si="6"/>
        <v>2</v>
      </c>
      <c r="U212" t="str">
        <f t="shared" si="7"/>
        <v>43</v>
      </c>
    </row>
    <row r="213" spans="1:21">
      <c r="A213">
        <v>6230587704</v>
      </c>
      <c r="B213" s="17">
        <v>46078</v>
      </c>
      <c r="C213">
        <v>86000451</v>
      </c>
      <c r="D213" t="s">
        <v>1141</v>
      </c>
      <c r="E213" t="s">
        <v>53</v>
      </c>
      <c r="F213" t="s">
        <v>967</v>
      </c>
      <c r="G213">
        <v>4110110</v>
      </c>
      <c r="H213" t="s">
        <v>1018</v>
      </c>
      <c r="I213" t="s">
        <v>1143</v>
      </c>
      <c r="J213">
        <v>4000006878</v>
      </c>
      <c r="K213" t="s">
        <v>47</v>
      </c>
      <c r="L213" t="s">
        <v>1173</v>
      </c>
      <c r="M213" s="42">
        <v>-2197368</v>
      </c>
      <c r="N213">
        <v>7144</v>
      </c>
      <c r="O213">
        <v>2</v>
      </c>
      <c r="P213" t="s">
        <v>1145</v>
      </c>
      <c r="Q213">
        <v>2026</v>
      </c>
      <c r="R213">
        <v>9</v>
      </c>
      <c r="S213" t="s">
        <v>1171</v>
      </c>
      <c r="T213">
        <f t="shared" si="6"/>
        <v>2</v>
      </c>
      <c r="U213" t="str">
        <f t="shared" si="7"/>
        <v>43</v>
      </c>
    </row>
    <row r="214" spans="1:21">
      <c r="A214">
        <v>6230587704</v>
      </c>
      <c r="B214" s="17">
        <v>46078</v>
      </c>
      <c r="C214">
        <v>86000451</v>
      </c>
      <c r="D214" t="s">
        <v>1141</v>
      </c>
      <c r="E214" t="s">
        <v>53</v>
      </c>
      <c r="F214" t="s">
        <v>910</v>
      </c>
      <c r="G214">
        <v>4112340</v>
      </c>
      <c r="H214" t="s">
        <v>1142</v>
      </c>
      <c r="I214" t="s">
        <v>1143</v>
      </c>
      <c r="J214">
        <v>4000006878</v>
      </c>
      <c r="K214" t="s">
        <v>47</v>
      </c>
      <c r="L214" t="s">
        <v>1173</v>
      </c>
      <c r="M214" s="42">
        <v>-524902</v>
      </c>
      <c r="N214">
        <v>7144</v>
      </c>
      <c r="O214">
        <v>2</v>
      </c>
      <c r="P214" t="s">
        <v>1145</v>
      </c>
      <c r="Q214">
        <v>2026</v>
      </c>
      <c r="R214">
        <v>10</v>
      </c>
      <c r="S214" t="s">
        <v>1171</v>
      </c>
      <c r="T214">
        <f t="shared" si="6"/>
        <v>2</v>
      </c>
      <c r="U214" t="str">
        <f t="shared" si="7"/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H915"/>
  <sheetViews>
    <sheetView zoomScale="80" zoomScaleNormal="80" workbookViewId="0">
      <pane ySplit="1" topLeftCell="A873" activePane="bottomLeft" state="frozen"/>
      <selection activeCell="E2" sqref="E2:K2"/>
      <selection pane="bottomLeft" activeCell="C897" sqref="C897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17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18" bestFit="1" customWidth="1"/>
    <col min="16" max="16" width="14.6640625" style="18" customWidth="1"/>
    <col min="17" max="17" width="10.6640625" style="17" customWidth="1"/>
    <col min="18" max="18" width="47.6640625" style="18" customWidth="1"/>
    <col min="19" max="19" width="11.88671875" style="32" bestFit="1" customWidth="1"/>
    <col min="20" max="20" width="14.5546875" style="19" bestFit="1" customWidth="1"/>
    <col min="21" max="21" width="13.6640625" style="17" bestFit="1" customWidth="1"/>
    <col min="22" max="22" width="17.109375" style="17" bestFit="1" customWidth="1"/>
    <col min="23" max="23" width="8.33203125" style="18" bestFit="1" customWidth="1"/>
    <col min="24" max="25" width="17.6640625" style="17" customWidth="1"/>
    <col min="26" max="26" width="11.33203125" style="45" bestFit="1" customWidth="1"/>
    <col min="27" max="27" width="11.33203125" bestFit="1" customWidth="1"/>
    <col min="28" max="28" width="19.44140625" style="42" bestFit="1" customWidth="1"/>
    <col min="29" max="29" width="22.33203125" style="42" bestFit="1" customWidth="1"/>
    <col min="30" max="30" width="7.6640625" style="23" customWidth="1"/>
    <col min="31" max="34" width="7.6640625" style="9" customWidth="1"/>
    <col min="35" max="35" width="7.6640625" customWidth="1"/>
  </cols>
  <sheetData>
    <row r="1" spans="1:32">
      <c r="A1" s="13" t="s">
        <v>16</v>
      </c>
      <c r="B1" s="13" t="s">
        <v>17</v>
      </c>
      <c r="C1" s="13" t="s">
        <v>18</v>
      </c>
      <c r="D1" s="13" t="s">
        <v>19</v>
      </c>
      <c r="E1" s="13" t="s">
        <v>20</v>
      </c>
      <c r="F1" s="13" t="s">
        <v>21</v>
      </c>
      <c r="G1" s="13" t="s">
        <v>22</v>
      </c>
      <c r="H1" s="13" t="s">
        <v>23</v>
      </c>
      <c r="I1" s="13" t="s">
        <v>24</v>
      </c>
      <c r="J1" s="13" t="s">
        <v>25</v>
      </c>
      <c r="K1" s="13" t="s">
        <v>26</v>
      </c>
      <c r="L1" s="13" t="s">
        <v>27</v>
      </c>
      <c r="M1" s="13" t="s">
        <v>28</v>
      </c>
      <c r="N1" s="13" t="s">
        <v>29</v>
      </c>
      <c r="O1" s="13" t="s">
        <v>30</v>
      </c>
      <c r="P1" s="13" t="s">
        <v>31</v>
      </c>
      <c r="Q1" s="14" t="s">
        <v>32</v>
      </c>
      <c r="R1" s="16" t="s">
        <v>33</v>
      </c>
      <c r="S1" s="31" t="s">
        <v>34</v>
      </c>
      <c r="T1" s="15" t="s">
        <v>35</v>
      </c>
      <c r="U1" s="14" t="s">
        <v>36</v>
      </c>
      <c r="V1" s="14" t="s">
        <v>37</v>
      </c>
      <c r="W1" s="16" t="s">
        <v>38</v>
      </c>
      <c r="X1" s="14" t="s">
        <v>39</v>
      </c>
      <c r="Y1" s="14" t="s">
        <v>40</v>
      </c>
      <c r="Z1" s="44" t="s">
        <v>41</v>
      </c>
      <c r="AA1" s="13" t="s">
        <v>42</v>
      </c>
      <c r="AB1" s="43" t="s">
        <v>43</v>
      </c>
      <c r="AC1" s="43" t="s">
        <v>44</v>
      </c>
      <c r="AD1"/>
      <c r="AE1"/>
      <c r="AF1"/>
    </row>
    <row r="2" spans="1:32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17" t="s">
        <v>52</v>
      </c>
      <c r="I2" s="18" t="s">
        <v>53</v>
      </c>
      <c r="J2" s="18" t="s">
        <v>54</v>
      </c>
      <c r="K2" s="18"/>
      <c r="L2" t="s">
        <v>55</v>
      </c>
      <c r="M2" t="s">
        <v>56</v>
      </c>
      <c r="N2" t="s">
        <v>57</v>
      </c>
      <c r="O2" s="18" t="s">
        <v>58</v>
      </c>
      <c r="P2" s="18" t="s">
        <v>59</v>
      </c>
      <c r="Q2" s="17" t="s">
        <v>60</v>
      </c>
      <c r="R2" s="18" t="s">
        <v>61</v>
      </c>
      <c r="S2" s="32">
        <v>80</v>
      </c>
      <c r="T2" s="19">
        <v>80</v>
      </c>
      <c r="U2" s="17" t="s">
        <v>62</v>
      </c>
      <c r="V2" s="17">
        <v>45665</v>
      </c>
      <c r="W2" s="18">
        <v>1</v>
      </c>
      <c r="X2" s="17">
        <v>45754</v>
      </c>
      <c r="Y2" s="17">
        <v>45679</v>
      </c>
      <c r="Z2" s="45">
        <v>1</v>
      </c>
      <c r="AA2">
        <v>2025</v>
      </c>
      <c r="AB2" s="42">
        <v>1271840</v>
      </c>
      <c r="AC2" s="42">
        <v>1271840</v>
      </c>
      <c r="AD2"/>
    </row>
    <row r="3" spans="1:32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17" t="s">
        <v>52</v>
      </c>
      <c r="I3" s="18" t="s">
        <v>53</v>
      </c>
      <c r="J3" s="18" t="s">
        <v>54</v>
      </c>
      <c r="K3" s="18"/>
      <c r="L3" t="s">
        <v>55</v>
      </c>
      <c r="M3" t="s">
        <v>56</v>
      </c>
      <c r="N3" t="s">
        <v>57</v>
      </c>
      <c r="O3" s="18" t="s">
        <v>58</v>
      </c>
      <c r="P3" s="18" t="s">
        <v>64</v>
      </c>
      <c r="Q3" s="17" t="s">
        <v>65</v>
      </c>
      <c r="R3" s="18" t="s">
        <v>66</v>
      </c>
      <c r="S3" s="32">
        <v>10</v>
      </c>
      <c r="T3" s="19">
        <v>10</v>
      </c>
      <c r="U3" s="17" t="s">
        <v>62</v>
      </c>
      <c r="V3" s="17">
        <v>45665</v>
      </c>
      <c r="W3" s="18">
        <v>1</v>
      </c>
      <c r="X3" s="17">
        <v>45754</v>
      </c>
      <c r="Y3" s="17">
        <v>45679</v>
      </c>
      <c r="Z3" s="45">
        <v>1</v>
      </c>
      <c r="AA3">
        <v>2025</v>
      </c>
      <c r="AB3" s="42">
        <v>137160</v>
      </c>
      <c r="AC3" s="42">
        <v>137160</v>
      </c>
      <c r="AD3"/>
    </row>
    <row r="4" spans="1:32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67</v>
      </c>
      <c r="G4" t="s">
        <v>51</v>
      </c>
      <c r="H4" s="17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18" t="s">
        <v>58</v>
      </c>
      <c r="P4" s="18" t="s">
        <v>68</v>
      </c>
      <c r="Q4" s="17" t="s">
        <v>69</v>
      </c>
      <c r="R4" s="18" t="s">
        <v>70</v>
      </c>
      <c r="S4" s="32">
        <v>7</v>
      </c>
      <c r="T4" s="19">
        <v>7</v>
      </c>
      <c r="U4" s="17" t="s">
        <v>62</v>
      </c>
      <c r="V4" s="17">
        <v>45665</v>
      </c>
      <c r="W4" s="18">
        <v>1</v>
      </c>
      <c r="X4" s="17">
        <v>45754</v>
      </c>
      <c r="Y4" s="17">
        <v>45679</v>
      </c>
      <c r="Z4" s="45">
        <v>1</v>
      </c>
      <c r="AA4">
        <v>2025</v>
      </c>
      <c r="AB4" s="42">
        <v>508424</v>
      </c>
      <c r="AC4" s="42">
        <v>508424</v>
      </c>
    </row>
    <row r="5" spans="1:32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71</v>
      </c>
      <c r="G5" t="s">
        <v>51</v>
      </c>
      <c r="H5" s="17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18" t="s">
        <v>58</v>
      </c>
      <c r="P5" s="18" t="s">
        <v>72</v>
      </c>
      <c r="Q5" s="17" t="s">
        <v>73</v>
      </c>
      <c r="R5" s="18" t="s">
        <v>74</v>
      </c>
      <c r="S5" s="32">
        <v>40</v>
      </c>
      <c r="T5" s="19">
        <v>40</v>
      </c>
      <c r="U5" s="17" t="s">
        <v>62</v>
      </c>
      <c r="V5" s="17">
        <v>45665</v>
      </c>
      <c r="W5" s="18">
        <v>1</v>
      </c>
      <c r="X5" s="17">
        <v>45754</v>
      </c>
      <c r="Y5" s="17">
        <v>45679</v>
      </c>
      <c r="Z5" s="45">
        <v>1</v>
      </c>
      <c r="AA5">
        <v>2025</v>
      </c>
      <c r="AB5" s="42">
        <v>764920</v>
      </c>
      <c r="AC5" s="42">
        <v>764920</v>
      </c>
    </row>
    <row r="6" spans="1:32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75</v>
      </c>
      <c r="G6" t="s">
        <v>51</v>
      </c>
      <c r="H6" s="17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18" t="s">
        <v>58</v>
      </c>
      <c r="P6" s="18" t="s">
        <v>76</v>
      </c>
      <c r="Q6" s="17" t="s">
        <v>77</v>
      </c>
      <c r="R6" s="18" t="s">
        <v>78</v>
      </c>
      <c r="S6" s="32">
        <v>7</v>
      </c>
      <c r="T6" s="19">
        <v>7</v>
      </c>
      <c r="U6" s="17" t="s">
        <v>62</v>
      </c>
      <c r="V6" s="17">
        <v>45665</v>
      </c>
      <c r="W6" s="18">
        <v>1</v>
      </c>
      <c r="X6" s="17">
        <v>45754</v>
      </c>
      <c r="Y6" s="17">
        <v>45679</v>
      </c>
      <c r="Z6" s="45">
        <v>1</v>
      </c>
      <c r="AA6">
        <v>2025</v>
      </c>
      <c r="AB6" s="42">
        <v>53711</v>
      </c>
      <c r="AC6" s="42">
        <v>53711</v>
      </c>
    </row>
    <row r="7" spans="1:32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79</v>
      </c>
      <c r="G7" t="s">
        <v>51</v>
      </c>
      <c r="H7" s="17" t="s">
        <v>52</v>
      </c>
      <c r="I7" t="s">
        <v>53</v>
      </c>
      <c r="J7" t="s">
        <v>54</v>
      </c>
      <c r="L7" t="s">
        <v>55</v>
      </c>
      <c r="M7" t="s">
        <v>56</v>
      </c>
      <c r="N7" t="s">
        <v>57</v>
      </c>
      <c r="O7" s="18" t="s">
        <v>58</v>
      </c>
      <c r="P7" s="18" t="s">
        <v>80</v>
      </c>
      <c r="Q7" s="17" t="s">
        <v>81</v>
      </c>
      <c r="R7" s="18" t="s">
        <v>82</v>
      </c>
      <c r="S7" s="32">
        <v>5</v>
      </c>
      <c r="T7" s="19">
        <v>5</v>
      </c>
      <c r="U7" s="17" t="s">
        <v>62</v>
      </c>
      <c r="V7" s="17">
        <v>45665</v>
      </c>
      <c r="W7" s="18">
        <v>1</v>
      </c>
      <c r="X7" s="17">
        <v>45754</v>
      </c>
      <c r="Y7" s="17">
        <v>45679</v>
      </c>
      <c r="Z7" s="45">
        <v>1</v>
      </c>
      <c r="AA7">
        <v>2025</v>
      </c>
      <c r="AB7" s="42">
        <v>6875</v>
      </c>
      <c r="AC7" s="42">
        <v>6875</v>
      </c>
    </row>
    <row r="8" spans="1:32">
      <c r="A8" t="s">
        <v>45</v>
      </c>
      <c r="B8" t="s">
        <v>46</v>
      </c>
      <c r="C8" t="s">
        <v>47</v>
      </c>
      <c r="D8" t="s">
        <v>83</v>
      </c>
      <c r="E8" t="s">
        <v>49</v>
      </c>
      <c r="F8" t="s">
        <v>50</v>
      </c>
      <c r="G8" t="s">
        <v>51</v>
      </c>
      <c r="H8" s="17" t="s">
        <v>58</v>
      </c>
      <c r="I8" t="s">
        <v>53</v>
      </c>
      <c r="J8" t="s">
        <v>54</v>
      </c>
      <c r="L8" t="s">
        <v>55</v>
      </c>
      <c r="M8" t="s">
        <v>84</v>
      </c>
      <c r="N8" t="s">
        <v>85</v>
      </c>
      <c r="O8" s="18" t="s">
        <v>58</v>
      </c>
      <c r="P8" s="18" t="s">
        <v>86</v>
      </c>
      <c r="Q8" s="17" t="s">
        <v>87</v>
      </c>
      <c r="R8" s="18" t="s">
        <v>88</v>
      </c>
      <c r="S8" s="32">
        <v>745</v>
      </c>
      <c r="T8" s="19">
        <v>0</v>
      </c>
      <c r="U8" s="17" t="s">
        <v>62</v>
      </c>
      <c r="V8" s="17">
        <v>45667</v>
      </c>
      <c r="W8" s="18">
        <v>1</v>
      </c>
      <c r="X8" s="17">
        <v>45667</v>
      </c>
      <c r="Z8" s="45">
        <v>1</v>
      </c>
      <c r="AA8">
        <v>2025</v>
      </c>
      <c r="AB8" s="42">
        <v>7966285</v>
      </c>
      <c r="AC8" s="42">
        <v>0</v>
      </c>
    </row>
    <row r="9" spans="1:32">
      <c r="A9" t="s">
        <v>45</v>
      </c>
      <c r="B9" t="s">
        <v>46</v>
      </c>
      <c r="C9" t="s">
        <v>47</v>
      </c>
      <c r="D9" t="s">
        <v>83</v>
      </c>
      <c r="E9" t="s">
        <v>49</v>
      </c>
      <c r="F9" t="s">
        <v>63</v>
      </c>
      <c r="G9" t="s">
        <v>51</v>
      </c>
      <c r="H9" s="17" t="s">
        <v>58</v>
      </c>
      <c r="I9" t="s">
        <v>53</v>
      </c>
      <c r="J9" t="s">
        <v>54</v>
      </c>
      <c r="L9" t="s">
        <v>55</v>
      </c>
      <c r="M9" t="s">
        <v>84</v>
      </c>
      <c r="N9" t="s">
        <v>85</v>
      </c>
      <c r="O9" s="18" t="s">
        <v>58</v>
      </c>
      <c r="P9" s="18" t="s">
        <v>89</v>
      </c>
      <c r="Q9" s="17" t="s">
        <v>90</v>
      </c>
      <c r="R9" s="18" t="s">
        <v>91</v>
      </c>
      <c r="S9" s="32">
        <v>11</v>
      </c>
      <c r="T9" s="19">
        <v>0</v>
      </c>
      <c r="U9" s="17" t="s">
        <v>62</v>
      </c>
      <c r="V9" s="17">
        <v>45667</v>
      </c>
      <c r="W9" s="18">
        <v>1</v>
      </c>
      <c r="X9" s="17">
        <v>45667</v>
      </c>
      <c r="Z9" s="45">
        <v>1</v>
      </c>
      <c r="AA9">
        <v>2025</v>
      </c>
      <c r="AB9" s="42">
        <v>1524358</v>
      </c>
      <c r="AC9" s="42">
        <v>0</v>
      </c>
    </row>
    <row r="10" spans="1:32">
      <c r="A10" t="s">
        <v>45</v>
      </c>
      <c r="B10" t="s">
        <v>46</v>
      </c>
      <c r="C10" t="s">
        <v>47</v>
      </c>
      <c r="D10" t="s">
        <v>83</v>
      </c>
      <c r="E10" t="s">
        <v>49</v>
      </c>
      <c r="F10" t="s">
        <v>67</v>
      </c>
      <c r="G10" t="s">
        <v>51</v>
      </c>
      <c r="H10" s="17" t="s">
        <v>58</v>
      </c>
      <c r="I10" t="s">
        <v>53</v>
      </c>
      <c r="J10" t="s">
        <v>54</v>
      </c>
      <c r="L10" t="s">
        <v>55</v>
      </c>
      <c r="M10" t="s">
        <v>84</v>
      </c>
      <c r="N10" t="s">
        <v>85</v>
      </c>
      <c r="O10" s="18" t="s">
        <v>58</v>
      </c>
      <c r="P10" s="18" t="s">
        <v>59</v>
      </c>
      <c r="Q10" s="17" t="s">
        <v>60</v>
      </c>
      <c r="R10" s="18" t="s">
        <v>61</v>
      </c>
      <c r="S10" s="32">
        <v>209</v>
      </c>
      <c r="T10" s="19">
        <v>0</v>
      </c>
      <c r="U10" s="17" t="s">
        <v>62</v>
      </c>
      <c r="V10" s="17">
        <v>45667</v>
      </c>
      <c r="W10" s="18">
        <v>1</v>
      </c>
      <c r="X10" s="17">
        <v>45667</v>
      </c>
      <c r="Z10" s="45">
        <v>1</v>
      </c>
      <c r="AA10">
        <v>2025</v>
      </c>
      <c r="AB10" s="42">
        <v>3322682</v>
      </c>
      <c r="AC10" s="42">
        <v>0</v>
      </c>
    </row>
    <row r="11" spans="1:32">
      <c r="A11" t="s">
        <v>45</v>
      </c>
      <c r="B11" t="s">
        <v>46</v>
      </c>
      <c r="C11" t="s">
        <v>47</v>
      </c>
      <c r="D11" t="s">
        <v>83</v>
      </c>
      <c r="E11" t="s">
        <v>49</v>
      </c>
      <c r="F11" t="s">
        <v>71</v>
      </c>
      <c r="G11" t="s">
        <v>51</v>
      </c>
      <c r="H11" s="17" t="s">
        <v>58</v>
      </c>
      <c r="I11" t="s">
        <v>53</v>
      </c>
      <c r="J11" t="s">
        <v>54</v>
      </c>
      <c r="L11" t="s">
        <v>55</v>
      </c>
      <c r="M11" t="s">
        <v>84</v>
      </c>
      <c r="N11" t="s">
        <v>85</v>
      </c>
      <c r="O11" s="18" t="s">
        <v>58</v>
      </c>
      <c r="P11" s="18" t="s">
        <v>64</v>
      </c>
      <c r="Q11" s="17" t="s">
        <v>92</v>
      </c>
      <c r="R11" s="18" t="s">
        <v>93</v>
      </c>
      <c r="S11" s="32">
        <v>24</v>
      </c>
      <c r="T11" s="19">
        <v>0</v>
      </c>
      <c r="U11" s="17" t="s">
        <v>62</v>
      </c>
      <c r="V11" s="17">
        <v>45667</v>
      </c>
      <c r="W11" s="18">
        <v>1</v>
      </c>
      <c r="X11" s="17">
        <v>45667</v>
      </c>
      <c r="Z11" s="45">
        <v>1</v>
      </c>
      <c r="AA11">
        <v>2025</v>
      </c>
      <c r="AB11" s="42">
        <v>329184</v>
      </c>
      <c r="AC11" s="42">
        <v>0</v>
      </c>
    </row>
    <row r="12" spans="1:32">
      <c r="A12" t="s">
        <v>45</v>
      </c>
      <c r="B12" t="s">
        <v>46</v>
      </c>
      <c r="C12" t="s">
        <v>47</v>
      </c>
      <c r="D12" t="s">
        <v>83</v>
      </c>
      <c r="E12" t="s">
        <v>49</v>
      </c>
      <c r="F12" t="s">
        <v>75</v>
      </c>
      <c r="G12" t="s">
        <v>51</v>
      </c>
      <c r="H12" s="17" t="s">
        <v>58</v>
      </c>
      <c r="I12" t="s">
        <v>53</v>
      </c>
      <c r="J12" t="s">
        <v>54</v>
      </c>
      <c r="L12" t="s">
        <v>55</v>
      </c>
      <c r="M12" t="s">
        <v>84</v>
      </c>
      <c r="N12" t="s">
        <v>85</v>
      </c>
      <c r="O12" s="18" t="s">
        <v>58</v>
      </c>
      <c r="P12" s="18" t="s">
        <v>68</v>
      </c>
      <c r="Q12" s="17" t="s">
        <v>69</v>
      </c>
      <c r="R12" s="18" t="s">
        <v>70</v>
      </c>
      <c r="S12" s="32">
        <v>18</v>
      </c>
      <c r="T12" s="19">
        <v>0</v>
      </c>
      <c r="U12" s="17" t="s">
        <v>62</v>
      </c>
      <c r="V12" s="17">
        <v>45667</v>
      </c>
      <c r="W12" s="18">
        <v>1</v>
      </c>
      <c r="X12" s="17">
        <v>45667</v>
      </c>
      <c r="Z12" s="45">
        <v>1</v>
      </c>
      <c r="AA12">
        <v>2025</v>
      </c>
      <c r="AB12" s="42">
        <v>1307376</v>
      </c>
      <c r="AC12" s="42">
        <v>0</v>
      </c>
    </row>
    <row r="13" spans="1:32">
      <c r="A13" t="s">
        <v>45</v>
      </c>
      <c r="B13" t="s">
        <v>46</v>
      </c>
      <c r="C13" t="s">
        <v>47</v>
      </c>
      <c r="D13" t="s">
        <v>83</v>
      </c>
      <c r="E13" t="s">
        <v>49</v>
      </c>
      <c r="F13" t="s">
        <v>79</v>
      </c>
      <c r="G13" t="s">
        <v>51</v>
      </c>
      <c r="H13" s="17" t="s">
        <v>58</v>
      </c>
      <c r="I13" t="s">
        <v>53</v>
      </c>
      <c r="J13" t="s">
        <v>54</v>
      </c>
      <c r="L13" t="s">
        <v>55</v>
      </c>
      <c r="M13" t="s">
        <v>84</v>
      </c>
      <c r="N13" t="s">
        <v>85</v>
      </c>
      <c r="O13" s="18" t="s">
        <v>58</v>
      </c>
      <c r="P13" s="18" t="s">
        <v>94</v>
      </c>
      <c r="Q13" s="17" t="s">
        <v>95</v>
      </c>
      <c r="R13" s="18" t="s">
        <v>96</v>
      </c>
      <c r="S13" s="32">
        <v>41</v>
      </c>
      <c r="T13" s="19">
        <v>0</v>
      </c>
      <c r="U13" s="17" t="s">
        <v>62</v>
      </c>
      <c r="V13" s="17">
        <v>45667</v>
      </c>
      <c r="W13" s="18">
        <v>1</v>
      </c>
      <c r="X13" s="17">
        <v>45667</v>
      </c>
      <c r="Z13" s="45">
        <v>1</v>
      </c>
      <c r="AA13">
        <v>2025</v>
      </c>
      <c r="AB13" s="42">
        <v>733449</v>
      </c>
      <c r="AC13" s="42">
        <v>0</v>
      </c>
    </row>
    <row r="14" spans="1:32">
      <c r="A14" t="s">
        <v>45</v>
      </c>
      <c r="B14" t="s">
        <v>46</v>
      </c>
      <c r="C14" t="s">
        <v>47</v>
      </c>
      <c r="D14" t="s">
        <v>97</v>
      </c>
      <c r="E14" t="s">
        <v>49</v>
      </c>
      <c r="F14" t="s">
        <v>50</v>
      </c>
      <c r="G14" t="s">
        <v>51</v>
      </c>
      <c r="H14" s="17" t="s">
        <v>58</v>
      </c>
      <c r="I14" t="s">
        <v>53</v>
      </c>
      <c r="J14" t="s">
        <v>54</v>
      </c>
      <c r="L14" t="s">
        <v>55</v>
      </c>
      <c r="M14" t="s">
        <v>56</v>
      </c>
      <c r="N14" t="s">
        <v>57</v>
      </c>
      <c r="O14" s="18" t="s">
        <v>58</v>
      </c>
      <c r="P14" s="18" t="s">
        <v>86</v>
      </c>
      <c r="Q14" s="17" t="s">
        <v>87</v>
      </c>
      <c r="R14" s="18" t="s">
        <v>88</v>
      </c>
      <c r="S14" s="32">
        <v>1489</v>
      </c>
      <c r="T14" s="19">
        <v>0</v>
      </c>
      <c r="U14" s="17" t="s">
        <v>62</v>
      </c>
      <c r="V14" s="17">
        <v>45667</v>
      </c>
      <c r="W14" s="18">
        <v>1</v>
      </c>
      <c r="X14" s="17">
        <v>45667</v>
      </c>
      <c r="Z14" s="45">
        <v>1</v>
      </c>
      <c r="AA14">
        <v>2025</v>
      </c>
      <c r="AB14" s="42">
        <v>15921877</v>
      </c>
      <c r="AC14" s="42">
        <v>0</v>
      </c>
    </row>
    <row r="15" spans="1:32">
      <c r="A15" t="s">
        <v>45</v>
      </c>
      <c r="B15" t="s">
        <v>46</v>
      </c>
      <c r="C15" t="s">
        <v>47</v>
      </c>
      <c r="D15" t="s">
        <v>97</v>
      </c>
      <c r="E15" t="s">
        <v>49</v>
      </c>
      <c r="F15" t="s">
        <v>63</v>
      </c>
      <c r="G15" t="s">
        <v>51</v>
      </c>
      <c r="H15" s="17" t="s">
        <v>58</v>
      </c>
      <c r="I15" t="s">
        <v>53</v>
      </c>
      <c r="J15" t="s">
        <v>54</v>
      </c>
      <c r="L15" t="s">
        <v>55</v>
      </c>
      <c r="M15" t="s">
        <v>56</v>
      </c>
      <c r="N15" t="s">
        <v>57</v>
      </c>
      <c r="O15" s="18" t="s">
        <v>58</v>
      </c>
      <c r="P15" s="18" t="s">
        <v>89</v>
      </c>
      <c r="Q15" s="17" t="s">
        <v>90</v>
      </c>
      <c r="R15" s="18" t="s">
        <v>91</v>
      </c>
      <c r="S15" s="32">
        <v>22</v>
      </c>
      <c r="T15" s="19">
        <v>0</v>
      </c>
      <c r="U15" s="17" t="s">
        <v>62</v>
      </c>
      <c r="V15" s="17">
        <v>45667</v>
      </c>
      <c r="W15" s="18">
        <v>1</v>
      </c>
      <c r="X15" s="17">
        <v>45667</v>
      </c>
      <c r="Z15" s="45">
        <v>1</v>
      </c>
      <c r="AA15">
        <v>2025</v>
      </c>
      <c r="AB15" s="42">
        <v>3048716</v>
      </c>
      <c r="AC15" s="42">
        <v>0</v>
      </c>
    </row>
    <row r="16" spans="1:32">
      <c r="A16" t="s">
        <v>45</v>
      </c>
      <c r="B16" t="s">
        <v>46</v>
      </c>
      <c r="C16" t="s">
        <v>47</v>
      </c>
      <c r="D16" t="s">
        <v>97</v>
      </c>
      <c r="E16" t="s">
        <v>49</v>
      </c>
      <c r="F16" t="s">
        <v>67</v>
      </c>
      <c r="G16" t="s">
        <v>51</v>
      </c>
      <c r="H16" s="17" t="s">
        <v>58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18" t="s">
        <v>58</v>
      </c>
      <c r="P16" s="18" t="s">
        <v>59</v>
      </c>
      <c r="Q16" s="17" t="s">
        <v>60</v>
      </c>
      <c r="R16" s="18" t="s">
        <v>61</v>
      </c>
      <c r="S16" s="32">
        <v>417</v>
      </c>
      <c r="T16" s="19">
        <v>0</v>
      </c>
      <c r="U16" s="17" t="s">
        <v>62</v>
      </c>
      <c r="V16" s="17">
        <v>45667</v>
      </c>
      <c r="W16" s="18">
        <v>1</v>
      </c>
      <c r="X16" s="17">
        <v>45667</v>
      </c>
      <c r="Z16" s="45">
        <v>1</v>
      </c>
      <c r="AA16">
        <v>2025</v>
      </c>
      <c r="AB16" s="42">
        <v>6629466</v>
      </c>
      <c r="AC16" s="42">
        <v>0</v>
      </c>
    </row>
    <row r="17" spans="1:29">
      <c r="A17" t="s">
        <v>45</v>
      </c>
      <c r="B17" t="s">
        <v>46</v>
      </c>
      <c r="C17" t="s">
        <v>47</v>
      </c>
      <c r="D17" t="s">
        <v>97</v>
      </c>
      <c r="E17" t="s">
        <v>49</v>
      </c>
      <c r="F17" t="s">
        <v>71</v>
      </c>
      <c r="G17" t="s">
        <v>51</v>
      </c>
      <c r="H17" s="17" t="s">
        <v>58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18" t="s">
        <v>58</v>
      </c>
      <c r="P17" s="18" t="s">
        <v>64</v>
      </c>
      <c r="Q17" s="17" t="s">
        <v>92</v>
      </c>
      <c r="R17" s="18" t="s">
        <v>93</v>
      </c>
      <c r="S17" s="32">
        <v>49</v>
      </c>
      <c r="T17" s="19">
        <v>0</v>
      </c>
      <c r="U17" s="17" t="s">
        <v>62</v>
      </c>
      <c r="V17" s="17">
        <v>45667</v>
      </c>
      <c r="W17" s="18">
        <v>1</v>
      </c>
      <c r="X17" s="17">
        <v>45667</v>
      </c>
      <c r="Z17" s="45">
        <v>1</v>
      </c>
      <c r="AA17">
        <v>2025</v>
      </c>
      <c r="AB17" s="42">
        <v>672084</v>
      </c>
      <c r="AC17" s="42">
        <v>0</v>
      </c>
    </row>
    <row r="18" spans="1:29">
      <c r="A18" t="s">
        <v>45</v>
      </c>
      <c r="B18" t="s">
        <v>46</v>
      </c>
      <c r="C18" t="s">
        <v>47</v>
      </c>
      <c r="D18" t="s">
        <v>97</v>
      </c>
      <c r="E18" t="s">
        <v>49</v>
      </c>
      <c r="F18" t="s">
        <v>75</v>
      </c>
      <c r="G18" t="s">
        <v>51</v>
      </c>
      <c r="H18" s="17" t="s">
        <v>58</v>
      </c>
      <c r="I18" t="s">
        <v>53</v>
      </c>
      <c r="J18" t="s">
        <v>54</v>
      </c>
      <c r="L18" t="s">
        <v>55</v>
      </c>
      <c r="M18" t="s">
        <v>56</v>
      </c>
      <c r="N18" t="s">
        <v>57</v>
      </c>
      <c r="O18" s="18" t="s">
        <v>58</v>
      </c>
      <c r="P18" s="18" t="s">
        <v>68</v>
      </c>
      <c r="Q18" s="17" t="s">
        <v>69</v>
      </c>
      <c r="R18" s="18" t="s">
        <v>70</v>
      </c>
      <c r="S18" s="32">
        <v>35</v>
      </c>
      <c r="T18" s="19">
        <v>0</v>
      </c>
      <c r="U18" s="17" t="s">
        <v>62</v>
      </c>
      <c r="V18" s="17">
        <v>45667</v>
      </c>
      <c r="W18" s="18">
        <v>1</v>
      </c>
      <c r="X18" s="17">
        <v>45667</v>
      </c>
      <c r="Z18" s="45">
        <v>1</v>
      </c>
      <c r="AA18">
        <v>2025</v>
      </c>
      <c r="AB18" s="42">
        <v>2542120</v>
      </c>
      <c r="AC18" s="42">
        <v>0</v>
      </c>
    </row>
    <row r="19" spans="1:29">
      <c r="A19" t="s">
        <v>45</v>
      </c>
      <c r="B19" t="s">
        <v>46</v>
      </c>
      <c r="C19" t="s">
        <v>47</v>
      </c>
      <c r="D19" t="s">
        <v>97</v>
      </c>
      <c r="E19" t="s">
        <v>49</v>
      </c>
      <c r="F19" t="s">
        <v>79</v>
      </c>
      <c r="G19" t="s">
        <v>51</v>
      </c>
      <c r="H19" s="17" t="s">
        <v>58</v>
      </c>
      <c r="I19" t="s">
        <v>53</v>
      </c>
      <c r="J19" t="s">
        <v>54</v>
      </c>
      <c r="L19" t="s">
        <v>55</v>
      </c>
      <c r="M19" t="s">
        <v>56</v>
      </c>
      <c r="N19" t="s">
        <v>57</v>
      </c>
      <c r="O19" s="18" t="s">
        <v>58</v>
      </c>
      <c r="P19" s="18" t="s">
        <v>94</v>
      </c>
      <c r="Q19" s="17" t="s">
        <v>95</v>
      </c>
      <c r="R19" s="18" t="s">
        <v>96</v>
      </c>
      <c r="S19" s="32">
        <v>82</v>
      </c>
      <c r="T19" s="19">
        <v>0</v>
      </c>
      <c r="U19" s="17" t="s">
        <v>62</v>
      </c>
      <c r="V19" s="17">
        <v>45667</v>
      </c>
      <c r="W19" s="18">
        <v>1</v>
      </c>
      <c r="X19" s="17">
        <v>45667</v>
      </c>
      <c r="Z19" s="45">
        <v>1</v>
      </c>
      <c r="AA19">
        <v>2025</v>
      </c>
      <c r="AB19" s="42">
        <v>1466898</v>
      </c>
      <c r="AC19" s="42">
        <v>0</v>
      </c>
    </row>
    <row r="20" spans="1:29">
      <c r="A20" t="s">
        <v>45</v>
      </c>
      <c r="B20" t="s">
        <v>46</v>
      </c>
      <c r="C20" t="s">
        <v>47</v>
      </c>
      <c r="D20" t="s">
        <v>97</v>
      </c>
      <c r="E20" t="s">
        <v>49</v>
      </c>
      <c r="F20" t="s">
        <v>98</v>
      </c>
      <c r="G20" t="s">
        <v>51</v>
      </c>
      <c r="H20" s="17" t="s">
        <v>58</v>
      </c>
      <c r="I20" t="s">
        <v>53</v>
      </c>
      <c r="J20" t="s">
        <v>54</v>
      </c>
      <c r="L20" t="s">
        <v>55</v>
      </c>
      <c r="M20" t="s">
        <v>56</v>
      </c>
      <c r="N20" t="s">
        <v>57</v>
      </c>
      <c r="O20" s="18" t="s">
        <v>58</v>
      </c>
      <c r="P20" s="18" t="s">
        <v>99</v>
      </c>
      <c r="Q20" s="17" t="s">
        <v>100</v>
      </c>
      <c r="R20" s="18" t="s">
        <v>101</v>
      </c>
      <c r="S20" s="32">
        <v>2</v>
      </c>
      <c r="T20" s="19">
        <v>0</v>
      </c>
      <c r="U20" s="17" t="s">
        <v>62</v>
      </c>
      <c r="V20" s="17">
        <v>45667</v>
      </c>
      <c r="W20" s="18">
        <v>1</v>
      </c>
      <c r="X20" s="17">
        <v>45667</v>
      </c>
      <c r="Z20" s="45">
        <v>1</v>
      </c>
      <c r="AA20">
        <v>2025</v>
      </c>
      <c r="AB20" s="42">
        <v>264000</v>
      </c>
      <c r="AC20" s="42">
        <v>0</v>
      </c>
    </row>
    <row r="21" spans="1:29">
      <c r="A21" t="s">
        <v>45</v>
      </c>
      <c r="B21" t="s">
        <v>46</v>
      </c>
      <c r="C21" t="s">
        <v>47</v>
      </c>
      <c r="D21" t="s">
        <v>102</v>
      </c>
      <c r="E21" t="s">
        <v>49</v>
      </c>
      <c r="F21" t="s">
        <v>50</v>
      </c>
      <c r="G21" t="s">
        <v>51</v>
      </c>
      <c r="H21" s="17" t="s">
        <v>58</v>
      </c>
      <c r="I21" t="s">
        <v>53</v>
      </c>
      <c r="J21" t="s">
        <v>54</v>
      </c>
      <c r="L21" t="s">
        <v>55</v>
      </c>
      <c r="M21" t="s">
        <v>56</v>
      </c>
      <c r="N21" t="s">
        <v>57</v>
      </c>
      <c r="O21" s="18" t="s">
        <v>58</v>
      </c>
      <c r="P21" s="18" t="s">
        <v>86</v>
      </c>
      <c r="Q21" s="17" t="s">
        <v>87</v>
      </c>
      <c r="R21" s="18" t="s">
        <v>88</v>
      </c>
      <c r="S21" s="32">
        <v>200</v>
      </c>
      <c r="T21" s="19">
        <v>0</v>
      </c>
      <c r="U21" s="17" t="s">
        <v>62</v>
      </c>
      <c r="V21" s="17">
        <v>45670</v>
      </c>
      <c r="W21" s="18">
        <v>1</v>
      </c>
      <c r="X21" s="17">
        <v>45671</v>
      </c>
      <c r="Z21" s="45">
        <v>1</v>
      </c>
      <c r="AA21">
        <v>2025</v>
      </c>
      <c r="AB21" s="42">
        <v>6483400</v>
      </c>
      <c r="AC21" s="42">
        <v>0</v>
      </c>
    </row>
    <row r="22" spans="1:29">
      <c r="A22" t="s">
        <v>45</v>
      </c>
      <c r="B22" t="s">
        <v>46</v>
      </c>
      <c r="C22" t="s">
        <v>47</v>
      </c>
      <c r="D22" t="s">
        <v>102</v>
      </c>
      <c r="E22" t="s">
        <v>49</v>
      </c>
      <c r="F22" t="s">
        <v>63</v>
      </c>
      <c r="G22" t="s">
        <v>51</v>
      </c>
      <c r="H22" s="17" t="s">
        <v>58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18" t="s">
        <v>58</v>
      </c>
      <c r="P22" s="18" t="s">
        <v>99</v>
      </c>
      <c r="Q22" s="17" t="s">
        <v>100</v>
      </c>
      <c r="R22" s="18" t="s">
        <v>101</v>
      </c>
      <c r="S22" s="32">
        <v>200</v>
      </c>
      <c r="T22" s="19">
        <v>0</v>
      </c>
      <c r="U22" s="17" t="s">
        <v>62</v>
      </c>
      <c r="V22" s="17">
        <v>45670</v>
      </c>
      <c r="W22" s="18">
        <v>1</v>
      </c>
      <c r="X22" s="17">
        <v>45671</v>
      </c>
      <c r="Z22" s="45">
        <v>1</v>
      </c>
      <c r="AA22">
        <v>2025</v>
      </c>
      <c r="AB22" s="42">
        <v>24000</v>
      </c>
      <c r="AC22" s="42">
        <v>0</v>
      </c>
    </row>
    <row r="23" spans="1:29">
      <c r="A23" t="s">
        <v>45</v>
      </c>
      <c r="B23" t="s">
        <v>46</v>
      </c>
      <c r="C23" t="s">
        <v>47</v>
      </c>
      <c r="D23" t="s">
        <v>103</v>
      </c>
      <c r="E23" t="s">
        <v>49</v>
      </c>
      <c r="F23" t="s">
        <v>50</v>
      </c>
      <c r="G23" t="s">
        <v>51</v>
      </c>
      <c r="H23" s="17" t="s">
        <v>58</v>
      </c>
      <c r="I23" t="s">
        <v>53</v>
      </c>
      <c r="J23" t="s">
        <v>104</v>
      </c>
      <c r="L23" t="s">
        <v>55</v>
      </c>
      <c r="M23" t="s">
        <v>56</v>
      </c>
      <c r="N23" t="s">
        <v>57</v>
      </c>
      <c r="O23" s="18" t="s">
        <v>58</v>
      </c>
      <c r="P23" s="18" t="s">
        <v>99</v>
      </c>
      <c r="Q23" s="17" t="s">
        <v>105</v>
      </c>
      <c r="R23" s="18" t="s">
        <v>106</v>
      </c>
      <c r="S23" s="32">
        <v>205</v>
      </c>
      <c r="T23" s="19">
        <v>0</v>
      </c>
      <c r="U23" s="17" t="s">
        <v>62</v>
      </c>
      <c r="V23" s="17">
        <v>45670</v>
      </c>
      <c r="W23" s="18">
        <v>1</v>
      </c>
      <c r="X23" s="17">
        <v>45671</v>
      </c>
      <c r="Z23" s="45">
        <v>1</v>
      </c>
      <c r="AA23">
        <v>2025</v>
      </c>
      <c r="AB23" s="42">
        <v>7972040</v>
      </c>
      <c r="AC23" s="42">
        <v>0</v>
      </c>
    </row>
    <row r="24" spans="1:29">
      <c r="A24" t="s">
        <v>45</v>
      </c>
      <c r="B24" t="s">
        <v>46</v>
      </c>
      <c r="C24" t="s">
        <v>47</v>
      </c>
      <c r="D24" t="s">
        <v>103</v>
      </c>
      <c r="E24" t="s">
        <v>49</v>
      </c>
      <c r="F24" t="s">
        <v>63</v>
      </c>
      <c r="G24" t="s">
        <v>51</v>
      </c>
      <c r="H24" s="17" t="s">
        <v>58</v>
      </c>
      <c r="I24" t="s">
        <v>53</v>
      </c>
      <c r="J24" t="s">
        <v>104</v>
      </c>
      <c r="L24" t="s">
        <v>55</v>
      </c>
      <c r="M24" t="s">
        <v>56</v>
      </c>
      <c r="N24" t="s">
        <v>57</v>
      </c>
      <c r="O24" s="18" t="s">
        <v>58</v>
      </c>
      <c r="P24" s="18" t="s">
        <v>99</v>
      </c>
      <c r="Q24" s="17" t="s">
        <v>107</v>
      </c>
      <c r="R24" s="18" t="s">
        <v>108</v>
      </c>
      <c r="S24" s="32">
        <v>2050</v>
      </c>
      <c r="T24" s="19">
        <v>0</v>
      </c>
      <c r="U24" s="17" t="s">
        <v>62</v>
      </c>
      <c r="V24" s="17">
        <v>45670</v>
      </c>
      <c r="W24" s="18">
        <v>1</v>
      </c>
      <c r="X24" s="17">
        <v>45671</v>
      </c>
      <c r="Z24" s="45">
        <v>1</v>
      </c>
      <c r="AA24">
        <v>2025</v>
      </c>
      <c r="AB24" s="42">
        <v>619100</v>
      </c>
      <c r="AC24" s="42">
        <v>0</v>
      </c>
    </row>
    <row r="25" spans="1:29">
      <c r="A25" t="s">
        <v>45</v>
      </c>
      <c r="B25" t="s">
        <v>46</v>
      </c>
      <c r="C25" t="s">
        <v>47</v>
      </c>
      <c r="D25" t="s">
        <v>109</v>
      </c>
      <c r="E25" t="s">
        <v>49</v>
      </c>
      <c r="F25" t="s">
        <v>50</v>
      </c>
      <c r="G25" t="s">
        <v>51</v>
      </c>
      <c r="H25" s="17" t="s">
        <v>58</v>
      </c>
      <c r="I25" t="s">
        <v>53</v>
      </c>
      <c r="J25" t="s">
        <v>110</v>
      </c>
      <c r="L25" t="s">
        <v>55</v>
      </c>
      <c r="M25" t="s">
        <v>56</v>
      </c>
      <c r="N25" t="s">
        <v>57</v>
      </c>
      <c r="O25" s="18" t="s">
        <v>58</v>
      </c>
      <c r="P25" s="18" t="s">
        <v>86</v>
      </c>
      <c r="Q25" s="17" t="s">
        <v>111</v>
      </c>
      <c r="R25" s="18" t="s">
        <v>112</v>
      </c>
      <c r="S25" s="32">
        <v>213</v>
      </c>
      <c r="T25" s="19">
        <v>0</v>
      </c>
      <c r="U25" s="17" t="s">
        <v>113</v>
      </c>
      <c r="V25" s="17">
        <v>45670</v>
      </c>
      <c r="W25" s="18">
        <v>1</v>
      </c>
      <c r="X25" s="17">
        <v>45674</v>
      </c>
      <c r="Z25" s="45">
        <v>1</v>
      </c>
      <c r="AA25">
        <v>2025</v>
      </c>
      <c r="AB25" s="42">
        <v>10586100</v>
      </c>
      <c r="AC25" s="42">
        <v>0</v>
      </c>
    </row>
    <row r="26" spans="1:29">
      <c r="A26" t="s">
        <v>45</v>
      </c>
      <c r="B26" t="s">
        <v>46</v>
      </c>
      <c r="C26" t="s">
        <v>47</v>
      </c>
      <c r="D26" t="s">
        <v>109</v>
      </c>
      <c r="E26" t="s">
        <v>49</v>
      </c>
      <c r="F26" t="s">
        <v>63</v>
      </c>
      <c r="G26" t="s">
        <v>51</v>
      </c>
      <c r="H26" s="17" t="s">
        <v>58</v>
      </c>
      <c r="I26" t="s">
        <v>53</v>
      </c>
      <c r="J26" t="s">
        <v>110</v>
      </c>
      <c r="L26" t="s">
        <v>55</v>
      </c>
      <c r="M26" t="s">
        <v>56</v>
      </c>
      <c r="N26" t="s">
        <v>57</v>
      </c>
      <c r="O26" s="18" t="s">
        <v>58</v>
      </c>
      <c r="P26" s="18" t="s">
        <v>99</v>
      </c>
      <c r="Q26" s="17" t="s">
        <v>100</v>
      </c>
      <c r="R26" s="18" t="s">
        <v>101</v>
      </c>
      <c r="S26" s="32">
        <v>213</v>
      </c>
      <c r="T26" s="19">
        <v>0</v>
      </c>
      <c r="U26" s="17" t="s">
        <v>62</v>
      </c>
      <c r="V26" s="17">
        <v>45670</v>
      </c>
      <c r="W26" s="18">
        <v>1</v>
      </c>
      <c r="X26" s="17">
        <v>45674</v>
      </c>
      <c r="Z26" s="45">
        <v>1</v>
      </c>
      <c r="AA26">
        <v>2025</v>
      </c>
      <c r="AB26" s="42">
        <v>57936</v>
      </c>
      <c r="AC26" s="42">
        <v>0</v>
      </c>
    </row>
    <row r="27" spans="1:29">
      <c r="A27" t="s">
        <v>45</v>
      </c>
      <c r="B27" t="s">
        <v>46</v>
      </c>
      <c r="C27" t="s">
        <v>47</v>
      </c>
      <c r="D27" t="s">
        <v>114</v>
      </c>
      <c r="E27" t="s">
        <v>115</v>
      </c>
      <c r="F27" t="s">
        <v>50</v>
      </c>
      <c r="G27" t="s">
        <v>116</v>
      </c>
      <c r="H27" s="17" t="s">
        <v>52</v>
      </c>
      <c r="I27" t="s">
        <v>53</v>
      </c>
      <c r="J27" t="s">
        <v>110</v>
      </c>
      <c r="L27" t="s">
        <v>55</v>
      </c>
      <c r="M27" t="s">
        <v>56</v>
      </c>
      <c r="N27" t="s">
        <v>57</v>
      </c>
      <c r="O27" s="18" t="s">
        <v>58</v>
      </c>
      <c r="P27" s="18" t="s">
        <v>72</v>
      </c>
      <c r="Q27" s="17" t="s">
        <v>117</v>
      </c>
      <c r="R27" s="18" t="s">
        <v>118</v>
      </c>
      <c r="S27" s="32">
        <v>4</v>
      </c>
      <c r="T27" s="19">
        <v>4</v>
      </c>
      <c r="U27" s="17" t="s">
        <v>119</v>
      </c>
      <c r="V27" s="17">
        <v>45660</v>
      </c>
      <c r="W27" s="18">
        <v>1</v>
      </c>
      <c r="X27" s="17">
        <v>45672</v>
      </c>
      <c r="Y27" s="17">
        <v>45664</v>
      </c>
      <c r="Z27" s="45">
        <v>1</v>
      </c>
      <c r="AA27">
        <v>2025</v>
      </c>
      <c r="AB27" s="42">
        <v>1406000</v>
      </c>
      <c r="AC27" s="42">
        <v>1406000</v>
      </c>
    </row>
    <row r="28" spans="1:29">
      <c r="A28" t="s">
        <v>45</v>
      </c>
      <c r="B28" t="s">
        <v>46</v>
      </c>
      <c r="C28" t="s">
        <v>47</v>
      </c>
      <c r="D28" t="s">
        <v>120</v>
      </c>
      <c r="E28" t="s">
        <v>115</v>
      </c>
      <c r="F28" t="s">
        <v>50</v>
      </c>
      <c r="G28" t="s">
        <v>116</v>
      </c>
      <c r="H28" s="17" t="s">
        <v>52</v>
      </c>
      <c r="I28" t="s">
        <v>53</v>
      </c>
      <c r="J28" t="s">
        <v>121</v>
      </c>
      <c r="L28" t="s">
        <v>55</v>
      </c>
      <c r="M28" t="s">
        <v>56</v>
      </c>
      <c r="N28" t="s">
        <v>57</v>
      </c>
      <c r="O28" s="18" t="s">
        <v>58</v>
      </c>
      <c r="P28" s="18" t="s">
        <v>72</v>
      </c>
      <c r="Q28" s="17" t="s">
        <v>122</v>
      </c>
      <c r="R28" s="18" t="s">
        <v>123</v>
      </c>
      <c r="S28" s="32">
        <v>6</v>
      </c>
      <c r="T28" s="19">
        <v>6</v>
      </c>
      <c r="U28" s="17" t="s">
        <v>119</v>
      </c>
      <c r="V28" s="17">
        <v>45660</v>
      </c>
      <c r="W28" s="18">
        <v>1</v>
      </c>
      <c r="X28" s="17">
        <v>45672</v>
      </c>
      <c r="Y28" s="17">
        <v>45671</v>
      </c>
      <c r="Z28" s="45">
        <v>1</v>
      </c>
      <c r="AA28">
        <v>2025</v>
      </c>
      <c r="AB28" s="42">
        <v>2107980</v>
      </c>
      <c r="AC28" s="42">
        <v>2107980</v>
      </c>
    </row>
    <row r="29" spans="1:29">
      <c r="A29" t="s">
        <v>45</v>
      </c>
      <c r="B29" t="s">
        <v>46</v>
      </c>
      <c r="C29" t="s">
        <v>47</v>
      </c>
      <c r="D29" t="s">
        <v>124</v>
      </c>
      <c r="E29" t="s">
        <v>115</v>
      </c>
      <c r="F29" t="s">
        <v>50</v>
      </c>
      <c r="G29" t="s">
        <v>116</v>
      </c>
      <c r="H29" s="17" t="s">
        <v>52</v>
      </c>
      <c r="I29" t="s">
        <v>53</v>
      </c>
      <c r="J29" t="s">
        <v>125</v>
      </c>
      <c r="L29" t="s">
        <v>55</v>
      </c>
      <c r="M29" t="s">
        <v>56</v>
      </c>
      <c r="N29" t="s">
        <v>57</v>
      </c>
      <c r="O29" s="18" t="s">
        <v>58</v>
      </c>
      <c r="P29" s="18" t="s">
        <v>72</v>
      </c>
      <c r="Q29" s="17" t="s">
        <v>122</v>
      </c>
      <c r="R29" s="18" t="s">
        <v>123</v>
      </c>
      <c r="S29" s="32">
        <v>2</v>
      </c>
      <c r="T29" s="19">
        <v>2</v>
      </c>
      <c r="U29" s="17" t="s">
        <v>119</v>
      </c>
      <c r="V29" s="17">
        <v>45667</v>
      </c>
      <c r="W29" s="18">
        <v>1</v>
      </c>
      <c r="X29" s="17">
        <v>45679</v>
      </c>
      <c r="Y29" s="17">
        <v>45679</v>
      </c>
      <c r="Z29" s="45">
        <v>1</v>
      </c>
      <c r="AA29">
        <v>2025</v>
      </c>
      <c r="AB29" s="42">
        <v>702660</v>
      </c>
      <c r="AC29" s="42">
        <v>702660</v>
      </c>
    </row>
    <row r="30" spans="1:29">
      <c r="A30" t="s">
        <v>45</v>
      </c>
      <c r="B30" t="s">
        <v>46</v>
      </c>
      <c r="C30" t="s">
        <v>47</v>
      </c>
      <c r="D30" t="s">
        <v>124</v>
      </c>
      <c r="E30" t="s">
        <v>115</v>
      </c>
      <c r="F30" t="s">
        <v>63</v>
      </c>
      <c r="G30" t="s">
        <v>116</v>
      </c>
      <c r="H30" s="17" t="s">
        <v>52</v>
      </c>
      <c r="I30" t="s">
        <v>53</v>
      </c>
      <c r="J30" t="s">
        <v>125</v>
      </c>
      <c r="L30" t="s">
        <v>55</v>
      </c>
      <c r="M30" t="s">
        <v>56</v>
      </c>
      <c r="N30" t="s">
        <v>57</v>
      </c>
      <c r="O30" s="18" t="s">
        <v>58</v>
      </c>
      <c r="P30" s="18" t="s">
        <v>72</v>
      </c>
      <c r="Q30" s="17" t="s">
        <v>117</v>
      </c>
      <c r="R30" s="18" t="s">
        <v>118</v>
      </c>
      <c r="S30" s="32">
        <v>2</v>
      </c>
      <c r="T30" s="19">
        <v>2</v>
      </c>
      <c r="U30" s="17" t="s">
        <v>119</v>
      </c>
      <c r="V30" s="17">
        <v>45667</v>
      </c>
      <c r="W30" s="18">
        <v>1</v>
      </c>
      <c r="X30" s="17">
        <v>45679</v>
      </c>
      <c r="Y30" s="17">
        <v>45679</v>
      </c>
      <c r="Z30" s="45">
        <v>1</v>
      </c>
      <c r="AA30">
        <v>2025</v>
      </c>
      <c r="AB30" s="42">
        <v>703000</v>
      </c>
      <c r="AC30" s="42">
        <v>703000</v>
      </c>
    </row>
    <row r="31" spans="1:29">
      <c r="A31" t="s">
        <v>45</v>
      </c>
      <c r="B31" t="s">
        <v>46</v>
      </c>
      <c r="C31" t="s">
        <v>47</v>
      </c>
      <c r="D31" t="s">
        <v>126</v>
      </c>
      <c r="E31" t="s">
        <v>49</v>
      </c>
      <c r="F31" t="s">
        <v>75</v>
      </c>
      <c r="G31" t="s">
        <v>51</v>
      </c>
      <c r="H31" s="17" t="s">
        <v>52</v>
      </c>
      <c r="I31" t="s">
        <v>53</v>
      </c>
      <c r="J31" t="s">
        <v>110</v>
      </c>
      <c r="L31" t="s">
        <v>55</v>
      </c>
      <c r="M31" t="s">
        <v>56</v>
      </c>
      <c r="N31" t="s">
        <v>57</v>
      </c>
      <c r="O31" s="18" t="s">
        <v>58</v>
      </c>
      <c r="P31" s="18" t="s">
        <v>72</v>
      </c>
      <c r="Q31" s="17" t="s">
        <v>127</v>
      </c>
      <c r="R31" s="18" t="s">
        <v>128</v>
      </c>
      <c r="S31" s="32">
        <v>86</v>
      </c>
      <c r="T31" s="19">
        <v>86</v>
      </c>
      <c r="U31" s="17" t="s">
        <v>62</v>
      </c>
      <c r="V31" s="17">
        <v>45671</v>
      </c>
      <c r="W31" s="18">
        <v>1</v>
      </c>
      <c r="X31" s="17">
        <v>45674</v>
      </c>
      <c r="Y31" s="17">
        <v>45679</v>
      </c>
      <c r="Z31" s="45">
        <v>1</v>
      </c>
      <c r="AA31">
        <v>2025</v>
      </c>
      <c r="AB31" s="42">
        <v>539478</v>
      </c>
      <c r="AC31" s="42">
        <v>539478</v>
      </c>
    </row>
    <row r="32" spans="1:29">
      <c r="A32" t="s">
        <v>45</v>
      </c>
      <c r="B32" t="s">
        <v>46</v>
      </c>
      <c r="C32" t="s">
        <v>47</v>
      </c>
      <c r="D32" t="s">
        <v>126</v>
      </c>
      <c r="E32" t="s">
        <v>49</v>
      </c>
      <c r="F32" t="s">
        <v>79</v>
      </c>
      <c r="G32" t="s">
        <v>51</v>
      </c>
      <c r="H32" s="17" t="s">
        <v>52</v>
      </c>
      <c r="I32" t="s">
        <v>53</v>
      </c>
      <c r="J32" t="s">
        <v>110</v>
      </c>
      <c r="L32" t="s">
        <v>55</v>
      </c>
      <c r="M32" t="s">
        <v>56</v>
      </c>
      <c r="N32" t="s">
        <v>57</v>
      </c>
      <c r="O32" s="18" t="s">
        <v>58</v>
      </c>
      <c r="P32" s="18" t="s">
        <v>72</v>
      </c>
      <c r="Q32" s="17" t="s">
        <v>122</v>
      </c>
      <c r="R32" s="18" t="s">
        <v>123</v>
      </c>
      <c r="S32" s="32">
        <v>34</v>
      </c>
      <c r="T32" s="19">
        <v>34</v>
      </c>
      <c r="U32" s="17" t="s">
        <v>62</v>
      </c>
      <c r="V32" s="17">
        <v>45671</v>
      </c>
      <c r="W32" s="18">
        <v>1</v>
      </c>
      <c r="X32" s="17">
        <v>45674</v>
      </c>
      <c r="Y32" s="17">
        <v>45679</v>
      </c>
      <c r="Z32" s="45">
        <v>1</v>
      </c>
      <c r="AA32">
        <v>2025</v>
      </c>
      <c r="AB32" s="42">
        <v>138856</v>
      </c>
      <c r="AC32" s="42">
        <v>138856</v>
      </c>
    </row>
    <row r="33" spans="1:29">
      <c r="A33" t="s">
        <v>45</v>
      </c>
      <c r="B33" t="s">
        <v>46</v>
      </c>
      <c r="C33" t="s">
        <v>47</v>
      </c>
      <c r="D33" t="s">
        <v>126</v>
      </c>
      <c r="E33" t="s">
        <v>49</v>
      </c>
      <c r="F33" t="s">
        <v>98</v>
      </c>
      <c r="G33" t="s">
        <v>51</v>
      </c>
      <c r="H33" s="17" t="s">
        <v>52</v>
      </c>
      <c r="I33" t="s">
        <v>53</v>
      </c>
      <c r="J33" t="s">
        <v>110</v>
      </c>
      <c r="L33" t="s">
        <v>55</v>
      </c>
      <c r="M33" t="s">
        <v>56</v>
      </c>
      <c r="N33" t="s">
        <v>57</v>
      </c>
      <c r="O33" s="18" t="s">
        <v>58</v>
      </c>
      <c r="P33" s="18" t="s">
        <v>99</v>
      </c>
      <c r="Q33" s="17" t="s">
        <v>100</v>
      </c>
      <c r="R33" s="18" t="s">
        <v>101</v>
      </c>
      <c r="S33" s="32">
        <v>1</v>
      </c>
      <c r="T33" s="19">
        <v>1</v>
      </c>
      <c r="U33" s="17" t="s">
        <v>62</v>
      </c>
      <c r="V33" s="17">
        <v>45671</v>
      </c>
      <c r="W33" s="18">
        <v>1</v>
      </c>
      <c r="X33" s="17">
        <v>45674</v>
      </c>
      <c r="Y33" s="17">
        <v>45679</v>
      </c>
      <c r="Z33" s="45">
        <v>1</v>
      </c>
      <c r="AA33">
        <v>2025</v>
      </c>
      <c r="AB33" s="42">
        <v>137000</v>
      </c>
      <c r="AC33" s="42">
        <v>137000</v>
      </c>
    </row>
    <row r="34" spans="1:29">
      <c r="A34" t="s">
        <v>45</v>
      </c>
      <c r="B34" t="s">
        <v>46</v>
      </c>
      <c r="C34" t="s">
        <v>47</v>
      </c>
      <c r="D34" t="s">
        <v>129</v>
      </c>
      <c r="E34" t="s">
        <v>49</v>
      </c>
      <c r="F34" t="s">
        <v>50</v>
      </c>
      <c r="G34" t="s">
        <v>51</v>
      </c>
      <c r="H34" s="17" t="s">
        <v>52</v>
      </c>
      <c r="I34" t="s">
        <v>53</v>
      </c>
      <c r="J34" t="s">
        <v>54</v>
      </c>
      <c r="L34" t="s">
        <v>55</v>
      </c>
      <c r="M34" t="s">
        <v>56</v>
      </c>
      <c r="N34" t="s">
        <v>57</v>
      </c>
      <c r="O34" s="18" t="s">
        <v>58</v>
      </c>
      <c r="P34" s="18" t="s">
        <v>86</v>
      </c>
      <c r="Q34" s="17" t="s">
        <v>87</v>
      </c>
      <c r="R34" s="18" t="s">
        <v>88</v>
      </c>
      <c r="S34" s="32">
        <v>517</v>
      </c>
      <c r="T34" s="19">
        <v>517</v>
      </c>
      <c r="U34" s="17" t="s">
        <v>62</v>
      </c>
      <c r="V34" s="17">
        <v>45672</v>
      </c>
      <c r="W34" s="18">
        <v>1</v>
      </c>
      <c r="X34" s="17">
        <v>45674</v>
      </c>
      <c r="Y34" s="17">
        <v>45679</v>
      </c>
      <c r="Z34" s="45">
        <v>1</v>
      </c>
      <c r="AA34">
        <v>2025</v>
      </c>
      <c r="AB34" s="42">
        <v>15921015</v>
      </c>
      <c r="AC34" s="42">
        <v>15921015</v>
      </c>
    </row>
    <row r="35" spans="1:29">
      <c r="A35" t="s">
        <v>45</v>
      </c>
      <c r="B35" t="s">
        <v>46</v>
      </c>
      <c r="C35" t="s">
        <v>47</v>
      </c>
      <c r="D35" t="s">
        <v>129</v>
      </c>
      <c r="E35" t="s">
        <v>49</v>
      </c>
      <c r="F35" t="s">
        <v>79</v>
      </c>
      <c r="G35" t="s">
        <v>51</v>
      </c>
      <c r="H35" s="17" t="s">
        <v>52</v>
      </c>
      <c r="I35" t="s">
        <v>53</v>
      </c>
      <c r="J35" t="s">
        <v>54</v>
      </c>
      <c r="L35" t="s">
        <v>55</v>
      </c>
      <c r="M35" t="s">
        <v>56</v>
      </c>
      <c r="N35" t="s">
        <v>57</v>
      </c>
      <c r="O35" s="18" t="s">
        <v>58</v>
      </c>
      <c r="P35" s="18" t="s">
        <v>94</v>
      </c>
      <c r="Q35" s="17" t="s">
        <v>95</v>
      </c>
      <c r="R35" s="18" t="s">
        <v>96</v>
      </c>
      <c r="S35" s="32">
        <v>82</v>
      </c>
      <c r="T35" s="19">
        <v>0</v>
      </c>
      <c r="U35" s="17" t="s">
        <v>62</v>
      </c>
      <c r="V35" s="17">
        <v>45672</v>
      </c>
      <c r="W35" s="18">
        <v>1</v>
      </c>
      <c r="X35" s="17">
        <v>45674</v>
      </c>
      <c r="Z35" s="45">
        <v>1</v>
      </c>
      <c r="AA35">
        <v>2025</v>
      </c>
      <c r="AB35" s="42">
        <v>1466898</v>
      </c>
      <c r="AC35" s="42">
        <v>0</v>
      </c>
    </row>
    <row r="36" spans="1:29">
      <c r="A36" t="s">
        <v>45</v>
      </c>
      <c r="B36" t="s">
        <v>46</v>
      </c>
      <c r="C36" t="s">
        <v>47</v>
      </c>
      <c r="D36" t="s">
        <v>129</v>
      </c>
      <c r="E36" t="s">
        <v>49</v>
      </c>
      <c r="F36" t="s">
        <v>98</v>
      </c>
      <c r="G36" t="s">
        <v>51</v>
      </c>
      <c r="H36" s="17" t="s">
        <v>52</v>
      </c>
      <c r="I36" t="s">
        <v>53</v>
      </c>
      <c r="J36" t="s">
        <v>54</v>
      </c>
      <c r="L36" t="s">
        <v>55</v>
      </c>
      <c r="M36" t="s">
        <v>56</v>
      </c>
      <c r="N36" t="s">
        <v>57</v>
      </c>
      <c r="O36" s="18" t="s">
        <v>58</v>
      </c>
      <c r="P36" s="18" t="s">
        <v>99</v>
      </c>
      <c r="Q36" s="17" t="s">
        <v>100</v>
      </c>
      <c r="R36" s="18" t="s">
        <v>101</v>
      </c>
      <c r="S36" s="32">
        <v>2</v>
      </c>
      <c r="T36" s="19">
        <v>2</v>
      </c>
      <c r="U36" s="17" t="s">
        <v>62</v>
      </c>
      <c r="V36" s="17">
        <v>45672</v>
      </c>
      <c r="W36" s="18">
        <v>1</v>
      </c>
      <c r="X36" s="17">
        <v>45674</v>
      </c>
      <c r="Y36" s="17">
        <v>45679</v>
      </c>
      <c r="Z36" s="45">
        <v>1</v>
      </c>
      <c r="AA36">
        <v>2025</v>
      </c>
      <c r="AB36" s="42">
        <v>264000</v>
      </c>
      <c r="AC36" s="42">
        <v>264000</v>
      </c>
    </row>
    <row r="37" spans="1:29">
      <c r="A37" t="s">
        <v>45</v>
      </c>
      <c r="B37" t="s">
        <v>46</v>
      </c>
      <c r="C37" t="s">
        <v>47</v>
      </c>
      <c r="D37" t="s">
        <v>130</v>
      </c>
      <c r="E37" t="s">
        <v>49</v>
      </c>
      <c r="F37" t="s">
        <v>63</v>
      </c>
      <c r="G37" t="s">
        <v>51</v>
      </c>
      <c r="H37" s="17" t="s">
        <v>52</v>
      </c>
      <c r="I37" t="s">
        <v>53</v>
      </c>
      <c r="J37" t="s">
        <v>110</v>
      </c>
      <c r="L37" t="s">
        <v>55</v>
      </c>
      <c r="M37" t="s">
        <v>56</v>
      </c>
      <c r="N37" t="s">
        <v>57</v>
      </c>
      <c r="O37" s="18" t="s">
        <v>58</v>
      </c>
      <c r="P37" s="18" t="s">
        <v>99</v>
      </c>
      <c r="Q37" s="17" t="s">
        <v>100</v>
      </c>
      <c r="R37" s="18" t="s">
        <v>101</v>
      </c>
      <c r="S37" s="32">
        <v>1</v>
      </c>
      <c r="T37" s="19">
        <v>0</v>
      </c>
      <c r="U37" s="17" t="s">
        <v>62</v>
      </c>
      <c r="V37" s="17">
        <v>45671</v>
      </c>
      <c r="W37" s="18">
        <v>1</v>
      </c>
      <c r="X37" s="17">
        <v>45674</v>
      </c>
      <c r="Z37" s="45">
        <v>1</v>
      </c>
      <c r="AA37">
        <v>2025</v>
      </c>
      <c r="AB37" s="42">
        <v>58000</v>
      </c>
      <c r="AC37" s="42">
        <v>0</v>
      </c>
    </row>
    <row r="38" spans="1:29">
      <c r="A38" t="s">
        <v>45</v>
      </c>
      <c r="B38" t="s">
        <v>46</v>
      </c>
      <c r="C38" t="s">
        <v>47</v>
      </c>
      <c r="D38" t="s">
        <v>131</v>
      </c>
      <c r="E38" t="s">
        <v>49</v>
      </c>
      <c r="F38" t="s">
        <v>50</v>
      </c>
      <c r="G38" t="s">
        <v>51</v>
      </c>
      <c r="H38" s="17" t="s">
        <v>52</v>
      </c>
      <c r="I38" t="s">
        <v>53</v>
      </c>
      <c r="J38" t="s">
        <v>54</v>
      </c>
      <c r="L38" t="s">
        <v>55</v>
      </c>
      <c r="M38" t="s">
        <v>56</v>
      </c>
      <c r="N38" t="s">
        <v>57</v>
      </c>
      <c r="O38" s="18" t="s">
        <v>58</v>
      </c>
      <c r="P38" s="18" t="s">
        <v>132</v>
      </c>
      <c r="Q38" s="17" t="s">
        <v>133</v>
      </c>
      <c r="R38" s="18" t="s">
        <v>134</v>
      </c>
      <c r="S38" s="32">
        <v>1400</v>
      </c>
      <c r="T38" s="19">
        <v>180</v>
      </c>
      <c r="U38" s="17" t="s">
        <v>62</v>
      </c>
      <c r="V38" s="17">
        <v>45671</v>
      </c>
      <c r="W38" s="18">
        <v>1</v>
      </c>
      <c r="X38" s="17">
        <v>45838</v>
      </c>
      <c r="Y38" s="17">
        <v>45680</v>
      </c>
      <c r="Z38" s="45">
        <v>1</v>
      </c>
      <c r="AA38">
        <v>2025</v>
      </c>
      <c r="AB38" s="42">
        <v>8330000</v>
      </c>
      <c r="AC38" s="42">
        <v>1071000</v>
      </c>
    </row>
    <row r="39" spans="1:29">
      <c r="A39" t="s">
        <v>45</v>
      </c>
      <c r="B39" t="s">
        <v>46</v>
      </c>
      <c r="C39" t="s">
        <v>47</v>
      </c>
      <c r="D39" t="s">
        <v>135</v>
      </c>
      <c r="E39" t="s">
        <v>49</v>
      </c>
      <c r="F39" t="s">
        <v>50</v>
      </c>
      <c r="G39" t="s">
        <v>51</v>
      </c>
      <c r="H39" s="17" t="s">
        <v>52</v>
      </c>
      <c r="I39" t="s">
        <v>53</v>
      </c>
      <c r="J39" t="s">
        <v>136</v>
      </c>
      <c r="L39" t="s">
        <v>55</v>
      </c>
      <c r="M39" t="s">
        <v>56</v>
      </c>
      <c r="N39" t="s">
        <v>57</v>
      </c>
      <c r="O39" s="18" t="s">
        <v>58</v>
      </c>
      <c r="P39" s="18" t="s">
        <v>72</v>
      </c>
      <c r="Q39" s="17" t="s">
        <v>127</v>
      </c>
      <c r="R39" s="18" t="s">
        <v>128</v>
      </c>
      <c r="S39" s="32">
        <v>550</v>
      </c>
      <c r="T39" s="19">
        <v>550</v>
      </c>
      <c r="U39" s="17" t="s">
        <v>62</v>
      </c>
      <c r="V39" s="17">
        <v>45671</v>
      </c>
      <c r="W39" s="18">
        <v>1</v>
      </c>
      <c r="X39" s="17">
        <v>45695</v>
      </c>
      <c r="Y39" s="17">
        <v>45677</v>
      </c>
      <c r="Z39" s="45">
        <v>1</v>
      </c>
      <c r="AA39">
        <v>2025</v>
      </c>
      <c r="AB39" s="42">
        <v>3622850</v>
      </c>
      <c r="AC39" s="42">
        <v>3622850</v>
      </c>
    </row>
    <row r="40" spans="1:29">
      <c r="A40" t="s">
        <v>45</v>
      </c>
      <c r="B40" t="s">
        <v>46</v>
      </c>
      <c r="C40" t="s">
        <v>47</v>
      </c>
      <c r="D40" t="s">
        <v>126</v>
      </c>
      <c r="E40" t="s">
        <v>49</v>
      </c>
      <c r="F40" t="s">
        <v>50</v>
      </c>
      <c r="G40" t="s">
        <v>51</v>
      </c>
      <c r="H40" s="17" t="s">
        <v>52</v>
      </c>
      <c r="I40" t="s">
        <v>53</v>
      </c>
      <c r="J40" t="s">
        <v>110</v>
      </c>
      <c r="L40" t="s">
        <v>55</v>
      </c>
      <c r="M40" t="s">
        <v>56</v>
      </c>
      <c r="N40" t="s">
        <v>57</v>
      </c>
      <c r="O40" s="18" t="s">
        <v>58</v>
      </c>
      <c r="P40" s="18" t="s">
        <v>137</v>
      </c>
      <c r="Q40" s="17" t="s">
        <v>138</v>
      </c>
      <c r="R40" s="18" t="s">
        <v>139</v>
      </c>
      <c r="S40" s="32">
        <v>31</v>
      </c>
      <c r="T40" s="19">
        <v>31</v>
      </c>
      <c r="U40" s="17" t="s">
        <v>62</v>
      </c>
      <c r="V40" s="17">
        <v>45671</v>
      </c>
      <c r="W40" s="18">
        <v>1</v>
      </c>
      <c r="X40" s="17">
        <v>45674</v>
      </c>
      <c r="Y40" s="17">
        <v>45679</v>
      </c>
      <c r="Z40" s="45">
        <v>1</v>
      </c>
      <c r="AA40">
        <v>2025</v>
      </c>
      <c r="AB40" s="42">
        <v>735661</v>
      </c>
      <c r="AC40" s="42">
        <v>735661</v>
      </c>
    </row>
    <row r="41" spans="1:29">
      <c r="A41" t="s">
        <v>45</v>
      </c>
      <c r="B41" t="s">
        <v>46</v>
      </c>
      <c r="C41" t="s">
        <v>47</v>
      </c>
      <c r="D41" t="s">
        <v>126</v>
      </c>
      <c r="E41" t="s">
        <v>49</v>
      </c>
      <c r="F41" t="s">
        <v>67</v>
      </c>
      <c r="G41" t="s">
        <v>51</v>
      </c>
      <c r="H41" s="17" t="s">
        <v>52</v>
      </c>
      <c r="I41" t="s">
        <v>53</v>
      </c>
      <c r="J41" t="s">
        <v>110</v>
      </c>
      <c r="L41" t="s">
        <v>55</v>
      </c>
      <c r="M41" t="s">
        <v>56</v>
      </c>
      <c r="N41" t="s">
        <v>57</v>
      </c>
      <c r="O41" s="18" t="s">
        <v>58</v>
      </c>
      <c r="P41" s="18" t="s">
        <v>72</v>
      </c>
      <c r="Q41" s="17" t="s">
        <v>140</v>
      </c>
      <c r="R41" s="18" t="s">
        <v>141</v>
      </c>
      <c r="S41" s="32">
        <v>33</v>
      </c>
      <c r="T41" s="19">
        <v>33</v>
      </c>
      <c r="U41" s="17" t="s">
        <v>62</v>
      </c>
      <c r="V41" s="17">
        <v>45671</v>
      </c>
      <c r="W41" s="18">
        <v>1</v>
      </c>
      <c r="X41" s="17">
        <v>45674</v>
      </c>
      <c r="Y41" s="17">
        <v>45679</v>
      </c>
      <c r="Z41" s="45">
        <v>1</v>
      </c>
      <c r="AA41">
        <v>2025</v>
      </c>
      <c r="AB41" s="42">
        <v>269049</v>
      </c>
      <c r="AC41" s="42">
        <v>269049</v>
      </c>
    </row>
    <row r="42" spans="1:29">
      <c r="A42" t="s">
        <v>45</v>
      </c>
      <c r="B42" t="s">
        <v>46</v>
      </c>
      <c r="C42" t="s">
        <v>47</v>
      </c>
      <c r="D42" t="s">
        <v>142</v>
      </c>
      <c r="E42" t="s">
        <v>115</v>
      </c>
      <c r="F42" t="s">
        <v>50</v>
      </c>
      <c r="G42" t="s">
        <v>116</v>
      </c>
      <c r="H42" s="17" t="s">
        <v>52</v>
      </c>
      <c r="I42" t="s">
        <v>53</v>
      </c>
      <c r="J42" t="s">
        <v>110</v>
      </c>
      <c r="L42" t="s">
        <v>55</v>
      </c>
      <c r="M42" t="s">
        <v>56</v>
      </c>
      <c r="N42" t="s">
        <v>57</v>
      </c>
      <c r="O42" s="18" t="s">
        <v>58</v>
      </c>
      <c r="P42" s="18" t="s">
        <v>72</v>
      </c>
      <c r="Q42" s="17" t="s">
        <v>122</v>
      </c>
      <c r="R42" s="18" t="s">
        <v>123</v>
      </c>
      <c r="S42" s="32">
        <v>4</v>
      </c>
      <c r="T42" s="19">
        <v>4</v>
      </c>
      <c r="U42" s="17" t="s">
        <v>119</v>
      </c>
      <c r="V42" s="17">
        <v>45674</v>
      </c>
      <c r="W42" s="18">
        <v>1</v>
      </c>
      <c r="X42" s="17">
        <v>45686</v>
      </c>
      <c r="Y42" s="17">
        <v>45685</v>
      </c>
      <c r="Z42" s="45">
        <v>1</v>
      </c>
      <c r="AA42">
        <v>2025</v>
      </c>
      <c r="AB42" s="42">
        <v>1405320</v>
      </c>
      <c r="AC42" s="42">
        <v>1405320</v>
      </c>
    </row>
    <row r="43" spans="1:29">
      <c r="A43" t="s">
        <v>45</v>
      </c>
      <c r="B43" t="s">
        <v>46</v>
      </c>
      <c r="C43" t="s">
        <v>47</v>
      </c>
      <c r="D43" t="s">
        <v>143</v>
      </c>
      <c r="E43" t="s">
        <v>115</v>
      </c>
      <c r="F43" t="s">
        <v>50</v>
      </c>
      <c r="G43" t="s">
        <v>116</v>
      </c>
      <c r="H43" s="17" t="s">
        <v>52</v>
      </c>
      <c r="I43" t="s">
        <v>53</v>
      </c>
      <c r="J43" t="s">
        <v>125</v>
      </c>
      <c r="L43" t="s">
        <v>55</v>
      </c>
      <c r="M43" t="s">
        <v>56</v>
      </c>
      <c r="N43" t="s">
        <v>57</v>
      </c>
      <c r="O43" s="18" t="s">
        <v>58</v>
      </c>
      <c r="P43" s="18" t="s">
        <v>72</v>
      </c>
      <c r="Q43" s="17" t="s">
        <v>122</v>
      </c>
      <c r="R43" s="18" t="s">
        <v>123</v>
      </c>
      <c r="S43" s="32">
        <v>2</v>
      </c>
      <c r="T43" s="19">
        <v>2</v>
      </c>
      <c r="U43" s="17" t="s">
        <v>119</v>
      </c>
      <c r="V43" s="17">
        <v>45674</v>
      </c>
      <c r="W43" s="18">
        <v>1</v>
      </c>
      <c r="X43" s="17">
        <v>45686</v>
      </c>
      <c r="Y43" s="17">
        <v>45679</v>
      </c>
      <c r="Z43" s="45">
        <v>1</v>
      </c>
      <c r="AA43">
        <v>2025</v>
      </c>
      <c r="AB43" s="42">
        <v>702660</v>
      </c>
      <c r="AC43" s="42">
        <v>702660</v>
      </c>
    </row>
    <row r="44" spans="1:29">
      <c r="A44" t="s">
        <v>45</v>
      </c>
      <c r="B44" t="s">
        <v>46</v>
      </c>
      <c r="C44" t="s">
        <v>47</v>
      </c>
      <c r="D44" t="s">
        <v>143</v>
      </c>
      <c r="E44" t="s">
        <v>115</v>
      </c>
      <c r="F44" t="s">
        <v>63</v>
      </c>
      <c r="G44" t="s">
        <v>116</v>
      </c>
      <c r="H44" s="17" t="s">
        <v>52</v>
      </c>
      <c r="I44" t="s">
        <v>53</v>
      </c>
      <c r="J44" t="s">
        <v>125</v>
      </c>
      <c r="L44" t="s">
        <v>55</v>
      </c>
      <c r="M44" t="s">
        <v>56</v>
      </c>
      <c r="N44" t="s">
        <v>57</v>
      </c>
      <c r="O44" s="18" t="s">
        <v>58</v>
      </c>
      <c r="P44" s="18" t="s">
        <v>72</v>
      </c>
      <c r="Q44" s="17" t="s">
        <v>117</v>
      </c>
      <c r="R44" s="18" t="s">
        <v>118</v>
      </c>
      <c r="S44" s="32">
        <v>3</v>
      </c>
      <c r="T44" s="19">
        <v>3</v>
      </c>
      <c r="U44" s="17" t="s">
        <v>119</v>
      </c>
      <c r="V44" s="17">
        <v>45674</v>
      </c>
      <c r="W44" s="18">
        <v>1</v>
      </c>
      <c r="X44" s="17">
        <v>45686</v>
      </c>
      <c r="Y44" s="17">
        <v>45679</v>
      </c>
      <c r="Z44" s="45">
        <v>1</v>
      </c>
      <c r="AA44">
        <v>2025</v>
      </c>
      <c r="AB44" s="42">
        <v>1054500</v>
      </c>
      <c r="AC44" s="42">
        <v>1054500</v>
      </c>
    </row>
    <row r="45" spans="1:29">
      <c r="A45" t="s">
        <v>45</v>
      </c>
      <c r="B45" t="s">
        <v>46</v>
      </c>
      <c r="C45" t="s">
        <v>47</v>
      </c>
      <c r="D45" t="s">
        <v>144</v>
      </c>
      <c r="E45" t="s">
        <v>115</v>
      </c>
      <c r="F45" t="s">
        <v>50</v>
      </c>
      <c r="G45" t="s">
        <v>116</v>
      </c>
      <c r="H45" s="17" t="s">
        <v>52</v>
      </c>
      <c r="I45" t="s">
        <v>53</v>
      </c>
      <c r="J45" t="s">
        <v>121</v>
      </c>
      <c r="L45" t="s">
        <v>55</v>
      </c>
      <c r="M45" t="s">
        <v>56</v>
      </c>
      <c r="N45" t="s">
        <v>57</v>
      </c>
      <c r="O45" s="18" t="s">
        <v>58</v>
      </c>
      <c r="P45" s="18" t="s">
        <v>72</v>
      </c>
      <c r="Q45" s="17" t="s">
        <v>145</v>
      </c>
      <c r="R45" s="18" t="s">
        <v>146</v>
      </c>
      <c r="S45" s="32">
        <v>4</v>
      </c>
      <c r="T45" s="19">
        <v>4</v>
      </c>
      <c r="U45" s="17" t="s">
        <v>119</v>
      </c>
      <c r="V45" s="17">
        <v>45674</v>
      </c>
      <c r="W45" s="18">
        <v>1</v>
      </c>
      <c r="X45" s="17">
        <v>45686</v>
      </c>
      <c r="Y45" s="17">
        <v>45685</v>
      </c>
      <c r="Z45" s="45">
        <v>1</v>
      </c>
      <c r="AA45">
        <v>2025</v>
      </c>
      <c r="AB45" s="42">
        <v>2929920</v>
      </c>
      <c r="AC45" s="42">
        <v>2929920</v>
      </c>
    </row>
    <row r="46" spans="1:29">
      <c r="A46" t="s">
        <v>45</v>
      </c>
      <c r="B46" t="s">
        <v>46</v>
      </c>
      <c r="C46" t="s">
        <v>47</v>
      </c>
      <c r="D46" t="s">
        <v>144</v>
      </c>
      <c r="E46" t="s">
        <v>115</v>
      </c>
      <c r="F46" t="s">
        <v>63</v>
      </c>
      <c r="G46" t="s">
        <v>116</v>
      </c>
      <c r="H46" s="17" t="s">
        <v>52</v>
      </c>
      <c r="I46" t="s">
        <v>53</v>
      </c>
      <c r="J46" t="s">
        <v>121</v>
      </c>
      <c r="L46" t="s">
        <v>55</v>
      </c>
      <c r="M46" t="s">
        <v>56</v>
      </c>
      <c r="N46" t="s">
        <v>57</v>
      </c>
      <c r="O46" s="18" t="s">
        <v>58</v>
      </c>
      <c r="P46" s="18" t="s">
        <v>72</v>
      </c>
      <c r="Q46" s="17" t="s">
        <v>147</v>
      </c>
      <c r="R46" s="18" t="s">
        <v>148</v>
      </c>
      <c r="S46" s="32">
        <v>2</v>
      </c>
      <c r="T46" s="19">
        <v>2</v>
      </c>
      <c r="U46" s="17" t="s">
        <v>119</v>
      </c>
      <c r="V46" s="17">
        <v>45674</v>
      </c>
      <c r="W46" s="18">
        <v>1</v>
      </c>
      <c r="X46" s="17">
        <v>45686</v>
      </c>
      <c r="Y46" s="17">
        <v>45685</v>
      </c>
      <c r="Z46" s="45">
        <v>1</v>
      </c>
      <c r="AA46">
        <v>2025</v>
      </c>
      <c r="AB46" s="42">
        <v>837440</v>
      </c>
      <c r="AC46" s="42">
        <v>837440</v>
      </c>
    </row>
    <row r="47" spans="1:29">
      <c r="A47" t="s">
        <v>45</v>
      </c>
      <c r="B47" t="s">
        <v>46</v>
      </c>
      <c r="C47" t="s">
        <v>47</v>
      </c>
      <c r="D47" t="s">
        <v>144</v>
      </c>
      <c r="E47" t="s">
        <v>115</v>
      </c>
      <c r="F47" t="s">
        <v>67</v>
      </c>
      <c r="G47" t="s">
        <v>116</v>
      </c>
      <c r="H47" s="17" t="s">
        <v>52</v>
      </c>
      <c r="I47" t="s">
        <v>53</v>
      </c>
      <c r="J47" t="s">
        <v>121</v>
      </c>
      <c r="L47" t="s">
        <v>55</v>
      </c>
      <c r="M47" t="s">
        <v>56</v>
      </c>
      <c r="N47" t="s">
        <v>57</v>
      </c>
      <c r="O47" s="18" t="s">
        <v>58</v>
      </c>
      <c r="P47" s="18" t="s">
        <v>72</v>
      </c>
      <c r="Q47" s="17" t="s">
        <v>122</v>
      </c>
      <c r="R47" s="18" t="s">
        <v>123</v>
      </c>
      <c r="S47" s="32">
        <v>2</v>
      </c>
      <c r="T47" s="19">
        <v>2</v>
      </c>
      <c r="U47" s="17" t="s">
        <v>119</v>
      </c>
      <c r="V47" s="17">
        <v>45674</v>
      </c>
      <c r="W47" s="18">
        <v>1</v>
      </c>
      <c r="X47" s="17">
        <v>45686</v>
      </c>
      <c r="Y47" s="17">
        <v>45685</v>
      </c>
      <c r="Z47" s="45">
        <v>1</v>
      </c>
      <c r="AA47">
        <v>2025</v>
      </c>
      <c r="AB47" s="42">
        <v>702660</v>
      </c>
      <c r="AC47" s="42">
        <v>702660</v>
      </c>
    </row>
    <row r="48" spans="1:29">
      <c r="A48" t="s">
        <v>45</v>
      </c>
      <c r="B48" t="s">
        <v>46</v>
      </c>
      <c r="C48" t="s">
        <v>47</v>
      </c>
      <c r="D48" t="s">
        <v>149</v>
      </c>
      <c r="E48" t="s">
        <v>49</v>
      </c>
      <c r="F48" t="s">
        <v>50</v>
      </c>
      <c r="G48" t="s">
        <v>51</v>
      </c>
      <c r="H48" s="17" t="s">
        <v>52</v>
      </c>
      <c r="I48" t="s">
        <v>53</v>
      </c>
      <c r="J48" t="s">
        <v>150</v>
      </c>
      <c r="L48" t="s">
        <v>55</v>
      </c>
      <c r="M48" t="s">
        <v>56</v>
      </c>
      <c r="N48" t="s">
        <v>57</v>
      </c>
      <c r="O48" s="18" t="s">
        <v>58</v>
      </c>
      <c r="P48" s="18" t="s">
        <v>72</v>
      </c>
      <c r="Q48" s="17" t="s">
        <v>151</v>
      </c>
      <c r="R48" s="18" t="s">
        <v>152</v>
      </c>
      <c r="S48" s="32">
        <v>15</v>
      </c>
      <c r="T48" s="19">
        <v>15</v>
      </c>
      <c r="U48" s="17" t="s">
        <v>62</v>
      </c>
      <c r="V48" s="17">
        <v>45674</v>
      </c>
      <c r="W48" s="18">
        <v>1</v>
      </c>
      <c r="X48" s="17">
        <v>45674</v>
      </c>
      <c r="Y48" s="17">
        <v>45680</v>
      </c>
      <c r="Z48" s="45">
        <v>1</v>
      </c>
      <c r="AA48">
        <v>2025</v>
      </c>
      <c r="AB48" s="42">
        <v>461940</v>
      </c>
      <c r="AC48" s="42">
        <v>461940</v>
      </c>
    </row>
    <row r="49" spans="1:29">
      <c r="A49" t="s">
        <v>45</v>
      </c>
      <c r="B49" t="s">
        <v>46</v>
      </c>
      <c r="C49" t="s">
        <v>47</v>
      </c>
      <c r="D49" t="s">
        <v>149</v>
      </c>
      <c r="E49" t="s">
        <v>49</v>
      </c>
      <c r="F49" t="s">
        <v>63</v>
      </c>
      <c r="G49" t="s">
        <v>51</v>
      </c>
      <c r="H49" s="17" t="s">
        <v>52</v>
      </c>
      <c r="I49" t="s">
        <v>53</v>
      </c>
      <c r="J49" t="s">
        <v>150</v>
      </c>
      <c r="L49" t="s">
        <v>55</v>
      </c>
      <c r="M49" t="s">
        <v>56</v>
      </c>
      <c r="N49" t="s">
        <v>57</v>
      </c>
      <c r="O49" s="18" t="s">
        <v>58</v>
      </c>
      <c r="P49" s="18" t="s">
        <v>72</v>
      </c>
      <c r="Q49" s="17" t="s">
        <v>153</v>
      </c>
      <c r="R49" s="18" t="s">
        <v>154</v>
      </c>
      <c r="S49" s="32">
        <v>5</v>
      </c>
      <c r="T49" s="19">
        <v>5</v>
      </c>
      <c r="U49" s="17" t="s">
        <v>62</v>
      </c>
      <c r="V49" s="17">
        <v>45674</v>
      </c>
      <c r="W49" s="18">
        <v>1</v>
      </c>
      <c r="X49" s="17">
        <v>45674</v>
      </c>
      <c r="Y49" s="17">
        <v>45680</v>
      </c>
      <c r="Z49" s="45">
        <v>1</v>
      </c>
      <c r="AA49">
        <v>2025</v>
      </c>
      <c r="AB49" s="42">
        <v>172225</v>
      </c>
      <c r="AC49" s="42">
        <v>172225</v>
      </c>
    </row>
    <row r="50" spans="1:29">
      <c r="A50" t="s">
        <v>45</v>
      </c>
      <c r="B50" t="s">
        <v>46</v>
      </c>
      <c r="C50" t="s">
        <v>47</v>
      </c>
      <c r="D50" t="s">
        <v>155</v>
      </c>
      <c r="E50" t="s">
        <v>49</v>
      </c>
      <c r="F50" t="s">
        <v>50</v>
      </c>
      <c r="G50" t="s">
        <v>51</v>
      </c>
      <c r="H50" s="17" t="s">
        <v>52</v>
      </c>
      <c r="I50" t="s">
        <v>53</v>
      </c>
      <c r="J50" t="s">
        <v>54</v>
      </c>
      <c r="L50" t="s">
        <v>55</v>
      </c>
      <c r="M50" t="s">
        <v>56</v>
      </c>
      <c r="N50" t="s">
        <v>57</v>
      </c>
      <c r="O50" s="18" t="s">
        <v>58</v>
      </c>
      <c r="P50" s="18" t="s">
        <v>86</v>
      </c>
      <c r="Q50" s="17" t="s">
        <v>87</v>
      </c>
      <c r="R50" s="18" t="s">
        <v>88</v>
      </c>
      <c r="S50" s="32">
        <v>200</v>
      </c>
      <c r="T50" s="19">
        <v>200</v>
      </c>
      <c r="U50" s="17" t="s">
        <v>62</v>
      </c>
      <c r="V50" s="17">
        <v>45674</v>
      </c>
      <c r="W50" s="18">
        <v>1</v>
      </c>
      <c r="X50" s="17">
        <v>45674</v>
      </c>
      <c r="Y50" s="17">
        <v>45679</v>
      </c>
      <c r="Z50" s="45">
        <v>1</v>
      </c>
      <c r="AA50">
        <v>2025</v>
      </c>
      <c r="AB50" s="42">
        <v>6483400</v>
      </c>
      <c r="AC50" s="42">
        <v>6483400</v>
      </c>
    </row>
    <row r="51" spans="1:29">
      <c r="A51" t="s">
        <v>45</v>
      </c>
      <c r="B51" t="s">
        <v>46</v>
      </c>
      <c r="C51" t="s">
        <v>47</v>
      </c>
      <c r="D51" t="s">
        <v>155</v>
      </c>
      <c r="E51" t="s">
        <v>49</v>
      </c>
      <c r="F51" t="s">
        <v>63</v>
      </c>
      <c r="G51" t="s">
        <v>51</v>
      </c>
      <c r="H51" s="17" t="s">
        <v>52</v>
      </c>
      <c r="I51" t="s">
        <v>53</v>
      </c>
      <c r="J51" t="s">
        <v>54</v>
      </c>
      <c r="L51" t="s">
        <v>55</v>
      </c>
      <c r="M51" t="s">
        <v>56</v>
      </c>
      <c r="N51" t="s">
        <v>57</v>
      </c>
      <c r="O51" s="18" t="s">
        <v>58</v>
      </c>
      <c r="P51" s="18" t="s">
        <v>99</v>
      </c>
      <c r="Q51" s="17" t="s">
        <v>100</v>
      </c>
      <c r="R51" s="18" t="s">
        <v>101</v>
      </c>
      <c r="S51" s="32">
        <v>200</v>
      </c>
      <c r="T51" s="19">
        <v>200</v>
      </c>
      <c r="U51" s="17" t="s">
        <v>62</v>
      </c>
      <c r="V51" s="17">
        <v>45674</v>
      </c>
      <c r="W51" s="18">
        <v>1</v>
      </c>
      <c r="X51" s="17">
        <v>45674</v>
      </c>
      <c r="Y51" s="17">
        <v>45679</v>
      </c>
      <c r="Z51" s="45">
        <v>1</v>
      </c>
      <c r="AA51">
        <v>2025</v>
      </c>
      <c r="AB51" s="42">
        <v>69000</v>
      </c>
      <c r="AC51" s="42">
        <v>69000</v>
      </c>
    </row>
    <row r="52" spans="1:29">
      <c r="A52" t="s">
        <v>45</v>
      </c>
      <c r="B52" t="s">
        <v>46</v>
      </c>
      <c r="C52" t="s">
        <v>47</v>
      </c>
      <c r="D52" t="s">
        <v>156</v>
      </c>
      <c r="E52" t="s">
        <v>49</v>
      </c>
      <c r="F52" t="s">
        <v>50</v>
      </c>
      <c r="G52" t="s">
        <v>51</v>
      </c>
      <c r="H52" s="17" t="s">
        <v>58</v>
      </c>
      <c r="I52" t="s">
        <v>53</v>
      </c>
      <c r="J52" t="s">
        <v>157</v>
      </c>
      <c r="L52" t="s">
        <v>55</v>
      </c>
      <c r="M52" t="s">
        <v>56</v>
      </c>
      <c r="N52" t="s">
        <v>57</v>
      </c>
      <c r="O52" s="18" t="s">
        <v>58</v>
      </c>
      <c r="P52" s="18" t="s">
        <v>86</v>
      </c>
      <c r="Q52" s="17" t="s">
        <v>87</v>
      </c>
      <c r="R52" s="18" t="s">
        <v>88</v>
      </c>
      <c r="S52" s="32">
        <v>90</v>
      </c>
      <c r="T52" s="19">
        <v>0</v>
      </c>
      <c r="U52" s="17" t="s">
        <v>62</v>
      </c>
      <c r="V52" s="17">
        <v>45679</v>
      </c>
      <c r="W52" s="18">
        <v>1</v>
      </c>
      <c r="X52" s="17">
        <v>45679</v>
      </c>
      <c r="Z52" s="45">
        <v>1</v>
      </c>
      <c r="AA52">
        <v>2025</v>
      </c>
      <c r="AB52" s="42">
        <v>911700</v>
      </c>
      <c r="AC52" s="42">
        <v>0</v>
      </c>
    </row>
    <row r="53" spans="1:29">
      <c r="A53" t="s">
        <v>45</v>
      </c>
      <c r="B53" t="s">
        <v>46</v>
      </c>
      <c r="C53" t="s">
        <v>47</v>
      </c>
      <c r="D53" t="s">
        <v>156</v>
      </c>
      <c r="E53" t="s">
        <v>49</v>
      </c>
      <c r="F53" t="s">
        <v>63</v>
      </c>
      <c r="G53" t="s">
        <v>51</v>
      </c>
      <c r="H53" s="17" t="s">
        <v>58</v>
      </c>
      <c r="I53" t="s">
        <v>53</v>
      </c>
      <c r="J53" t="s">
        <v>157</v>
      </c>
      <c r="L53" t="s">
        <v>55</v>
      </c>
      <c r="M53" t="s">
        <v>56</v>
      </c>
      <c r="N53" t="s">
        <v>57</v>
      </c>
      <c r="O53" s="18" t="s">
        <v>58</v>
      </c>
      <c r="P53" s="18" t="s">
        <v>89</v>
      </c>
      <c r="Q53" s="17" t="s">
        <v>90</v>
      </c>
      <c r="R53" s="18" t="s">
        <v>91</v>
      </c>
      <c r="S53" s="32">
        <v>5</v>
      </c>
      <c r="T53" s="19">
        <v>0</v>
      </c>
      <c r="U53" s="17" t="s">
        <v>62</v>
      </c>
      <c r="V53" s="17">
        <v>45679</v>
      </c>
      <c r="W53" s="18">
        <v>1</v>
      </c>
      <c r="X53" s="17">
        <v>45679</v>
      </c>
      <c r="Z53" s="45">
        <v>1</v>
      </c>
      <c r="AA53">
        <v>2025</v>
      </c>
      <c r="AB53" s="42">
        <v>692890</v>
      </c>
      <c r="AC53" s="42">
        <v>0</v>
      </c>
    </row>
    <row r="54" spans="1:29">
      <c r="A54" t="s">
        <v>45</v>
      </c>
      <c r="B54" t="s">
        <v>46</v>
      </c>
      <c r="C54" t="s">
        <v>47</v>
      </c>
      <c r="D54" t="s">
        <v>156</v>
      </c>
      <c r="E54" t="s">
        <v>49</v>
      </c>
      <c r="F54" t="s">
        <v>67</v>
      </c>
      <c r="G54" t="s">
        <v>51</v>
      </c>
      <c r="H54" s="17" t="s">
        <v>58</v>
      </c>
      <c r="I54" t="s">
        <v>53</v>
      </c>
      <c r="J54" t="s">
        <v>157</v>
      </c>
      <c r="L54" t="s">
        <v>55</v>
      </c>
      <c r="M54" t="s">
        <v>56</v>
      </c>
      <c r="N54" t="s">
        <v>57</v>
      </c>
      <c r="O54" s="18" t="s">
        <v>58</v>
      </c>
      <c r="P54" s="18" t="s">
        <v>68</v>
      </c>
      <c r="Q54" s="17" t="s">
        <v>69</v>
      </c>
      <c r="R54" s="18" t="s">
        <v>70</v>
      </c>
      <c r="S54" s="32">
        <v>2</v>
      </c>
      <c r="T54" s="19">
        <v>0</v>
      </c>
      <c r="U54" s="17" t="s">
        <v>62</v>
      </c>
      <c r="V54" s="17">
        <v>45679</v>
      </c>
      <c r="W54" s="18">
        <v>1</v>
      </c>
      <c r="X54" s="17">
        <v>45679</v>
      </c>
      <c r="Z54" s="45">
        <v>1</v>
      </c>
      <c r="AA54">
        <v>2025</v>
      </c>
      <c r="AB54" s="42">
        <v>145264</v>
      </c>
      <c r="AC54" s="42">
        <v>0</v>
      </c>
    </row>
    <row r="55" spans="1:29">
      <c r="A55" t="s">
        <v>45</v>
      </c>
      <c r="B55" t="s">
        <v>46</v>
      </c>
      <c r="C55" t="s">
        <v>47</v>
      </c>
      <c r="D55" t="s">
        <v>156</v>
      </c>
      <c r="E55" t="s">
        <v>49</v>
      </c>
      <c r="F55" t="s">
        <v>71</v>
      </c>
      <c r="G55" t="s">
        <v>51</v>
      </c>
      <c r="H55" s="17" t="s">
        <v>58</v>
      </c>
      <c r="I55" t="s">
        <v>53</v>
      </c>
      <c r="J55" t="s">
        <v>157</v>
      </c>
      <c r="L55" t="s">
        <v>55</v>
      </c>
      <c r="M55" t="s">
        <v>56</v>
      </c>
      <c r="N55" t="s">
        <v>57</v>
      </c>
      <c r="O55" s="18" t="s">
        <v>58</v>
      </c>
      <c r="P55" s="18" t="s">
        <v>158</v>
      </c>
      <c r="Q55" s="17" t="s">
        <v>159</v>
      </c>
      <c r="R55" s="18" t="s">
        <v>160</v>
      </c>
      <c r="S55" s="32">
        <v>10</v>
      </c>
      <c r="T55" s="19">
        <v>0</v>
      </c>
      <c r="U55" s="17" t="s">
        <v>62</v>
      </c>
      <c r="V55" s="17">
        <v>45679</v>
      </c>
      <c r="W55" s="18">
        <v>1</v>
      </c>
      <c r="X55" s="17">
        <v>45679</v>
      </c>
      <c r="Z55" s="45">
        <v>1</v>
      </c>
      <c r="AA55">
        <v>2025</v>
      </c>
      <c r="AB55" s="42">
        <v>158980</v>
      </c>
      <c r="AC55" s="42">
        <v>0</v>
      </c>
    </row>
    <row r="56" spans="1:29">
      <c r="A56" t="s">
        <v>45</v>
      </c>
      <c r="B56" t="s">
        <v>46</v>
      </c>
      <c r="C56" t="s">
        <v>47</v>
      </c>
      <c r="D56" t="s">
        <v>161</v>
      </c>
      <c r="E56" t="s">
        <v>49</v>
      </c>
      <c r="F56" t="s">
        <v>50</v>
      </c>
      <c r="G56" t="s">
        <v>51</v>
      </c>
      <c r="H56" s="17" t="s">
        <v>58</v>
      </c>
      <c r="I56" t="s">
        <v>53</v>
      </c>
      <c r="J56" t="s">
        <v>54</v>
      </c>
      <c r="L56" t="s">
        <v>55</v>
      </c>
      <c r="M56" t="s">
        <v>56</v>
      </c>
      <c r="N56" t="s">
        <v>57</v>
      </c>
      <c r="O56" s="18" t="s">
        <v>58</v>
      </c>
      <c r="P56" s="18" t="s">
        <v>72</v>
      </c>
      <c r="Q56" s="17" t="s">
        <v>153</v>
      </c>
      <c r="R56" s="18" t="s">
        <v>154</v>
      </c>
      <c r="S56" s="32">
        <v>351</v>
      </c>
      <c r="T56" s="19">
        <v>0</v>
      </c>
      <c r="U56" s="17" t="s">
        <v>62</v>
      </c>
      <c r="V56" s="17">
        <v>45677</v>
      </c>
      <c r="W56" s="18">
        <v>1</v>
      </c>
      <c r="X56" s="17">
        <v>45678</v>
      </c>
      <c r="Z56" s="45">
        <v>1</v>
      </c>
      <c r="AA56">
        <v>2025</v>
      </c>
      <c r="AB56" s="42">
        <v>12234456</v>
      </c>
      <c r="AC56" s="42">
        <v>0</v>
      </c>
    </row>
    <row r="57" spans="1:29">
      <c r="A57" t="s">
        <v>45</v>
      </c>
      <c r="B57" t="s">
        <v>46</v>
      </c>
      <c r="C57" t="s">
        <v>47</v>
      </c>
      <c r="D57" t="s">
        <v>161</v>
      </c>
      <c r="E57" t="s">
        <v>49</v>
      </c>
      <c r="F57" t="s">
        <v>63</v>
      </c>
      <c r="G57" t="s">
        <v>51</v>
      </c>
      <c r="H57" s="17" t="s">
        <v>58</v>
      </c>
      <c r="I57" t="s">
        <v>53</v>
      </c>
      <c r="J57" t="s">
        <v>54</v>
      </c>
      <c r="L57" t="s">
        <v>55</v>
      </c>
      <c r="M57" t="s">
        <v>56</v>
      </c>
      <c r="N57" t="s">
        <v>57</v>
      </c>
      <c r="O57" s="18" t="s">
        <v>58</v>
      </c>
      <c r="P57" s="18" t="s">
        <v>132</v>
      </c>
      <c r="Q57" s="17" t="s">
        <v>162</v>
      </c>
      <c r="R57" s="18" t="s">
        <v>163</v>
      </c>
      <c r="S57" s="32">
        <v>56</v>
      </c>
      <c r="T57" s="19">
        <v>0</v>
      </c>
      <c r="U57" s="17" t="s">
        <v>62</v>
      </c>
      <c r="V57" s="17">
        <v>45677</v>
      </c>
      <c r="W57" s="18">
        <v>1</v>
      </c>
      <c r="X57" s="17">
        <v>45678</v>
      </c>
      <c r="Z57" s="45">
        <v>1</v>
      </c>
      <c r="AA57">
        <v>2025</v>
      </c>
      <c r="AB57" s="42">
        <v>429688</v>
      </c>
      <c r="AC57" s="42">
        <v>0</v>
      </c>
    </row>
    <row r="58" spans="1:29">
      <c r="A58" t="s">
        <v>45</v>
      </c>
      <c r="B58" t="s">
        <v>46</v>
      </c>
      <c r="C58" t="s">
        <v>47</v>
      </c>
      <c r="D58" t="s">
        <v>161</v>
      </c>
      <c r="E58" t="s">
        <v>49</v>
      </c>
      <c r="F58" t="s">
        <v>67</v>
      </c>
      <c r="G58" t="s">
        <v>51</v>
      </c>
      <c r="H58" s="17" t="s">
        <v>58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18" t="s">
        <v>58</v>
      </c>
      <c r="P58" s="18" t="s">
        <v>80</v>
      </c>
      <c r="Q58" s="17" t="s">
        <v>81</v>
      </c>
      <c r="R58" s="18" t="s">
        <v>82</v>
      </c>
      <c r="S58" s="32">
        <v>25</v>
      </c>
      <c r="T58" s="19">
        <v>0</v>
      </c>
      <c r="U58" s="17" t="s">
        <v>62</v>
      </c>
      <c r="V58" s="17">
        <v>45677</v>
      </c>
      <c r="W58" s="18">
        <v>1</v>
      </c>
      <c r="X58" s="17">
        <v>45678</v>
      </c>
      <c r="Z58" s="45">
        <v>1</v>
      </c>
      <c r="AA58">
        <v>2025</v>
      </c>
      <c r="AB58" s="42">
        <v>36200</v>
      </c>
      <c r="AC58" s="42">
        <v>0</v>
      </c>
    </row>
    <row r="59" spans="1:29">
      <c r="A59" t="s">
        <v>45</v>
      </c>
      <c r="B59" t="s">
        <v>46</v>
      </c>
      <c r="C59" t="s">
        <v>47</v>
      </c>
      <c r="D59" t="s">
        <v>161</v>
      </c>
      <c r="E59" t="s">
        <v>49</v>
      </c>
      <c r="F59" t="s">
        <v>71</v>
      </c>
      <c r="G59" t="s">
        <v>51</v>
      </c>
      <c r="H59" s="17" t="s">
        <v>58</v>
      </c>
      <c r="I59" t="s">
        <v>53</v>
      </c>
      <c r="J59" t="s">
        <v>54</v>
      </c>
      <c r="L59" t="s">
        <v>55</v>
      </c>
      <c r="M59" t="s">
        <v>56</v>
      </c>
      <c r="N59" t="s">
        <v>57</v>
      </c>
      <c r="O59" s="18" t="s">
        <v>58</v>
      </c>
      <c r="P59" s="18" t="s">
        <v>99</v>
      </c>
      <c r="Q59" s="17" t="s">
        <v>100</v>
      </c>
      <c r="R59" s="18" t="s">
        <v>101</v>
      </c>
      <c r="S59" s="32">
        <v>7020</v>
      </c>
      <c r="T59" s="19">
        <v>0</v>
      </c>
      <c r="U59" s="17" t="s">
        <v>62</v>
      </c>
      <c r="V59" s="17">
        <v>45677</v>
      </c>
      <c r="W59" s="18">
        <v>1</v>
      </c>
      <c r="X59" s="17">
        <v>45678</v>
      </c>
      <c r="Z59" s="45">
        <v>1</v>
      </c>
      <c r="AA59">
        <v>2025</v>
      </c>
      <c r="AB59" s="42">
        <v>56160</v>
      </c>
      <c r="AC59" s="42">
        <v>0</v>
      </c>
    </row>
    <row r="60" spans="1:29">
      <c r="A60" t="s">
        <v>45</v>
      </c>
      <c r="B60" t="s">
        <v>46</v>
      </c>
      <c r="C60" t="s">
        <v>47</v>
      </c>
      <c r="D60" t="s">
        <v>164</v>
      </c>
      <c r="E60" t="s">
        <v>49</v>
      </c>
      <c r="F60" t="s">
        <v>50</v>
      </c>
      <c r="G60" t="s">
        <v>51</v>
      </c>
      <c r="H60" s="17" t="s">
        <v>58</v>
      </c>
      <c r="I60" t="s">
        <v>53</v>
      </c>
      <c r="J60" t="s">
        <v>104</v>
      </c>
      <c r="L60" t="s">
        <v>55</v>
      </c>
      <c r="M60" t="s">
        <v>56</v>
      </c>
      <c r="N60" t="s">
        <v>57</v>
      </c>
      <c r="O60" s="18" t="s">
        <v>58</v>
      </c>
      <c r="P60" s="18" t="s">
        <v>99</v>
      </c>
      <c r="Q60" s="17" t="s">
        <v>105</v>
      </c>
      <c r="R60" s="18" t="s">
        <v>106</v>
      </c>
      <c r="S60" s="32">
        <v>205</v>
      </c>
      <c r="T60" s="19">
        <v>0</v>
      </c>
      <c r="U60" s="17" t="s">
        <v>62</v>
      </c>
      <c r="V60" s="17">
        <v>45679</v>
      </c>
      <c r="W60" s="18">
        <v>1</v>
      </c>
      <c r="X60" s="17">
        <v>45680</v>
      </c>
      <c r="Z60" s="45">
        <v>1</v>
      </c>
      <c r="AA60">
        <v>2025</v>
      </c>
      <c r="AB60" s="42">
        <v>7972040</v>
      </c>
      <c r="AC60" s="42">
        <v>0</v>
      </c>
    </row>
    <row r="61" spans="1:29">
      <c r="A61" t="s">
        <v>45</v>
      </c>
      <c r="B61" t="s">
        <v>46</v>
      </c>
      <c r="C61" t="s">
        <v>47</v>
      </c>
      <c r="D61" t="s">
        <v>164</v>
      </c>
      <c r="E61" t="s">
        <v>49</v>
      </c>
      <c r="F61" t="s">
        <v>63</v>
      </c>
      <c r="G61" t="s">
        <v>51</v>
      </c>
      <c r="H61" s="17" t="s">
        <v>58</v>
      </c>
      <c r="I61" t="s">
        <v>53</v>
      </c>
      <c r="J61" t="s">
        <v>104</v>
      </c>
      <c r="L61" t="s">
        <v>55</v>
      </c>
      <c r="M61" t="s">
        <v>56</v>
      </c>
      <c r="N61" t="s">
        <v>57</v>
      </c>
      <c r="O61" s="18" t="s">
        <v>58</v>
      </c>
      <c r="P61" s="18" t="s">
        <v>99</v>
      </c>
      <c r="Q61" s="17" t="s">
        <v>107</v>
      </c>
      <c r="R61" s="18" t="s">
        <v>108</v>
      </c>
      <c r="S61" s="32">
        <v>2200</v>
      </c>
      <c r="T61" s="19">
        <v>0</v>
      </c>
      <c r="U61" s="17" t="s">
        <v>62</v>
      </c>
      <c r="V61" s="17">
        <v>45679</v>
      </c>
      <c r="W61" s="18">
        <v>1</v>
      </c>
      <c r="X61" s="17">
        <v>45680</v>
      </c>
      <c r="Z61" s="45">
        <v>1</v>
      </c>
      <c r="AA61">
        <v>2025</v>
      </c>
      <c r="AB61" s="42">
        <v>664400</v>
      </c>
      <c r="AC61" s="42">
        <v>0</v>
      </c>
    </row>
    <row r="62" spans="1:29">
      <c r="A62" t="s">
        <v>45</v>
      </c>
      <c r="B62" t="s">
        <v>46</v>
      </c>
      <c r="C62" t="s">
        <v>47</v>
      </c>
      <c r="D62" t="s">
        <v>164</v>
      </c>
      <c r="E62" t="s">
        <v>49</v>
      </c>
      <c r="F62" t="s">
        <v>67</v>
      </c>
      <c r="G62" t="s">
        <v>51</v>
      </c>
      <c r="H62" s="17" t="s">
        <v>58</v>
      </c>
      <c r="I62" t="s">
        <v>53</v>
      </c>
      <c r="J62" t="s">
        <v>104</v>
      </c>
      <c r="L62" t="s">
        <v>55</v>
      </c>
      <c r="M62" t="s">
        <v>56</v>
      </c>
      <c r="N62" t="s">
        <v>57</v>
      </c>
      <c r="O62" s="18" t="s">
        <v>58</v>
      </c>
      <c r="P62" s="18" t="s">
        <v>99</v>
      </c>
      <c r="Q62" s="17" t="s">
        <v>100</v>
      </c>
      <c r="R62" s="18" t="s">
        <v>101</v>
      </c>
      <c r="S62" s="32">
        <v>1</v>
      </c>
      <c r="T62" s="19">
        <v>0</v>
      </c>
      <c r="U62" s="17" t="s">
        <v>62</v>
      </c>
      <c r="V62" s="17">
        <v>45679</v>
      </c>
      <c r="W62" s="18">
        <v>1</v>
      </c>
      <c r="X62" s="17">
        <v>45680</v>
      </c>
      <c r="Z62" s="45">
        <v>1</v>
      </c>
      <c r="AA62">
        <v>2025</v>
      </c>
      <c r="AB62" s="42">
        <v>58000</v>
      </c>
      <c r="AC62" s="42">
        <v>0</v>
      </c>
    </row>
    <row r="63" spans="1:29">
      <c r="A63" t="s">
        <v>45</v>
      </c>
      <c r="B63" t="s">
        <v>46</v>
      </c>
      <c r="C63" t="s">
        <v>47</v>
      </c>
      <c r="D63" t="s">
        <v>165</v>
      </c>
      <c r="E63" t="s">
        <v>49</v>
      </c>
      <c r="F63" t="s">
        <v>50</v>
      </c>
      <c r="G63" t="s">
        <v>51</v>
      </c>
      <c r="H63" s="17" t="s">
        <v>52</v>
      </c>
      <c r="I63" t="s">
        <v>53</v>
      </c>
      <c r="J63" t="s">
        <v>54</v>
      </c>
      <c r="L63" t="s">
        <v>55</v>
      </c>
      <c r="M63" t="s">
        <v>56</v>
      </c>
      <c r="N63" t="s">
        <v>57</v>
      </c>
      <c r="O63" s="18" t="s">
        <v>58</v>
      </c>
      <c r="P63" s="18" t="s">
        <v>72</v>
      </c>
      <c r="Q63" s="17" t="s">
        <v>153</v>
      </c>
      <c r="R63" s="18" t="s">
        <v>154</v>
      </c>
      <c r="S63" s="32">
        <v>351</v>
      </c>
      <c r="T63" s="19">
        <v>312</v>
      </c>
      <c r="U63" s="17" t="s">
        <v>62</v>
      </c>
      <c r="V63" s="17">
        <v>45681</v>
      </c>
      <c r="W63" s="18">
        <v>1</v>
      </c>
      <c r="X63" s="17">
        <v>45681</v>
      </c>
      <c r="Y63" s="17">
        <v>45688</v>
      </c>
      <c r="Z63" s="45">
        <v>1</v>
      </c>
      <c r="AA63">
        <v>2025</v>
      </c>
      <c r="AB63" s="42">
        <v>12234456</v>
      </c>
      <c r="AC63" s="42">
        <v>10875072</v>
      </c>
    </row>
    <row r="64" spans="1:29">
      <c r="A64" t="s">
        <v>45</v>
      </c>
      <c r="B64" t="s">
        <v>46</v>
      </c>
      <c r="C64" t="s">
        <v>47</v>
      </c>
      <c r="D64" t="s">
        <v>165</v>
      </c>
      <c r="E64" t="s">
        <v>49</v>
      </c>
      <c r="F64" t="s">
        <v>63</v>
      </c>
      <c r="G64" t="s">
        <v>51</v>
      </c>
      <c r="H64" s="17" t="s">
        <v>52</v>
      </c>
      <c r="I64" t="s">
        <v>53</v>
      </c>
      <c r="J64" t="s">
        <v>54</v>
      </c>
      <c r="L64" t="s">
        <v>55</v>
      </c>
      <c r="M64" t="s">
        <v>56</v>
      </c>
      <c r="N64" t="s">
        <v>57</v>
      </c>
      <c r="O64" s="18" t="s">
        <v>58</v>
      </c>
      <c r="P64" s="18" t="s">
        <v>132</v>
      </c>
      <c r="Q64" s="17" t="s">
        <v>162</v>
      </c>
      <c r="R64" s="18" t="s">
        <v>163</v>
      </c>
      <c r="S64" s="32">
        <v>56</v>
      </c>
      <c r="T64" s="19">
        <v>0</v>
      </c>
      <c r="U64" s="17" t="s">
        <v>62</v>
      </c>
      <c r="V64" s="17">
        <v>45681</v>
      </c>
      <c r="W64" s="18">
        <v>1</v>
      </c>
      <c r="X64" s="17">
        <v>45681</v>
      </c>
      <c r="Z64" s="45">
        <v>1</v>
      </c>
      <c r="AA64">
        <v>2025</v>
      </c>
      <c r="AB64" s="42">
        <v>429688</v>
      </c>
      <c r="AC64" s="42">
        <v>0</v>
      </c>
    </row>
    <row r="65" spans="1:29">
      <c r="A65" t="s">
        <v>45</v>
      </c>
      <c r="B65" t="s">
        <v>46</v>
      </c>
      <c r="C65" t="s">
        <v>47</v>
      </c>
      <c r="D65" t="s">
        <v>165</v>
      </c>
      <c r="E65" t="s">
        <v>49</v>
      </c>
      <c r="F65" t="s">
        <v>67</v>
      </c>
      <c r="G65" t="s">
        <v>51</v>
      </c>
      <c r="H65" s="17" t="s">
        <v>52</v>
      </c>
      <c r="I65" t="s">
        <v>53</v>
      </c>
      <c r="J65" t="s">
        <v>54</v>
      </c>
      <c r="L65" t="s">
        <v>55</v>
      </c>
      <c r="M65" t="s">
        <v>56</v>
      </c>
      <c r="N65" t="s">
        <v>57</v>
      </c>
      <c r="O65" s="18" t="s">
        <v>58</v>
      </c>
      <c r="P65" s="18" t="s">
        <v>80</v>
      </c>
      <c r="Q65" s="17" t="s">
        <v>81</v>
      </c>
      <c r="R65" s="18" t="s">
        <v>82</v>
      </c>
      <c r="S65" s="32">
        <v>25</v>
      </c>
      <c r="T65" s="19">
        <v>0</v>
      </c>
      <c r="U65" s="17" t="s">
        <v>62</v>
      </c>
      <c r="V65" s="17">
        <v>45681</v>
      </c>
      <c r="W65" s="18">
        <v>1</v>
      </c>
      <c r="X65" s="17">
        <v>45681</v>
      </c>
      <c r="Z65" s="45">
        <v>1</v>
      </c>
      <c r="AA65">
        <v>2025</v>
      </c>
      <c r="AB65" s="42">
        <v>36200</v>
      </c>
      <c r="AC65" s="42">
        <v>0</v>
      </c>
    </row>
    <row r="66" spans="1:29">
      <c r="A66" t="s">
        <v>45</v>
      </c>
      <c r="B66" t="s">
        <v>46</v>
      </c>
      <c r="C66" t="s">
        <v>47</v>
      </c>
      <c r="D66" t="s">
        <v>166</v>
      </c>
      <c r="E66" t="s">
        <v>49</v>
      </c>
      <c r="F66" t="s">
        <v>50</v>
      </c>
      <c r="G66" t="s">
        <v>51</v>
      </c>
      <c r="H66" s="17" t="s">
        <v>52</v>
      </c>
      <c r="I66" t="s">
        <v>53</v>
      </c>
      <c r="J66" t="s">
        <v>167</v>
      </c>
      <c r="L66" t="s">
        <v>55</v>
      </c>
      <c r="M66" t="s">
        <v>56</v>
      </c>
      <c r="N66" t="s">
        <v>57</v>
      </c>
      <c r="O66" s="18" t="s">
        <v>58</v>
      </c>
      <c r="P66" s="18" t="s">
        <v>72</v>
      </c>
      <c r="Q66" s="17" t="s">
        <v>168</v>
      </c>
      <c r="R66" s="18" t="s">
        <v>169</v>
      </c>
      <c r="S66" s="32">
        <v>1080</v>
      </c>
      <c r="T66" s="19">
        <v>1080</v>
      </c>
      <c r="U66" s="17" t="s">
        <v>170</v>
      </c>
      <c r="V66" s="17">
        <v>45685</v>
      </c>
      <c r="W66" s="18">
        <v>1</v>
      </c>
      <c r="X66" s="17">
        <v>45685</v>
      </c>
      <c r="Y66" s="17">
        <v>45688</v>
      </c>
      <c r="Z66" s="45">
        <v>1</v>
      </c>
      <c r="AA66">
        <v>2025</v>
      </c>
      <c r="AB66" s="42">
        <v>26844480</v>
      </c>
      <c r="AC66" s="42">
        <v>26844480</v>
      </c>
    </row>
    <row r="67" spans="1:29">
      <c r="A67" t="s">
        <v>45</v>
      </c>
      <c r="B67" t="s">
        <v>46</v>
      </c>
      <c r="C67" t="s">
        <v>47</v>
      </c>
      <c r="D67" t="s">
        <v>171</v>
      </c>
      <c r="E67" t="s">
        <v>49</v>
      </c>
      <c r="F67" t="s">
        <v>50</v>
      </c>
      <c r="G67" t="s">
        <v>51</v>
      </c>
      <c r="H67" s="17" t="s">
        <v>52</v>
      </c>
      <c r="I67" t="s">
        <v>53</v>
      </c>
      <c r="J67" t="s">
        <v>167</v>
      </c>
      <c r="L67" t="s">
        <v>55</v>
      </c>
      <c r="M67" t="s">
        <v>56</v>
      </c>
      <c r="N67" t="s">
        <v>57</v>
      </c>
      <c r="O67" s="18" t="s">
        <v>58</v>
      </c>
      <c r="P67" s="18" t="s">
        <v>132</v>
      </c>
      <c r="Q67" s="17" t="s">
        <v>133</v>
      </c>
      <c r="R67" s="18" t="s">
        <v>134</v>
      </c>
      <c r="S67" s="32">
        <v>1000</v>
      </c>
      <c r="T67" s="19">
        <v>1000</v>
      </c>
      <c r="U67" s="17" t="s">
        <v>62</v>
      </c>
      <c r="V67" s="17">
        <v>45686</v>
      </c>
      <c r="W67" s="18">
        <v>1</v>
      </c>
      <c r="X67" s="17">
        <v>45687</v>
      </c>
      <c r="Y67" s="17">
        <v>45701</v>
      </c>
      <c r="Z67" s="45">
        <v>2</v>
      </c>
      <c r="AA67">
        <v>2025</v>
      </c>
      <c r="AB67" s="42">
        <v>5956000</v>
      </c>
      <c r="AC67" s="42">
        <v>5956000</v>
      </c>
    </row>
    <row r="68" spans="1:29">
      <c r="A68" t="s">
        <v>45</v>
      </c>
      <c r="B68" t="s">
        <v>46</v>
      </c>
      <c r="C68" t="s">
        <v>47</v>
      </c>
      <c r="D68" t="s">
        <v>171</v>
      </c>
      <c r="E68" t="s">
        <v>49</v>
      </c>
      <c r="F68" t="s">
        <v>63</v>
      </c>
      <c r="G68" t="s">
        <v>51</v>
      </c>
      <c r="H68" s="17" t="s">
        <v>52</v>
      </c>
      <c r="I68" t="s">
        <v>53</v>
      </c>
      <c r="J68" t="s">
        <v>167</v>
      </c>
      <c r="L68" t="s">
        <v>55</v>
      </c>
      <c r="M68" t="s">
        <v>56</v>
      </c>
      <c r="N68" t="s">
        <v>57</v>
      </c>
      <c r="O68" s="18" t="s">
        <v>58</v>
      </c>
      <c r="P68" s="18" t="s">
        <v>172</v>
      </c>
      <c r="Q68" s="17" t="s">
        <v>173</v>
      </c>
      <c r="R68" s="18" t="s">
        <v>174</v>
      </c>
      <c r="S68" s="32">
        <v>40</v>
      </c>
      <c r="T68" s="19">
        <v>40</v>
      </c>
      <c r="U68" s="17" t="s">
        <v>62</v>
      </c>
      <c r="V68" s="17">
        <v>45686</v>
      </c>
      <c r="W68" s="18">
        <v>1</v>
      </c>
      <c r="X68" s="17">
        <v>45687</v>
      </c>
      <c r="Y68" s="17">
        <v>45701</v>
      </c>
      <c r="Z68" s="45">
        <v>2</v>
      </c>
      <c r="AA68">
        <v>2025</v>
      </c>
      <c r="AB68" s="42">
        <v>1842200</v>
      </c>
      <c r="AC68" s="42">
        <v>1842200</v>
      </c>
    </row>
    <row r="69" spans="1:29">
      <c r="A69" t="s">
        <v>45</v>
      </c>
      <c r="B69" t="s">
        <v>46</v>
      </c>
      <c r="C69" t="s">
        <v>47</v>
      </c>
      <c r="D69" t="s">
        <v>171</v>
      </c>
      <c r="E69" t="s">
        <v>49</v>
      </c>
      <c r="F69" t="s">
        <v>67</v>
      </c>
      <c r="G69" t="s">
        <v>51</v>
      </c>
      <c r="H69" s="17" t="s">
        <v>52</v>
      </c>
      <c r="I69" t="s">
        <v>53</v>
      </c>
      <c r="J69" t="s">
        <v>167</v>
      </c>
      <c r="L69" t="s">
        <v>55</v>
      </c>
      <c r="M69" t="s">
        <v>56</v>
      </c>
      <c r="N69" t="s">
        <v>57</v>
      </c>
      <c r="O69" s="18" t="s">
        <v>58</v>
      </c>
      <c r="P69" s="18" t="s">
        <v>99</v>
      </c>
      <c r="Q69" s="17" t="s">
        <v>100</v>
      </c>
      <c r="R69" s="18" t="s">
        <v>101</v>
      </c>
      <c r="S69" s="32">
        <v>1</v>
      </c>
      <c r="T69" s="19">
        <v>1</v>
      </c>
      <c r="U69" s="17" t="s">
        <v>62</v>
      </c>
      <c r="V69" s="17">
        <v>45686</v>
      </c>
      <c r="W69" s="18">
        <v>1</v>
      </c>
      <c r="X69" s="17">
        <v>45687</v>
      </c>
      <c r="Y69" s="17">
        <v>45701</v>
      </c>
      <c r="Z69" s="45">
        <v>2</v>
      </c>
      <c r="AA69">
        <v>2025</v>
      </c>
      <c r="AB69" s="42">
        <v>1232500</v>
      </c>
      <c r="AC69" s="42">
        <v>1232500</v>
      </c>
    </row>
    <row r="70" spans="1:29">
      <c r="A70" t="s">
        <v>45</v>
      </c>
      <c r="B70" t="s">
        <v>46</v>
      </c>
      <c r="C70" t="s">
        <v>47</v>
      </c>
      <c r="D70" t="s">
        <v>175</v>
      </c>
      <c r="E70" t="s">
        <v>49</v>
      </c>
      <c r="F70" t="s">
        <v>50</v>
      </c>
      <c r="G70" t="s">
        <v>51</v>
      </c>
      <c r="H70" s="17" t="s">
        <v>52</v>
      </c>
      <c r="I70" t="s">
        <v>53</v>
      </c>
      <c r="J70" t="s">
        <v>54</v>
      </c>
      <c r="L70" t="s">
        <v>55</v>
      </c>
      <c r="M70" t="s">
        <v>56</v>
      </c>
      <c r="N70" t="s">
        <v>57</v>
      </c>
      <c r="O70" s="18" t="s">
        <v>58</v>
      </c>
      <c r="P70" s="18" t="s">
        <v>172</v>
      </c>
      <c r="Q70" s="17" t="s">
        <v>173</v>
      </c>
      <c r="R70" s="18" t="s">
        <v>174</v>
      </c>
      <c r="S70" s="32">
        <v>37</v>
      </c>
      <c r="T70" s="19">
        <v>37</v>
      </c>
      <c r="U70" s="17" t="s">
        <v>62</v>
      </c>
      <c r="V70" s="17">
        <v>45687</v>
      </c>
      <c r="W70" s="18">
        <v>1</v>
      </c>
      <c r="X70" s="17">
        <v>45688</v>
      </c>
      <c r="Y70" s="17">
        <v>45702</v>
      </c>
      <c r="Z70" s="45">
        <v>2</v>
      </c>
      <c r="AA70">
        <v>2025</v>
      </c>
      <c r="AB70" s="42">
        <v>1634586</v>
      </c>
      <c r="AC70" s="42">
        <v>1634586</v>
      </c>
    </row>
    <row r="71" spans="1:29">
      <c r="A71" t="s">
        <v>45</v>
      </c>
      <c r="B71" t="s">
        <v>46</v>
      </c>
      <c r="C71" t="s">
        <v>47</v>
      </c>
      <c r="D71" t="s">
        <v>176</v>
      </c>
      <c r="E71" t="s">
        <v>49</v>
      </c>
      <c r="F71" t="s">
        <v>50</v>
      </c>
      <c r="G71" t="s">
        <v>51</v>
      </c>
      <c r="H71" s="17" t="s">
        <v>52</v>
      </c>
      <c r="I71" t="s">
        <v>53</v>
      </c>
      <c r="J71" t="s">
        <v>54</v>
      </c>
      <c r="L71" t="s">
        <v>55</v>
      </c>
      <c r="M71" t="s">
        <v>56</v>
      </c>
      <c r="N71" t="s">
        <v>57</v>
      </c>
      <c r="O71" s="18" t="s">
        <v>58</v>
      </c>
      <c r="P71" s="18" t="s">
        <v>72</v>
      </c>
      <c r="Q71" s="17" t="s">
        <v>177</v>
      </c>
      <c r="R71" s="18" t="s">
        <v>178</v>
      </c>
      <c r="S71" s="32">
        <v>72</v>
      </c>
      <c r="T71" s="19">
        <v>25</v>
      </c>
      <c r="U71" s="17" t="s">
        <v>62</v>
      </c>
      <c r="V71" s="17">
        <v>45684</v>
      </c>
      <c r="W71" s="18">
        <v>1</v>
      </c>
      <c r="X71" s="17">
        <v>45751</v>
      </c>
      <c r="Y71" s="17">
        <v>45706</v>
      </c>
      <c r="Z71" s="45">
        <v>2</v>
      </c>
      <c r="AA71">
        <v>2025</v>
      </c>
      <c r="AB71" s="42">
        <v>478080</v>
      </c>
      <c r="AC71" s="42">
        <v>166000</v>
      </c>
    </row>
    <row r="72" spans="1:29">
      <c r="A72" t="s">
        <v>45</v>
      </c>
      <c r="B72" t="s">
        <v>46</v>
      </c>
      <c r="C72" t="s">
        <v>47</v>
      </c>
      <c r="D72" t="s">
        <v>179</v>
      </c>
      <c r="E72" t="s">
        <v>49</v>
      </c>
      <c r="F72" t="s">
        <v>50</v>
      </c>
      <c r="G72" t="s">
        <v>51</v>
      </c>
      <c r="H72" s="17" t="s">
        <v>58</v>
      </c>
      <c r="I72" t="s">
        <v>53</v>
      </c>
      <c r="J72" t="s">
        <v>110</v>
      </c>
      <c r="L72" t="s">
        <v>55</v>
      </c>
      <c r="M72" t="s">
        <v>56</v>
      </c>
      <c r="N72" t="s">
        <v>57</v>
      </c>
      <c r="O72" s="18" t="s">
        <v>58</v>
      </c>
      <c r="P72" s="18" t="s">
        <v>99</v>
      </c>
      <c r="Q72" s="17" t="s">
        <v>100</v>
      </c>
      <c r="R72" s="18" t="s">
        <v>101</v>
      </c>
      <c r="S72" s="32">
        <v>1</v>
      </c>
      <c r="T72" s="19">
        <v>0</v>
      </c>
      <c r="U72" s="17" t="s">
        <v>62</v>
      </c>
      <c r="V72" s="17">
        <v>45708</v>
      </c>
      <c r="W72" s="18">
        <v>2</v>
      </c>
      <c r="X72" s="17">
        <v>45714</v>
      </c>
      <c r="Z72" s="45">
        <v>2</v>
      </c>
      <c r="AA72">
        <v>2025</v>
      </c>
      <c r="AB72" s="42">
        <v>58000</v>
      </c>
      <c r="AC72" s="42">
        <v>0</v>
      </c>
    </row>
    <row r="73" spans="1:29">
      <c r="A73" t="s">
        <v>45</v>
      </c>
      <c r="B73" t="s">
        <v>46</v>
      </c>
      <c r="C73" t="s">
        <v>47</v>
      </c>
      <c r="D73" t="s">
        <v>180</v>
      </c>
      <c r="E73" t="s">
        <v>49</v>
      </c>
      <c r="F73" t="s">
        <v>50</v>
      </c>
      <c r="G73" t="s">
        <v>51</v>
      </c>
      <c r="H73" s="17" t="s">
        <v>52</v>
      </c>
      <c r="I73" t="s">
        <v>53</v>
      </c>
      <c r="J73" t="s">
        <v>54</v>
      </c>
      <c r="L73" t="s">
        <v>55</v>
      </c>
      <c r="M73" t="s">
        <v>56</v>
      </c>
      <c r="N73" t="s">
        <v>57</v>
      </c>
      <c r="O73" s="18" t="s">
        <v>58</v>
      </c>
      <c r="P73" s="18" t="s">
        <v>72</v>
      </c>
      <c r="Q73" s="17" t="s">
        <v>181</v>
      </c>
      <c r="R73" s="18" t="s">
        <v>182</v>
      </c>
      <c r="S73" s="32">
        <v>130</v>
      </c>
      <c r="T73" s="19">
        <v>130</v>
      </c>
      <c r="U73" s="17" t="s">
        <v>62</v>
      </c>
      <c r="V73" s="17">
        <v>45708</v>
      </c>
      <c r="W73" s="18">
        <v>2</v>
      </c>
      <c r="X73" s="17">
        <v>45797</v>
      </c>
      <c r="Y73" s="17">
        <v>45714</v>
      </c>
      <c r="Z73" s="45">
        <v>2</v>
      </c>
      <c r="AA73">
        <v>2025</v>
      </c>
      <c r="AB73" s="42">
        <v>719550</v>
      </c>
      <c r="AC73" s="42">
        <v>719550</v>
      </c>
    </row>
    <row r="74" spans="1:29">
      <c r="A74" t="s">
        <v>45</v>
      </c>
      <c r="B74" t="s">
        <v>46</v>
      </c>
      <c r="C74" t="s">
        <v>47</v>
      </c>
      <c r="D74" t="s">
        <v>180</v>
      </c>
      <c r="E74" t="s">
        <v>49</v>
      </c>
      <c r="F74" t="s">
        <v>63</v>
      </c>
      <c r="G74" t="s">
        <v>51</v>
      </c>
      <c r="H74" s="17" t="s">
        <v>52</v>
      </c>
      <c r="I74" t="s">
        <v>53</v>
      </c>
      <c r="J74" t="s">
        <v>54</v>
      </c>
      <c r="L74" t="s">
        <v>55</v>
      </c>
      <c r="M74" t="s">
        <v>56</v>
      </c>
      <c r="N74" t="s">
        <v>57</v>
      </c>
      <c r="O74" s="18" t="s">
        <v>58</v>
      </c>
      <c r="P74" s="18" t="s">
        <v>137</v>
      </c>
      <c r="Q74" s="17" t="s">
        <v>183</v>
      </c>
      <c r="R74" s="18" t="s">
        <v>184</v>
      </c>
      <c r="S74" s="32">
        <v>44</v>
      </c>
      <c r="T74" s="19">
        <v>44</v>
      </c>
      <c r="U74" s="17" t="s">
        <v>62</v>
      </c>
      <c r="V74" s="17">
        <v>45708</v>
      </c>
      <c r="W74" s="18">
        <v>2</v>
      </c>
      <c r="X74" s="17">
        <v>45797</v>
      </c>
      <c r="Y74" s="17">
        <v>45714</v>
      </c>
      <c r="Z74" s="45">
        <v>2</v>
      </c>
      <c r="AA74">
        <v>2025</v>
      </c>
      <c r="AB74" s="42">
        <v>1359072</v>
      </c>
      <c r="AC74" s="42">
        <v>1359072</v>
      </c>
    </row>
    <row r="75" spans="1:29">
      <c r="A75" t="s">
        <v>45</v>
      </c>
      <c r="B75" t="s">
        <v>46</v>
      </c>
      <c r="C75" t="s">
        <v>47</v>
      </c>
      <c r="D75" t="s">
        <v>180</v>
      </c>
      <c r="E75" t="s">
        <v>49</v>
      </c>
      <c r="F75" t="s">
        <v>67</v>
      </c>
      <c r="G75" t="s">
        <v>51</v>
      </c>
      <c r="H75" s="17" t="s">
        <v>52</v>
      </c>
      <c r="I75" t="s">
        <v>53</v>
      </c>
      <c r="J75" t="s">
        <v>54</v>
      </c>
      <c r="L75" t="s">
        <v>55</v>
      </c>
      <c r="M75" t="s">
        <v>56</v>
      </c>
      <c r="N75" t="s">
        <v>57</v>
      </c>
      <c r="O75" s="18" t="s">
        <v>58</v>
      </c>
      <c r="P75" s="18" t="s">
        <v>132</v>
      </c>
      <c r="Q75" s="17" t="s">
        <v>162</v>
      </c>
      <c r="R75" s="18" t="s">
        <v>163</v>
      </c>
      <c r="S75" s="32">
        <v>13</v>
      </c>
      <c r="T75" s="19">
        <v>13</v>
      </c>
      <c r="U75" s="17" t="s">
        <v>62</v>
      </c>
      <c r="V75" s="17">
        <v>45708</v>
      </c>
      <c r="W75" s="18">
        <v>2</v>
      </c>
      <c r="X75" s="17">
        <v>45797</v>
      </c>
      <c r="Y75" s="17">
        <v>45714</v>
      </c>
      <c r="Z75" s="45">
        <v>2</v>
      </c>
      <c r="AA75">
        <v>2025</v>
      </c>
      <c r="AB75" s="42">
        <v>111722</v>
      </c>
      <c r="AC75" s="42">
        <v>111722</v>
      </c>
    </row>
    <row r="76" spans="1:29">
      <c r="A76" t="s">
        <v>45</v>
      </c>
      <c r="B76" t="s">
        <v>46</v>
      </c>
      <c r="C76" t="s">
        <v>47</v>
      </c>
      <c r="D76" t="s">
        <v>180</v>
      </c>
      <c r="E76" t="s">
        <v>49</v>
      </c>
      <c r="F76" t="s">
        <v>71</v>
      </c>
      <c r="G76" t="s">
        <v>51</v>
      </c>
      <c r="H76" s="17" t="s">
        <v>52</v>
      </c>
      <c r="I76" t="s">
        <v>53</v>
      </c>
      <c r="J76" t="s">
        <v>54</v>
      </c>
      <c r="L76" t="s">
        <v>55</v>
      </c>
      <c r="M76" t="s">
        <v>56</v>
      </c>
      <c r="N76" t="s">
        <v>57</v>
      </c>
      <c r="O76" s="18" t="s">
        <v>58</v>
      </c>
      <c r="P76" s="18" t="s">
        <v>64</v>
      </c>
      <c r="Q76" s="17" t="s">
        <v>185</v>
      </c>
      <c r="R76" s="18" t="s">
        <v>186</v>
      </c>
      <c r="S76" s="32">
        <v>13</v>
      </c>
      <c r="T76" s="19">
        <v>13</v>
      </c>
      <c r="U76" s="17" t="s">
        <v>62</v>
      </c>
      <c r="V76" s="17">
        <v>45708</v>
      </c>
      <c r="W76" s="18">
        <v>2</v>
      </c>
      <c r="X76" s="17">
        <v>45797</v>
      </c>
      <c r="Y76" s="17">
        <v>45714</v>
      </c>
      <c r="Z76" s="45">
        <v>2</v>
      </c>
      <c r="AA76">
        <v>2025</v>
      </c>
      <c r="AB76" s="42">
        <v>34957</v>
      </c>
      <c r="AC76" s="42">
        <v>34957</v>
      </c>
    </row>
    <row r="77" spans="1:29">
      <c r="A77" t="s">
        <v>45</v>
      </c>
      <c r="B77" t="s">
        <v>46</v>
      </c>
      <c r="C77" t="s">
        <v>47</v>
      </c>
      <c r="D77" t="s">
        <v>187</v>
      </c>
      <c r="E77" t="s">
        <v>49</v>
      </c>
      <c r="F77" t="s">
        <v>50</v>
      </c>
      <c r="G77" t="s">
        <v>51</v>
      </c>
      <c r="H77" s="17" t="s">
        <v>52</v>
      </c>
      <c r="I77" t="s">
        <v>53</v>
      </c>
      <c r="J77" t="s">
        <v>157</v>
      </c>
      <c r="L77" t="s">
        <v>55</v>
      </c>
      <c r="M77" t="s">
        <v>56</v>
      </c>
      <c r="N77" t="s">
        <v>57</v>
      </c>
      <c r="O77" s="18" t="s">
        <v>58</v>
      </c>
      <c r="P77" s="18" t="s">
        <v>86</v>
      </c>
      <c r="Q77" s="17" t="s">
        <v>87</v>
      </c>
      <c r="R77" s="18" t="s">
        <v>88</v>
      </c>
      <c r="S77" s="32">
        <v>90</v>
      </c>
      <c r="T77" s="19">
        <v>90</v>
      </c>
      <c r="U77" s="17" t="s">
        <v>62</v>
      </c>
      <c r="V77" s="17">
        <v>45680</v>
      </c>
      <c r="W77" s="18">
        <v>1</v>
      </c>
      <c r="X77" s="17">
        <v>45680</v>
      </c>
      <c r="Y77" s="17">
        <v>45708</v>
      </c>
      <c r="Z77" s="45">
        <v>2</v>
      </c>
      <c r="AA77">
        <v>2025</v>
      </c>
      <c r="AB77" s="42">
        <v>911700</v>
      </c>
      <c r="AC77" s="42">
        <v>911700</v>
      </c>
    </row>
    <row r="78" spans="1:29">
      <c r="A78" t="s">
        <v>45</v>
      </c>
      <c r="B78" t="s">
        <v>46</v>
      </c>
      <c r="C78" t="s">
        <v>47</v>
      </c>
      <c r="D78" t="s">
        <v>187</v>
      </c>
      <c r="E78" t="s">
        <v>49</v>
      </c>
      <c r="F78" t="s">
        <v>63</v>
      </c>
      <c r="G78" t="s">
        <v>51</v>
      </c>
      <c r="H78" s="17" t="s">
        <v>52</v>
      </c>
      <c r="I78" t="s">
        <v>53</v>
      </c>
      <c r="J78" t="s">
        <v>157</v>
      </c>
      <c r="L78" t="s">
        <v>55</v>
      </c>
      <c r="M78" t="s">
        <v>56</v>
      </c>
      <c r="N78" t="s">
        <v>57</v>
      </c>
      <c r="O78" s="18" t="s">
        <v>58</v>
      </c>
      <c r="P78" s="18" t="s">
        <v>89</v>
      </c>
      <c r="Q78" s="17" t="s">
        <v>90</v>
      </c>
      <c r="R78" s="18" t="s">
        <v>91</v>
      </c>
      <c r="S78" s="32">
        <v>5</v>
      </c>
      <c r="T78" s="19">
        <v>5</v>
      </c>
      <c r="U78" s="17" t="s">
        <v>62</v>
      </c>
      <c r="V78" s="17">
        <v>45680</v>
      </c>
      <c r="W78" s="18">
        <v>1</v>
      </c>
      <c r="X78" s="17">
        <v>45680</v>
      </c>
      <c r="Y78" s="17">
        <v>45708</v>
      </c>
      <c r="Z78" s="45">
        <v>2</v>
      </c>
      <c r="AA78">
        <v>2025</v>
      </c>
      <c r="AB78" s="42">
        <v>692890</v>
      </c>
      <c r="AC78" s="42">
        <v>692890</v>
      </c>
    </row>
    <row r="79" spans="1:29">
      <c r="A79" t="s">
        <v>45</v>
      </c>
      <c r="B79" t="s">
        <v>46</v>
      </c>
      <c r="C79" t="s">
        <v>47</v>
      </c>
      <c r="D79" t="s">
        <v>187</v>
      </c>
      <c r="E79" t="s">
        <v>49</v>
      </c>
      <c r="F79" t="s">
        <v>67</v>
      </c>
      <c r="G79" t="s">
        <v>51</v>
      </c>
      <c r="H79" s="17" t="s">
        <v>52</v>
      </c>
      <c r="I79" t="s">
        <v>53</v>
      </c>
      <c r="J79" t="s">
        <v>157</v>
      </c>
      <c r="L79" t="s">
        <v>55</v>
      </c>
      <c r="M79" t="s">
        <v>56</v>
      </c>
      <c r="N79" t="s">
        <v>57</v>
      </c>
      <c r="O79" s="18" t="s">
        <v>58</v>
      </c>
      <c r="P79" s="18" t="s">
        <v>68</v>
      </c>
      <c r="Q79" s="17" t="s">
        <v>69</v>
      </c>
      <c r="R79" s="18" t="s">
        <v>70</v>
      </c>
      <c r="S79" s="32">
        <v>2</v>
      </c>
      <c r="T79" s="19">
        <v>2</v>
      </c>
      <c r="U79" s="17" t="s">
        <v>62</v>
      </c>
      <c r="V79" s="17">
        <v>45680</v>
      </c>
      <c r="W79" s="18">
        <v>1</v>
      </c>
      <c r="X79" s="17">
        <v>45680</v>
      </c>
      <c r="Y79" s="17">
        <v>45708</v>
      </c>
      <c r="Z79" s="45">
        <v>2</v>
      </c>
      <c r="AA79">
        <v>2025</v>
      </c>
      <c r="AB79" s="42">
        <v>145264</v>
      </c>
      <c r="AC79" s="42">
        <v>145264</v>
      </c>
    </row>
    <row r="80" spans="1:29">
      <c r="A80" t="s">
        <v>45</v>
      </c>
      <c r="B80" t="s">
        <v>46</v>
      </c>
      <c r="C80" t="s">
        <v>47</v>
      </c>
      <c r="D80" t="s">
        <v>187</v>
      </c>
      <c r="E80" t="s">
        <v>49</v>
      </c>
      <c r="F80" t="s">
        <v>71</v>
      </c>
      <c r="G80" t="s">
        <v>51</v>
      </c>
      <c r="H80" s="17" t="s">
        <v>52</v>
      </c>
      <c r="I80" t="s">
        <v>53</v>
      </c>
      <c r="J80" t="s">
        <v>157</v>
      </c>
      <c r="L80" t="s">
        <v>55</v>
      </c>
      <c r="M80" t="s">
        <v>56</v>
      </c>
      <c r="N80" t="s">
        <v>57</v>
      </c>
      <c r="O80" s="18" t="s">
        <v>58</v>
      </c>
      <c r="P80" s="18" t="s">
        <v>158</v>
      </c>
      <c r="Q80" s="17" t="s">
        <v>159</v>
      </c>
      <c r="R80" s="18" t="s">
        <v>160</v>
      </c>
      <c r="S80" s="32">
        <v>10</v>
      </c>
      <c r="T80" s="19">
        <v>10</v>
      </c>
      <c r="U80" s="17" t="s">
        <v>62</v>
      </c>
      <c r="V80" s="17">
        <v>45680</v>
      </c>
      <c r="W80" s="18">
        <v>1</v>
      </c>
      <c r="X80" s="17">
        <v>45680</v>
      </c>
      <c r="Y80" s="17">
        <v>45708</v>
      </c>
      <c r="Z80" s="45">
        <v>2</v>
      </c>
      <c r="AA80">
        <v>2025</v>
      </c>
      <c r="AB80" s="42">
        <v>158980</v>
      </c>
      <c r="AC80" s="42">
        <v>158980</v>
      </c>
    </row>
    <row r="81" spans="1:29">
      <c r="A81" t="s">
        <v>45</v>
      </c>
      <c r="B81" t="s">
        <v>46</v>
      </c>
      <c r="C81" t="s">
        <v>47</v>
      </c>
      <c r="D81" t="s">
        <v>188</v>
      </c>
      <c r="E81" t="s">
        <v>49</v>
      </c>
      <c r="F81" t="s">
        <v>50</v>
      </c>
      <c r="G81" t="s">
        <v>51</v>
      </c>
      <c r="H81" s="17" t="s">
        <v>52</v>
      </c>
      <c r="I81" t="s">
        <v>53</v>
      </c>
      <c r="J81" t="s">
        <v>136</v>
      </c>
      <c r="L81" t="s">
        <v>55</v>
      </c>
      <c r="M81" t="s">
        <v>56</v>
      </c>
      <c r="N81" t="s">
        <v>57</v>
      </c>
      <c r="O81" s="18" t="s">
        <v>58</v>
      </c>
      <c r="P81" s="18" t="s">
        <v>72</v>
      </c>
      <c r="Q81" s="17" t="s">
        <v>127</v>
      </c>
      <c r="R81" s="18" t="s">
        <v>128</v>
      </c>
      <c r="S81" s="32">
        <v>350</v>
      </c>
      <c r="T81" s="19">
        <v>350</v>
      </c>
      <c r="U81" s="17" t="s">
        <v>62</v>
      </c>
      <c r="V81" s="17">
        <v>45688</v>
      </c>
      <c r="W81" s="18">
        <v>1</v>
      </c>
      <c r="X81" s="17">
        <v>45702</v>
      </c>
      <c r="Y81" s="17">
        <v>45698</v>
      </c>
      <c r="Z81" s="45">
        <v>2</v>
      </c>
      <c r="AA81">
        <v>2025</v>
      </c>
      <c r="AB81" s="42">
        <v>2536100</v>
      </c>
      <c r="AC81" s="42">
        <v>2536100</v>
      </c>
    </row>
    <row r="82" spans="1:29">
      <c r="A82" t="s">
        <v>45</v>
      </c>
      <c r="B82" t="s">
        <v>46</v>
      </c>
      <c r="C82" t="s">
        <v>47</v>
      </c>
      <c r="D82" t="s">
        <v>188</v>
      </c>
      <c r="E82" t="s">
        <v>49</v>
      </c>
      <c r="F82" t="s">
        <v>63</v>
      </c>
      <c r="G82" t="s">
        <v>51</v>
      </c>
      <c r="H82" s="17" t="s">
        <v>52</v>
      </c>
      <c r="I82" t="s">
        <v>53</v>
      </c>
      <c r="J82" t="s">
        <v>136</v>
      </c>
      <c r="L82" t="s">
        <v>55</v>
      </c>
      <c r="M82" t="s">
        <v>56</v>
      </c>
      <c r="N82" t="s">
        <v>57</v>
      </c>
      <c r="O82" s="18" t="s">
        <v>58</v>
      </c>
      <c r="P82" s="18" t="s">
        <v>99</v>
      </c>
      <c r="Q82" s="17" t="s">
        <v>100</v>
      </c>
      <c r="R82" s="18" t="s">
        <v>101</v>
      </c>
      <c r="S82" s="32">
        <v>1</v>
      </c>
      <c r="T82" s="19">
        <v>1</v>
      </c>
      <c r="U82" s="17" t="s">
        <v>62</v>
      </c>
      <c r="V82" s="17">
        <v>45688</v>
      </c>
      <c r="W82" s="18">
        <v>1</v>
      </c>
      <c r="X82" s="17">
        <v>45702</v>
      </c>
      <c r="Y82" s="17">
        <v>45698</v>
      </c>
      <c r="Z82" s="45">
        <v>2</v>
      </c>
      <c r="AA82">
        <v>2025</v>
      </c>
      <c r="AB82" s="42">
        <v>75000</v>
      </c>
      <c r="AC82" s="42">
        <v>75000</v>
      </c>
    </row>
    <row r="83" spans="1:29">
      <c r="A83" t="s">
        <v>45</v>
      </c>
      <c r="B83" t="s">
        <v>46</v>
      </c>
      <c r="C83" t="s">
        <v>47</v>
      </c>
      <c r="D83" t="s">
        <v>189</v>
      </c>
      <c r="E83" t="s">
        <v>115</v>
      </c>
      <c r="F83" t="s">
        <v>50</v>
      </c>
      <c r="G83" t="s">
        <v>116</v>
      </c>
      <c r="H83" s="17" t="s">
        <v>52</v>
      </c>
      <c r="I83" t="s">
        <v>53</v>
      </c>
      <c r="J83" t="s">
        <v>190</v>
      </c>
      <c r="L83" t="s">
        <v>55</v>
      </c>
      <c r="M83" t="s">
        <v>56</v>
      </c>
      <c r="N83" t="s">
        <v>57</v>
      </c>
      <c r="O83" s="18" t="s">
        <v>58</v>
      </c>
      <c r="P83" s="18" t="s">
        <v>72</v>
      </c>
      <c r="Q83" s="17" t="s">
        <v>117</v>
      </c>
      <c r="R83" s="18" t="s">
        <v>118</v>
      </c>
      <c r="S83" s="32">
        <v>4</v>
      </c>
      <c r="T83" s="19">
        <v>4</v>
      </c>
      <c r="U83" s="17" t="s">
        <v>119</v>
      </c>
      <c r="V83" s="17">
        <v>45687</v>
      </c>
      <c r="W83" s="18">
        <v>1</v>
      </c>
      <c r="X83" s="17">
        <v>45699</v>
      </c>
      <c r="Y83" s="17">
        <v>45699</v>
      </c>
      <c r="Z83" s="45">
        <v>2</v>
      </c>
      <c r="AA83">
        <v>2025</v>
      </c>
      <c r="AB83" s="42">
        <v>1406000</v>
      </c>
      <c r="AC83" s="42">
        <v>1406000</v>
      </c>
    </row>
    <row r="84" spans="1:29">
      <c r="A84" t="s">
        <v>45</v>
      </c>
      <c r="B84" t="s">
        <v>46</v>
      </c>
      <c r="C84" t="s">
        <v>47</v>
      </c>
      <c r="D84" t="s">
        <v>191</v>
      </c>
      <c r="E84" t="s">
        <v>115</v>
      </c>
      <c r="F84" t="s">
        <v>50</v>
      </c>
      <c r="G84" t="s">
        <v>116</v>
      </c>
      <c r="H84" s="17" t="s">
        <v>52</v>
      </c>
      <c r="I84" t="s">
        <v>53</v>
      </c>
      <c r="J84" t="s">
        <v>121</v>
      </c>
      <c r="L84" t="s">
        <v>55</v>
      </c>
      <c r="M84" t="s">
        <v>56</v>
      </c>
      <c r="N84" t="s">
        <v>57</v>
      </c>
      <c r="O84" s="18" t="s">
        <v>58</v>
      </c>
      <c r="P84" s="18" t="s">
        <v>72</v>
      </c>
      <c r="Q84" s="17" t="s">
        <v>122</v>
      </c>
      <c r="R84" s="18" t="s">
        <v>123</v>
      </c>
      <c r="S84" s="32">
        <v>10</v>
      </c>
      <c r="T84" s="19">
        <v>10</v>
      </c>
      <c r="U84" s="17" t="s">
        <v>119</v>
      </c>
      <c r="V84" s="17">
        <v>45688</v>
      </c>
      <c r="W84" s="18">
        <v>1</v>
      </c>
      <c r="X84" s="17">
        <v>45700</v>
      </c>
      <c r="Y84" s="17">
        <v>45693</v>
      </c>
      <c r="Z84" s="45">
        <v>2</v>
      </c>
      <c r="AA84">
        <v>2025</v>
      </c>
      <c r="AB84" s="42">
        <v>3513300</v>
      </c>
      <c r="AC84" s="42">
        <v>3513300</v>
      </c>
    </row>
    <row r="85" spans="1:29">
      <c r="A85" t="s">
        <v>45</v>
      </c>
      <c r="B85" t="s">
        <v>46</v>
      </c>
      <c r="C85" t="s">
        <v>47</v>
      </c>
      <c r="D85" t="s">
        <v>191</v>
      </c>
      <c r="E85" t="s">
        <v>115</v>
      </c>
      <c r="F85" t="s">
        <v>63</v>
      </c>
      <c r="G85" t="s">
        <v>116</v>
      </c>
      <c r="H85" s="17" t="s">
        <v>52</v>
      </c>
      <c r="I85" t="s">
        <v>53</v>
      </c>
      <c r="J85" t="s">
        <v>121</v>
      </c>
      <c r="L85" t="s">
        <v>55</v>
      </c>
      <c r="M85" t="s">
        <v>56</v>
      </c>
      <c r="N85" t="s">
        <v>57</v>
      </c>
      <c r="O85" s="18" t="s">
        <v>58</v>
      </c>
      <c r="P85" s="18" t="s">
        <v>72</v>
      </c>
      <c r="Q85" s="17" t="s">
        <v>145</v>
      </c>
      <c r="R85" s="18" t="s">
        <v>146</v>
      </c>
      <c r="S85" s="32">
        <v>1</v>
      </c>
      <c r="T85" s="19">
        <v>1</v>
      </c>
      <c r="U85" s="17" t="s">
        <v>119</v>
      </c>
      <c r="V85" s="17">
        <v>45688</v>
      </c>
      <c r="W85" s="18">
        <v>1</v>
      </c>
      <c r="X85" s="17">
        <v>45700</v>
      </c>
      <c r="Y85" s="17">
        <v>45693</v>
      </c>
      <c r="Z85" s="45">
        <v>2</v>
      </c>
      <c r="AA85">
        <v>2025</v>
      </c>
      <c r="AB85" s="42">
        <v>732480</v>
      </c>
      <c r="AC85" s="42">
        <v>732480</v>
      </c>
    </row>
    <row r="86" spans="1:29">
      <c r="A86" t="s">
        <v>45</v>
      </c>
      <c r="B86" t="s">
        <v>46</v>
      </c>
      <c r="C86" t="s">
        <v>47</v>
      </c>
      <c r="D86" t="s">
        <v>192</v>
      </c>
      <c r="E86" t="s">
        <v>49</v>
      </c>
      <c r="F86" t="s">
        <v>50</v>
      </c>
      <c r="G86" t="s">
        <v>51</v>
      </c>
      <c r="H86" s="17" t="s">
        <v>52</v>
      </c>
      <c r="I86" t="s">
        <v>53</v>
      </c>
      <c r="J86" t="s">
        <v>136</v>
      </c>
      <c r="L86" t="s">
        <v>55</v>
      </c>
      <c r="M86" t="s">
        <v>56</v>
      </c>
      <c r="N86" t="s">
        <v>57</v>
      </c>
      <c r="O86" s="18" t="s">
        <v>58</v>
      </c>
      <c r="P86" s="18" t="s">
        <v>72</v>
      </c>
      <c r="Q86" s="17" t="s">
        <v>193</v>
      </c>
      <c r="R86" s="18" t="s">
        <v>194</v>
      </c>
      <c r="S86" s="32">
        <v>54</v>
      </c>
      <c r="T86" s="19">
        <v>54</v>
      </c>
      <c r="U86" s="17" t="s">
        <v>62</v>
      </c>
      <c r="V86" s="17">
        <v>45695</v>
      </c>
      <c r="W86" s="18">
        <v>2</v>
      </c>
      <c r="X86" s="17">
        <v>45702</v>
      </c>
      <c r="Y86" s="17">
        <v>45701</v>
      </c>
      <c r="Z86" s="45">
        <v>2</v>
      </c>
      <c r="AA86">
        <v>2025</v>
      </c>
      <c r="AB86" s="42">
        <v>551610</v>
      </c>
      <c r="AC86" s="42">
        <v>551610</v>
      </c>
    </row>
    <row r="87" spans="1:29">
      <c r="A87" t="s">
        <v>45</v>
      </c>
      <c r="B87" t="s">
        <v>46</v>
      </c>
      <c r="C87" t="s">
        <v>47</v>
      </c>
      <c r="D87" t="s">
        <v>192</v>
      </c>
      <c r="E87" t="s">
        <v>49</v>
      </c>
      <c r="F87" t="s">
        <v>63</v>
      </c>
      <c r="G87" t="s">
        <v>51</v>
      </c>
      <c r="H87" s="17" t="s">
        <v>52</v>
      </c>
      <c r="I87" t="s">
        <v>53</v>
      </c>
      <c r="J87" t="s">
        <v>136</v>
      </c>
      <c r="L87" t="s">
        <v>55</v>
      </c>
      <c r="M87" t="s">
        <v>56</v>
      </c>
      <c r="N87" t="s">
        <v>57</v>
      </c>
      <c r="O87" s="18" t="s">
        <v>58</v>
      </c>
      <c r="P87" s="18" t="s">
        <v>72</v>
      </c>
      <c r="Q87" s="17" t="s">
        <v>127</v>
      </c>
      <c r="R87" s="18" t="s">
        <v>128</v>
      </c>
      <c r="S87" s="32">
        <v>100</v>
      </c>
      <c r="T87" s="19">
        <v>100</v>
      </c>
      <c r="U87" s="17" t="s">
        <v>62</v>
      </c>
      <c r="V87" s="17">
        <v>45695</v>
      </c>
      <c r="W87" s="18">
        <v>2</v>
      </c>
      <c r="X87" s="17">
        <v>45702</v>
      </c>
      <c r="Y87" s="17">
        <v>45701</v>
      </c>
      <c r="Z87" s="45">
        <v>2</v>
      </c>
      <c r="AA87">
        <v>2025</v>
      </c>
      <c r="AB87" s="42">
        <v>724600</v>
      </c>
      <c r="AC87" s="42">
        <v>724600</v>
      </c>
    </row>
    <row r="88" spans="1:29">
      <c r="A88" t="s">
        <v>45</v>
      </c>
      <c r="B88" t="s">
        <v>46</v>
      </c>
      <c r="C88" t="s">
        <v>47</v>
      </c>
      <c r="D88" t="s">
        <v>192</v>
      </c>
      <c r="E88" t="s">
        <v>49</v>
      </c>
      <c r="F88" t="s">
        <v>67</v>
      </c>
      <c r="G88" t="s">
        <v>51</v>
      </c>
      <c r="H88" s="17" t="s">
        <v>52</v>
      </c>
      <c r="I88" t="s">
        <v>53</v>
      </c>
      <c r="J88" t="s">
        <v>136</v>
      </c>
      <c r="L88" t="s">
        <v>55</v>
      </c>
      <c r="M88" t="s">
        <v>56</v>
      </c>
      <c r="N88" t="s">
        <v>57</v>
      </c>
      <c r="O88" s="18" t="s">
        <v>58</v>
      </c>
      <c r="P88" s="18" t="s">
        <v>99</v>
      </c>
      <c r="Q88" s="17" t="s">
        <v>100</v>
      </c>
      <c r="R88" s="18" t="s">
        <v>101</v>
      </c>
      <c r="S88" s="32">
        <v>1</v>
      </c>
      <c r="T88" s="19">
        <v>1</v>
      </c>
      <c r="U88" s="17" t="s">
        <v>62</v>
      </c>
      <c r="V88" s="17">
        <v>45695</v>
      </c>
      <c r="W88" s="18">
        <v>2</v>
      </c>
      <c r="X88" s="17">
        <v>45702</v>
      </c>
      <c r="Y88" s="17">
        <v>45701</v>
      </c>
      <c r="Z88" s="45">
        <v>2</v>
      </c>
      <c r="AA88">
        <v>2025</v>
      </c>
      <c r="AB88" s="42">
        <v>75000</v>
      </c>
      <c r="AC88" s="42">
        <v>75000</v>
      </c>
    </row>
    <row r="89" spans="1:29">
      <c r="A89" t="s">
        <v>45</v>
      </c>
      <c r="B89" t="s">
        <v>46</v>
      </c>
      <c r="C89" t="s">
        <v>47</v>
      </c>
      <c r="D89" t="s">
        <v>126</v>
      </c>
      <c r="E89" t="s">
        <v>49</v>
      </c>
      <c r="F89" t="s">
        <v>63</v>
      </c>
      <c r="G89" t="s">
        <v>51</v>
      </c>
      <c r="H89" s="17" t="s">
        <v>52</v>
      </c>
      <c r="I89" t="s">
        <v>53</v>
      </c>
      <c r="J89" t="s">
        <v>110</v>
      </c>
      <c r="L89" t="s">
        <v>55</v>
      </c>
      <c r="M89" t="s">
        <v>56</v>
      </c>
      <c r="N89" t="s">
        <v>57</v>
      </c>
      <c r="O89" s="18" t="s">
        <v>58</v>
      </c>
      <c r="P89" s="18" t="s">
        <v>137</v>
      </c>
      <c r="Q89" s="17" t="s">
        <v>195</v>
      </c>
      <c r="R89" s="18" t="s">
        <v>196</v>
      </c>
      <c r="S89" s="32">
        <v>13</v>
      </c>
      <c r="T89" s="19">
        <v>13</v>
      </c>
      <c r="U89" s="17" t="s">
        <v>62</v>
      </c>
      <c r="V89" s="17">
        <v>45671</v>
      </c>
      <c r="W89" s="18">
        <v>1</v>
      </c>
      <c r="X89" s="17">
        <v>45674</v>
      </c>
      <c r="Y89" s="17">
        <v>45709</v>
      </c>
      <c r="Z89" s="45">
        <v>2</v>
      </c>
      <c r="AA89">
        <v>2025</v>
      </c>
      <c r="AB89" s="42">
        <v>441701</v>
      </c>
      <c r="AC89" s="42">
        <v>441701</v>
      </c>
    </row>
    <row r="90" spans="1:29">
      <c r="A90" t="s">
        <v>45</v>
      </c>
      <c r="B90" t="s">
        <v>46</v>
      </c>
      <c r="C90" t="s">
        <v>47</v>
      </c>
      <c r="D90" t="s">
        <v>197</v>
      </c>
      <c r="E90" t="s">
        <v>115</v>
      </c>
      <c r="F90" t="s">
        <v>50</v>
      </c>
      <c r="G90" t="s">
        <v>116</v>
      </c>
      <c r="H90" s="17" t="s">
        <v>52</v>
      </c>
      <c r="I90" t="s">
        <v>53</v>
      </c>
      <c r="J90" t="s">
        <v>110</v>
      </c>
      <c r="L90" t="s">
        <v>55</v>
      </c>
      <c r="M90" t="s">
        <v>56</v>
      </c>
      <c r="N90" t="s">
        <v>57</v>
      </c>
      <c r="O90" s="18" t="s">
        <v>58</v>
      </c>
      <c r="P90" s="18" t="s">
        <v>72</v>
      </c>
      <c r="Q90" s="17" t="s">
        <v>122</v>
      </c>
      <c r="R90" s="18" t="s">
        <v>123</v>
      </c>
      <c r="S90" s="32">
        <v>8</v>
      </c>
      <c r="T90" s="19">
        <v>8</v>
      </c>
      <c r="U90" s="17" t="s">
        <v>119</v>
      </c>
      <c r="V90" s="17">
        <v>45695</v>
      </c>
      <c r="W90" s="18">
        <v>2</v>
      </c>
      <c r="X90" s="17">
        <v>45707</v>
      </c>
      <c r="Y90" s="17">
        <v>45700</v>
      </c>
      <c r="Z90" s="45">
        <v>2</v>
      </c>
      <c r="AA90">
        <v>2025</v>
      </c>
      <c r="AB90" s="42">
        <v>2810640</v>
      </c>
      <c r="AC90" s="42">
        <v>2810640</v>
      </c>
    </row>
    <row r="91" spans="1:29">
      <c r="A91" t="s">
        <v>45</v>
      </c>
      <c r="B91" t="s">
        <v>46</v>
      </c>
      <c r="C91" t="s">
        <v>47</v>
      </c>
      <c r="D91" t="s">
        <v>197</v>
      </c>
      <c r="E91" t="s">
        <v>115</v>
      </c>
      <c r="F91" t="s">
        <v>63</v>
      </c>
      <c r="G91" t="s">
        <v>116</v>
      </c>
      <c r="H91" s="17" t="s">
        <v>52</v>
      </c>
      <c r="I91" t="s">
        <v>53</v>
      </c>
      <c r="J91" t="s">
        <v>110</v>
      </c>
      <c r="L91" t="s">
        <v>55</v>
      </c>
      <c r="M91" t="s">
        <v>56</v>
      </c>
      <c r="N91" t="s">
        <v>57</v>
      </c>
      <c r="O91" s="18" t="s">
        <v>58</v>
      </c>
      <c r="P91" s="18" t="s">
        <v>72</v>
      </c>
      <c r="Q91" s="17" t="s">
        <v>117</v>
      </c>
      <c r="R91" s="18" t="s">
        <v>118</v>
      </c>
      <c r="S91" s="32">
        <v>6</v>
      </c>
      <c r="T91" s="19">
        <v>6</v>
      </c>
      <c r="U91" s="17" t="s">
        <v>119</v>
      </c>
      <c r="V91" s="17">
        <v>45695</v>
      </c>
      <c r="W91" s="18">
        <v>2</v>
      </c>
      <c r="X91" s="17">
        <v>45707</v>
      </c>
      <c r="Y91" s="17">
        <v>45700</v>
      </c>
      <c r="Z91" s="45">
        <v>2</v>
      </c>
      <c r="AA91">
        <v>2025</v>
      </c>
      <c r="AB91" s="42">
        <v>2109000</v>
      </c>
      <c r="AC91" s="42">
        <v>2109000</v>
      </c>
    </row>
    <row r="92" spans="1:29">
      <c r="A92" t="s">
        <v>45</v>
      </c>
      <c r="B92" t="s">
        <v>46</v>
      </c>
      <c r="C92" t="s">
        <v>47</v>
      </c>
      <c r="D92" t="s">
        <v>198</v>
      </c>
      <c r="E92" t="s">
        <v>115</v>
      </c>
      <c r="F92" t="s">
        <v>50</v>
      </c>
      <c r="G92" t="s">
        <v>116</v>
      </c>
      <c r="H92" s="17" t="s">
        <v>52</v>
      </c>
      <c r="I92" t="s">
        <v>53</v>
      </c>
      <c r="J92" t="s">
        <v>121</v>
      </c>
      <c r="L92" t="s">
        <v>55</v>
      </c>
      <c r="M92" t="s">
        <v>56</v>
      </c>
      <c r="N92" t="s">
        <v>57</v>
      </c>
      <c r="O92" s="18" t="s">
        <v>58</v>
      </c>
      <c r="P92" s="18" t="s">
        <v>72</v>
      </c>
      <c r="Q92" s="17" t="s">
        <v>147</v>
      </c>
      <c r="R92" s="18" t="s">
        <v>148</v>
      </c>
      <c r="S92" s="32">
        <v>1</v>
      </c>
      <c r="T92" s="19">
        <v>1</v>
      </c>
      <c r="U92" s="17" t="s">
        <v>119</v>
      </c>
      <c r="V92" s="17">
        <v>45695</v>
      </c>
      <c r="W92" s="18">
        <v>2</v>
      </c>
      <c r="X92" s="17">
        <v>45707</v>
      </c>
      <c r="Y92" s="17">
        <v>45701</v>
      </c>
      <c r="Z92" s="45">
        <v>2</v>
      </c>
      <c r="AA92">
        <v>2025</v>
      </c>
      <c r="AB92" s="42">
        <v>418720</v>
      </c>
      <c r="AC92" s="42">
        <v>418720</v>
      </c>
    </row>
    <row r="93" spans="1:29">
      <c r="A93" t="s">
        <v>45</v>
      </c>
      <c r="B93" t="s">
        <v>46</v>
      </c>
      <c r="C93" t="s">
        <v>47</v>
      </c>
      <c r="D93" t="s">
        <v>198</v>
      </c>
      <c r="E93" t="s">
        <v>115</v>
      </c>
      <c r="F93" t="s">
        <v>63</v>
      </c>
      <c r="G93" t="s">
        <v>116</v>
      </c>
      <c r="H93" s="17" t="s">
        <v>52</v>
      </c>
      <c r="I93" t="s">
        <v>53</v>
      </c>
      <c r="J93" t="s">
        <v>121</v>
      </c>
      <c r="L93" t="s">
        <v>55</v>
      </c>
      <c r="M93" t="s">
        <v>56</v>
      </c>
      <c r="N93" t="s">
        <v>57</v>
      </c>
      <c r="O93" s="18" t="s">
        <v>58</v>
      </c>
      <c r="P93" s="18" t="s">
        <v>72</v>
      </c>
      <c r="Q93" s="17" t="s">
        <v>145</v>
      </c>
      <c r="R93" s="18" t="s">
        <v>146</v>
      </c>
      <c r="S93" s="32">
        <v>1</v>
      </c>
      <c r="T93" s="19">
        <v>1</v>
      </c>
      <c r="U93" s="17" t="s">
        <v>119</v>
      </c>
      <c r="V93" s="17">
        <v>45695</v>
      </c>
      <c r="W93" s="18">
        <v>2</v>
      </c>
      <c r="X93" s="17">
        <v>45707</v>
      </c>
      <c r="Y93" s="17">
        <v>45701</v>
      </c>
      <c r="Z93" s="45">
        <v>2</v>
      </c>
      <c r="AA93">
        <v>2025</v>
      </c>
      <c r="AB93" s="42">
        <v>732480</v>
      </c>
      <c r="AC93" s="42">
        <v>732480</v>
      </c>
    </row>
    <row r="94" spans="1:29">
      <c r="A94" t="s">
        <v>45</v>
      </c>
      <c r="B94" t="s">
        <v>46</v>
      </c>
      <c r="C94" t="s">
        <v>47</v>
      </c>
      <c r="D94" t="s">
        <v>198</v>
      </c>
      <c r="E94" t="s">
        <v>115</v>
      </c>
      <c r="F94" t="s">
        <v>67</v>
      </c>
      <c r="G94" t="s">
        <v>116</v>
      </c>
      <c r="H94" s="17" t="s">
        <v>52</v>
      </c>
      <c r="I94" t="s">
        <v>53</v>
      </c>
      <c r="J94" t="s">
        <v>121</v>
      </c>
      <c r="L94" t="s">
        <v>55</v>
      </c>
      <c r="M94" t="s">
        <v>56</v>
      </c>
      <c r="N94" t="s">
        <v>57</v>
      </c>
      <c r="O94" s="18" t="s">
        <v>58</v>
      </c>
      <c r="P94" s="18" t="s">
        <v>72</v>
      </c>
      <c r="Q94" s="17" t="s">
        <v>122</v>
      </c>
      <c r="R94" s="18" t="s">
        <v>123</v>
      </c>
      <c r="S94" s="32">
        <v>4</v>
      </c>
      <c r="T94" s="19">
        <v>4</v>
      </c>
      <c r="U94" s="17" t="s">
        <v>119</v>
      </c>
      <c r="V94" s="17">
        <v>45695</v>
      </c>
      <c r="W94" s="18">
        <v>2</v>
      </c>
      <c r="X94" s="17">
        <v>45707</v>
      </c>
      <c r="Y94" s="17">
        <v>45701</v>
      </c>
      <c r="Z94" s="45">
        <v>2</v>
      </c>
      <c r="AA94">
        <v>2025</v>
      </c>
      <c r="AB94" s="42">
        <v>1405320</v>
      </c>
      <c r="AC94" s="42">
        <v>1405320</v>
      </c>
    </row>
    <row r="95" spans="1:29">
      <c r="A95" t="s">
        <v>45</v>
      </c>
      <c r="B95" t="s">
        <v>46</v>
      </c>
      <c r="C95" t="s">
        <v>47</v>
      </c>
      <c r="D95" t="s">
        <v>198</v>
      </c>
      <c r="E95" t="s">
        <v>115</v>
      </c>
      <c r="F95" t="s">
        <v>71</v>
      </c>
      <c r="G95" t="s">
        <v>116</v>
      </c>
      <c r="H95" s="17" t="s">
        <v>52</v>
      </c>
      <c r="I95" t="s">
        <v>53</v>
      </c>
      <c r="J95" t="s">
        <v>121</v>
      </c>
      <c r="L95" t="s">
        <v>55</v>
      </c>
      <c r="M95" t="s">
        <v>56</v>
      </c>
      <c r="N95" t="s">
        <v>57</v>
      </c>
      <c r="O95" s="18" t="s">
        <v>58</v>
      </c>
      <c r="P95" s="18" t="s">
        <v>72</v>
      </c>
      <c r="Q95" s="17" t="s">
        <v>117</v>
      </c>
      <c r="R95" s="18" t="s">
        <v>118</v>
      </c>
      <c r="S95" s="32">
        <v>1</v>
      </c>
      <c r="T95" s="19">
        <v>1</v>
      </c>
      <c r="U95" s="17" t="s">
        <v>119</v>
      </c>
      <c r="V95" s="17">
        <v>45695</v>
      </c>
      <c r="W95" s="18">
        <v>2</v>
      </c>
      <c r="X95" s="17">
        <v>45707</v>
      </c>
      <c r="Y95" s="17">
        <v>45701</v>
      </c>
      <c r="Z95" s="45">
        <v>2</v>
      </c>
      <c r="AA95">
        <v>2025</v>
      </c>
      <c r="AB95" s="42">
        <v>351500</v>
      </c>
      <c r="AC95" s="42">
        <v>351500</v>
      </c>
    </row>
    <row r="96" spans="1:29">
      <c r="A96" t="s">
        <v>45</v>
      </c>
      <c r="B96" t="s">
        <v>46</v>
      </c>
      <c r="C96" t="s">
        <v>47</v>
      </c>
      <c r="D96" t="s">
        <v>199</v>
      </c>
      <c r="E96" t="s">
        <v>115</v>
      </c>
      <c r="F96" t="s">
        <v>50</v>
      </c>
      <c r="G96" t="s">
        <v>116</v>
      </c>
      <c r="H96" s="17" t="s">
        <v>52</v>
      </c>
      <c r="I96" t="s">
        <v>53</v>
      </c>
      <c r="J96" t="s">
        <v>190</v>
      </c>
      <c r="L96" t="s">
        <v>55</v>
      </c>
      <c r="M96" t="s">
        <v>56</v>
      </c>
      <c r="N96" t="s">
        <v>57</v>
      </c>
      <c r="O96" s="18" t="s">
        <v>58</v>
      </c>
      <c r="P96" s="18" t="s">
        <v>72</v>
      </c>
      <c r="Q96" s="17" t="s">
        <v>122</v>
      </c>
      <c r="R96" s="18" t="s">
        <v>123</v>
      </c>
      <c r="S96" s="32">
        <v>4</v>
      </c>
      <c r="T96" s="19">
        <v>4</v>
      </c>
      <c r="U96" s="17" t="s">
        <v>119</v>
      </c>
      <c r="V96" s="17">
        <v>45695</v>
      </c>
      <c r="W96" s="18">
        <v>2</v>
      </c>
      <c r="X96" s="17">
        <v>45707</v>
      </c>
      <c r="Y96" s="17">
        <v>45699</v>
      </c>
      <c r="Z96" s="45">
        <v>2</v>
      </c>
      <c r="AA96">
        <v>2025</v>
      </c>
      <c r="AB96" s="42">
        <v>1405320</v>
      </c>
      <c r="AC96" s="42">
        <v>1405320</v>
      </c>
    </row>
    <row r="97" spans="1:29">
      <c r="A97" t="s">
        <v>45</v>
      </c>
      <c r="B97" t="s">
        <v>46</v>
      </c>
      <c r="C97" t="s">
        <v>47</v>
      </c>
      <c r="D97" t="s">
        <v>200</v>
      </c>
      <c r="E97" t="s">
        <v>115</v>
      </c>
      <c r="F97" t="s">
        <v>50</v>
      </c>
      <c r="G97" t="s">
        <v>116</v>
      </c>
      <c r="H97" s="17" t="s">
        <v>52</v>
      </c>
      <c r="I97" t="s">
        <v>53</v>
      </c>
      <c r="J97" t="s">
        <v>125</v>
      </c>
      <c r="L97" t="s">
        <v>55</v>
      </c>
      <c r="M97" t="s">
        <v>56</v>
      </c>
      <c r="N97" t="s">
        <v>57</v>
      </c>
      <c r="O97" s="18" t="s">
        <v>58</v>
      </c>
      <c r="P97" s="18" t="s">
        <v>72</v>
      </c>
      <c r="Q97" s="17" t="s">
        <v>122</v>
      </c>
      <c r="R97" s="18" t="s">
        <v>123</v>
      </c>
      <c r="S97" s="32">
        <v>8</v>
      </c>
      <c r="T97" s="19">
        <v>8</v>
      </c>
      <c r="U97" s="17" t="s">
        <v>119</v>
      </c>
      <c r="V97" s="17">
        <v>45695</v>
      </c>
      <c r="W97" s="18">
        <v>2</v>
      </c>
      <c r="X97" s="17">
        <v>45707</v>
      </c>
      <c r="Y97" s="17">
        <v>45700</v>
      </c>
      <c r="Z97" s="45">
        <v>2</v>
      </c>
      <c r="AA97">
        <v>2025</v>
      </c>
      <c r="AB97" s="42">
        <v>2810640</v>
      </c>
      <c r="AC97" s="42">
        <v>2810640</v>
      </c>
    </row>
    <row r="98" spans="1:29">
      <c r="A98" t="s">
        <v>45</v>
      </c>
      <c r="B98" t="s">
        <v>46</v>
      </c>
      <c r="C98" t="s">
        <v>47</v>
      </c>
      <c r="D98" t="s">
        <v>200</v>
      </c>
      <c r="E98" t="s">
        <v>115</v>
      </c>
      <c r="F98" t="s">
        <v>63</v>
      </c>
      <c r="G98" t="s">
        <v>116</v>
      </c>
      <c r="H98" s="17" t="s">
        <v>52</v>
      </c>
      <c r="I98" t="s">
        <v>53</v>
      </c>
      <c r="J98" t="s">
        <v>125</v>
      </c>
      <c r="L98" t="s">
        <v>55</v>
      </c>
      <c r="M98" t="s">
        <v>56</v>
      </c>
      <c r="N98" t="s">
        <v>57</v>
      </c>
      <c r="O98" s="18" t="s">
        <v>58</v>
      </c>
      <c r="P98" s="18" t="s">
        <v>72</v>
      </c>
      <c r="Q98" s="17" t="s">
        <v>117</v>
      </c>
      <c r="R98" s="18" t="s">
        <v>118</v>
      </c>
      <c r="S98" s="32">
        <v>6</v>
      </c>
      <c r="T98" s="19">
        <v>6</v>
      </c>
      <c r="U98" s="17" t="s">
        <v>119</v>
      </c>
      <c r="V98" s="17">
        <v>45695</v>
      </c>
      <c r="W98" s="18">
        <v>2</v>
      </c>
      <c r="X98" s="17">
        <v>45707</v>
      </c>
      <c r="Y98" s="17">
        <v>45700</v>
      </c>
      <c r="Z98" s="45">
        <v>2</v>
      </c>
      <c r="AA98">
        <v>2025</v>
      </c>
      <c r="AB98" s="42">
        <v>2109000</v>
      </c>
      <c r="AC98" s="42">
        <v>2109000</v>
      </c>
    </row>
    <row r="99" spans="1:29">
      <c r="A99" t="s">
        <v>45</v>
      </c>
      <c r="B99" t="s">
        <v>46</v>
      </c>
      <c r="C99" t="s">
        <v>47</v>
      </c>
      <c r="D99" t="s">
        <v>201</v>
      </c>
      <c r="E99" t="s">
        <v>115</v>
      </c>
      <c r="F99" t="s">
        <v>50</v>
      </c>
      <c r="G99" t="s">
        <v>116</v>
      </c>
      <c r="H99" s="17" t="s">
        <v>52</v>
      </c>
      <c r="I99" t="s">
        <v>53</v>
      </c>
      <c r="J99" t="s">
        <v>110</v>
      </c>
      <c r="L99" t="s">
        <v>55</v>
      </c>
      <c r="M99" t="s">
        <v>56</v>
      </c>
      <c r="N99" t="s">
        <v>57</v>
      </c>
      <c r="O99" s="18" t="s">
        <v>58</v>
      </c>
      <c r="P99" s="18" t="s">
        <v>72</v>
      </c>
      <c r="Q99" s="17" t="s">
        <v>122</v>
      </c>
      <c r="R99" s="18" t="s">
        <v>123</v>
      </c>
      <c r="S99" s="32">
        <v>6</v>
      </c>
      <c r="T99" s="19">
        <v>6</v>
      </c>
      <c r="U99" s="17" t="s">
        <v>119</v>
      </c>
      <c r="V99" s="17">
        <v>45702</v>
      </c>
      <c r="W99" s="18">
        <v>2</v>
      </c>
      <c r="X99" s="17">
        <v>45714</v>
      </c>
      <c r="Y99" s="17">
        <v>45715</v>
      </c>
      <c r="Z99" s="45">
        <v>2</v>
      </c>
      <c r="AA99">
        <v>2025</v>
      </c>
      <c r="AB99" s="42">
        <v>2107980</v>
      </c>
      <c r="AC99" s="42">
        <v>2107980</v>
      </c>
    </row>
    <row r="100" spans="1:29">
      <c r="A100" t="s">
        <v>45</v>
      </c>
      <c r="B100" t="s">
        <v>46</v>
      </c>
      <c r="C100" t="s">
        <v>47</v>
      </c>
      <c r="D100" t="s">
        <v>201</v>
      </c>
      <c r="E100" t="s">
        <v>115</v>
      </c>
      <c r="F100" t="s">
        <v>63</v>
      </c>
      <c r="G100" t="s">
        <v>116</v>
      </c>
      <c r="H100" s="17" t="s">
        <v>52</v>
      </c>
      <c r="I100" t="s">
        <v>53</v>
      </c>
      <c r="J100" t="s">
        <v>110</v>
      </c>
      <c r="L100" t="s">
        <v>55</v>
      </c>
      <c r="M100" t="s">
        <v>56</v>
      </c>
      <c r="N100" t="s">
        <v>57</v>
      </c>
      <c r="O100" s="18" t="s">
        <v>58</v>
      </c>
      <c r="P100" s="18" t="s">
        <v>72</v>
      </c>
      <c r="Q100" s="17" t="s">
        <v>117</v>
      </c>
      <c r="R100" s="18" t="s">
        <v>118</v>
      </c>
      <c r="S100" s="32">
        <v>4</v>
      </c>
      <c r="T100" s="19">
        <v>4</v>
      </c>
      <c r="U100" s="17" t="s">
        <v>119</v>
      </c>
      <c r="V100" s="17">
        <v>45702</v>
      </c>
      <c r="W100" s="18">
        <v>2</v>
      </c>
      <c r="X100" s="17">
        <v>45714</v>
      </c>
      <c r="Y100" s="17">
        <v>45715</v>
      </c>
      <c r="Z100" s="45">
        <v>2</v>
      </c>
      <c r="AA100">
        <v>2025</v>
      </c>
      <c r="AB100" s="42">
        <v>1406000</v>
      </c>
      <c r="AC100" s="42">
        <v>1406000</v>
      </c>
    </row>
    <row r="101" spans="1:29">
      <c r="A101" t="s">
        <v>45</v>
      </c>
      <c r="B101" t="s">
        <v>46</v>
      </c>
      <c r="C101" t="s">
        <v>47</v>
      </c>
      <c r="D101" t="s">
        <v>202</v>
      </c>
      <c r="E101" t="s">
        <v>115</v>
      </c>
      <c r="F101" t="s">
        <v>50</v>
      </c>
      <c r="G101" t="s">
        <v>116</v>
      </c>
      <c r="H101" s="17" t="s">
        <v>52</v>
      </c>
      <c r="I101" t="s">
        <v>53</v>
      </c>
      <c r="J101" t="s">
        <v>125</v>
      </c>
      <c r="L101" t="s">
        <v>55</v>
      </c>
      <c r="M101" t="s">
        <v>56</v>
      </c>
      <c r="N101" t="s">
        <v>57</v>
      </c>
      <c r="O101" s="18" t="s">
        <v>58</v>
      </c>
      <c r="P101" s="18" t="s">
        <v>72</v>
      </c>
      <c r="Q101" s="17" t="s">
        <v>122</v>
      </c>
      <c r="R101" s="18" t="s">
        <v>123</v>
      </c>
      <c r="S101" s="32">
        <v>4</v>
      </c>
      <c r="T101" s="19">
        <v>4</v>
      </c>
      <c r="U101" s="17" t="s">
        <v>119</v>
      </c>
      <c r="V101" s="17">
        <v>45702</v>
      </c>
      <c r="W101" s="18">
        <v>2</v>
      </c>
      <c r="X101" s="17">
        <v>45714</v>
      </c>
      <c r="Y101" s="17">
        <v>45709</v>
      </c>
      <c r="Z101" s="45">
        <v>2</v>
      </c>
      <c r="AA101">
        <v>2025</v>
      </c>
      <c r="AB101" s="42">
        <v>1405320</v>
      </c>
      <c r="AC101" s="42">
        <v>1405320</v>
      </c>
    </row>
    <row r="102" spans="1:29">
      <c r="A102" t="s">
        <v>45</v>
      </c>
      <c r="B102" t="s">
        <v>46</v>
      </c>
      <c r="C102" t="s">
        <v>47</v>
      </c>
      <c r="D102" t="s">
        <v>129</v>
      </c>
      <c r="E102" t="s">
        <v>49</v>
      </c>
      <c r="F102" t="s">
        <v>63</v>
      </c>
      <c r="G102" t="s">
        <v>51</v>
      </c>
      <c r="H102" s="17" t="s">
        <v>52</v>
      </c>
      <c r="I102" t="s">
        <v>53</v>
      </c>
      <c r="J102" t="s">
        <v>54</v>
      </c>
      <c r="L102" t="s">
        <v>55</v>
      </c>
      <c r="M102" t="s">
        <v>56</v>
      </c>
      <c r="N102" t="s">
        <v>57</v>
      </c>
      <c r="O102" s="18" t="s">
        <v>58</v>
      </c>
      <c r="P102" s="18" t="s">
        <v>89</v>
      </c>
      <c r="Q102" s="17" t="s">
        <v>90</v>
      </c>
      <c r="R102" s="18" t="s">
        <v>91</v>
      </c>
      <c r="S102" s="32">
        <v>22</v>
      </c>
      <c r="T102" s="19">
        <v>22</v>
      </c>
      <c r="U102" s="17" t="s">
        <v>62</v>
      </c>
      <c r="V102" s="17">
        <v>45672</v>
      </c>
      <c r="W102" s="18">
        <v>1</v>
      </c>
      <c r="X102" s="17">
        <v>45674</v>
      </c>
      <c r="Y102" s="17">
        <v>45716</v>
      </c>
      <c r="Z102" s="45">
        <v>2</v>
      </c>
      <c r="AA102">
        <v>2025</v>
      </c>
      <c r="AB102" s="42">
        <v>3048716</v>
      </c>
      <c r="AC102" s="42">
        <v>3048716</v>
      </c>
    </row>
    <row r="103" spans="1:29">
      <c r="A103" t="s">
        <v>45</v>
      </c>
      <c r="B103" t="s">
        <v>46</v>
      </c>
      <c r="C103" t="s">
        <v>47</v>
      </c>
      <c r="D103" t="s">
        <v>129</v>
      </c>
      <c r="E103" t="s">
        <v>49</v>
      </c>
      <c r="F103" t="s">
        <v>67</v>
      </c>
      <c r="G103" t="s">
        <v>51</v>
      </c>
      <c r="H103" s="17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18" t="s">
        <v>58</v>
      </c>
      <c r="P103" s="18" t="s">
        <v>59</v>
      </c>
      <c r="Q103" s="17" t="s">
        <v>60</v>
      </c>
      <c r="R103" s="18" t="s">
        <v>61</v>
      </c>
      <c r="S103" s="32">
        <v>417</v>
      </c>
      <c r="T103" s="19">
        <v>417</v>
      </c>
      <c r="U103" s="17" t="s">
        <v>62</v>
      </c>
      <c r="V103" s="17">
        <v>45672</v>
      </c>
      <c r="W103" s="18">
        <v>1</v>
      </c>
      <c r="X103" s="17">
        <v>45674</v>
      </c>
      <c r="Y103" s="17">
        <v>45716</v>
      </c>
      <c r="Z103" s="45">
        <v>2</v>
      </c>
      <c r="AA103">
        <v>2025</v>
      </c>
      <c r="AB103" s="42">
        <v>6629466</v>
      </c>
      <c r="AC103" s="42">
        <v>6629466</v>
      </c>
    </row>
    <row r="104" spans="1:29">
      <c r="A104" t="s">
        <v>45</v>
      </c>
      <c r="B104" t="s">
        <v>46</v>
      </c>
      <c r="C104" t="s">
        <v>47</v>
      </c>
      <c r="D104" t="s">
        <v>129</v>
      </c>
      <c r="E104" t="s">
        <v>49</v>
      </c>
      <c r="F104" t="s">
        <v>71</v>
      </c>
      <c r="G104" t="s">
        <v>51</v>
      </c>
      <c r="H104" s="17" t="s">
        <v>52</v>
      </c>
      <c r="I104" t="s">
        <v>53</v>
      </c>
      <c r="J104" t="s">
        <v>54</v>
      </c>
      <c r="L104" t="s">
        <v>55</v>
      </c>
      <c r="M104" t="s">
        <v>56</v>
      </c>
      <c r="N104" t="s">
        <v>57</v>
      </c>
      <c r="O104" s="18" t="s">
        <v>58</v>
      </c>
      <c r="P104" s="18" t="s">
        <v>64</v>
      </c>
      <c r="Q104" s="17" t="s">
        <v>92</v>
      </c>
      <c r="R104" s="18" t="s">
        <v>93</v>
      </c>
      <c r="S104" s="32">
        <v>49</v>
      </c>
      <c r="T104" s="19">
        <v>49</v>
      </c>
      <c r="U104" s="17" t="s">
        <v>62</v>
      </c>
      <c r="V104" s="17">
        <v>45672</v>
      </c>
      <c r="W104" s="18">
        <v>1</v>
      </c>
      <c r="X104" s="17">
        <v>45674</v>
      </c>
      <c r="Y104" s="17">
        <v>45716</v>
      </c>
      <c r="Z104" s="45">
        <v>2</v>
      </c>
      <c r="AA104">
        <v>2025</v>
      </c>
      <c r="AB104" s="42">
        <v>672084</v>
      </c>
      <c r="AC104" s="42">
        <v>672084</v>
      </c>
    </row>
    <row r="105" spans="1:29">
      <c r="A105" t="s">
        <v>45</v>
      </c>
      <c r="B105" t="s">
        <v>46</v>
      </c>
      <c r="C105" t="s">
        <v>47</v>
      </c>
      <c r="D105" t="s">
        <v>129</v>
      </c>
      <c r="E105" t="s">
        <v>49</v>
      </c>
      <c r="F105" t="s">
        <v>75</v>
      </c>
      <c r="G105" t="s">
        <v>51</v>
      </c>
      <c r="H105" s="17" t="s">
        <v>52</v>
      </c>
      <c r="I105" t="s">
        <v>53</v>
      </c>
      <c r="J105" t="s">
        <v>54</v>
      </c>
      <c r="L105" t="s">
        <v>55</v>
      </c>
      <c r="M105" t="s">
        <v>56</v>
      </c>
      <c r="N105" t="s">
        <v>57</v>
      </c>
      <c r="O105" s="18" t="s">
        <v>58</v>
      </c>
      <c r="P105" s="18" t="s">
        <v>68</v>
      </c>
      <c r="Q105" s="17" t="s">
        <v>69</v>
      </c>
      <c r="R105" s="18" t="s">
        <v>70</v>
      </c>
      <c r="S105" s="32">
        <v>35</v>
      </c>
      <c r="T105" s="19">
        <v>35</v>
      </c>
      <c r="U105" s="17" t="s">
        <v>62</v>
      </c>
      <c r="V105" s="17">
        <v>45672</v>
      </c>
      <c r="W105" s="18">
        <v>1</v>
      </c>
      <c r="X105" s="17">
        <v>45674</v>
      </c>
      <c r="Y105" s="17">
        <v>45716</v>
      </c>
      <c r="Z105" s="45">
        <v>2</v>
      </c>
      <c r="AA105">
        <v>2025</v>
      </c>
      <c r="AB105" s="42">
        <v>2542120</v>
      </c>
      <c r="AC105" s="42">
        <v>2542120</v>
      </c>
    </row>
    <row r="106" spans="1:29">
      <c r="A106" t="s">
        <v>45</v>
      </c>
      <c r="B106" t="s">
        <v>46</v>
      </c>
      <c r="C106" t="s">
        <v>47</v>
      </c>
      <c r="D106" t="s">
        <v>203</v>
      </c>
      <c r="E106" t="s">
        <v>115</v>
      </c>
      <c r="F106" t="s">
        <v>50</v>
      </c>
      <c r="G106" t="s">
        <v>116</v>
      </c>
      <c r="H106" s="17" t="s">
        <v>52</v>
      </c>
      <c r="I106" t="s">
        <v>53</v>
      </c>
      <c r="J106" t="s">
        <v>121</v>
      </c>
      <c r="L106" t="s">
        <v>55</v>
      </c>
      <c r="M106" t="s">
        <v>56</v>
      </c>
      <c r="N106" t="s">
        <v>57</v>
      </c>
      <c r="O106" s="18" t="s">
        <v>58</v>
      </c>
      <c r="P106" s="18" t="s">
        <v>72</v>
      </c>
      <c r="Q106" s="17" t="s">
        <v>122</v>
      </c>
      <c r="R106" s="18" t="s">
        <v>123</v>
      </c>
      <c r="S106" s="32">
        <v>6</v>
      </c>
      <c r="T106" s="19">
        <v>6</v>
      </c>
      <c r="U106" s="17" t="s">
        <v>119</v>
      </c>
      <c r="V106" s="17">
        <v>45709</v>
      </c>
      <c r="W106" s="18">
        <v>2</v>
      </c>
      <c r="X106" s="17">
        <v>45721</v>
      </c>
      <c r="Y106" s="17">
        <v>45714</v>
      </c>
      <c r="Z106" s="45">
        <v>2</v>
      </c>
      <c r="AA106">
        <v>2025</v>
      </c>
      <c r="AB106" s="42">
        <v>2107980</v>
      </c>
      <c r="AC106" s="42">
        <v>2107980</v>
      </c>
    </row>
    <row r="107" spans="1:29">
      <c r="A107" t="s">
        <v>45</v>
      </c>
      <c r="B107" t="s">
        <v>46</v>
      </c>
      <c r="C107" t="s">
        <v>47</v>
      </c>
      <c r="D107" t="s">
        <v>203</v>
      </c>
      <c r="E107" t="s">
        <v>115</v>
      </c>
      <c r="F107" t="s">
        <v>63</v>
      </c>
      <c r="G107" t="s">
        <v>116</v>
      </c>
      <c r="H107" s="17" t="s">
        <v>52</v>
      </c>
      <c r="I107" t="s">
        <v>53</v>
      </c>
      <c r="J107" t="s">
        <v>121</v>
      </c>
      <c r="L107" t="s">
        <v>55</v>
      </c>
      <c r="M107" t="s">
        <v>56</v>
      </c>
      <c r="N107" t="s">
        <v>57</v>
      </c>
      <c r="O107" s="18" t="s">
        <v>58</v>
      </c>
      <c r="P107" s="18" t="s">
        <v>72</v>
      </c>
      <c r="Q107" s="17" t="s">
        <v>117</v>
      </c>
      <c r="R107" s="18" t="s">
        <v>118</v>
      </c>
      <c r="S107" s="32">
        <v>2</v>
      </c>
      <c r="T107" s="19">
        <v>2</v>
      </c>
      <c r="U107" s="17" t="s">
        <v>119</v>
      </c>
      <c r="V107" s="17">
        <v>45709</v>
      </c>
      <c r="W107" s="18">
        <v>2</v>
      </c>
      <c r="X107" s="17">
        <v>45721</v>
      </c>
      <c r="Y107" s="17">
        <v>45714</v>
      </c>
      <c r="Z107" s="45">
        <v>2</v>
      </c>
      <c r="AA107">
        <v>2025</v>
      </c>
      <c r="AB107" s="42">
        <v>703000</v>
      </c>
      <c r="AC107" s="42">
        <v>703000</v>
      </c>
    </row>
    <row r="108" spans="1:29">
      <c r="A108" t="s">
        <v>45</v>
      </c>
      <c r="B108" t="s">
        <v>46</v>
      </c>
      <c r="C108" t="s">
        <v>47</v>
      </c>
      <c r="D108" t="s">
        <v>204</v>
      </c>
      <c r="E108" t="s">
        <v>115</v>
      </c>
      <c r="F108" t="s">
        <v>50</v>
      </c>
      <c r="G108" t="s">
        <v>116</v>
      </c>
      <c r="H108" s="17" t="s">
        <v>52</v>
      </c>
      <c r="I108" t="s">
        <v>53</v>
      </c>
      <c r="J108" t="s">
        <v>125</v>
      </c>
      <c r="L108" t="s">
        <v>55</v>
      </c>
      <c r="M108" t="s">
        <v>56</v>
      </c>
      <c r="N108" t="s">
        <v>57</v>
      </c>
      <c r="O108" s="18" t="s">
        <v>58</v>
      </c>
      <c r="P108" s="18" t="s">
        <v>72</v>
      </c>
      <c r="Q108" s="17" t="s">
        <v>122</v>
      </c>
      <c r="R108" s="18" t="s">
        <v>123</v>
      </c>
      <c r="S108" s="32">
        <v>4</v>
      </c>
      <c r="T108" s="19">
        <v>4</v>
      </c>
      <c r="U108" s="17" t="s">
        <v>119</v>
      </c>
      <c r="V108" s="17">
        <v>45709</v>
      </c>
      <c r="W108" s="18">
        <v>2</v>
      </c>
      <c r="X108" s="17">
        <v>45721</v>
      </c>
      <c r="Y108" s="17">
        <v>45714</v>
      </c>
      <c r="Z108" s="45">
        <v>2</v>
      </c>
      <c r="AA108">
        <v>2025</v>
      </c>
      <c r="AB108" s="42">
        <v>1405320</v>
      </c>
      <c r="AC108" s="42">
        <v>1405320</v>
      </c>
    </row>
    <row r="109" spans="1:29">
      <c r="A109" t="s">
        <v>45</v>
      </c>
      <c r="B109" t="s">
        <v>46</v>
      </c>
      <c r="C109" t="s">
        <v>47</v>
      </c>
      <c r="D109" t="s">
        <v>205</v>
      </c>
      <c r="E109" t="s">
        <v>49</v>
      </c>
      <c r="F109" t="s">
        <v>50</v>
      </c>
      <c r="G109" t="s">
        <v>51</v>
      </c>
      <c r="H109" s="17" t="s">
        <v>58</v>
      </c>
      <c r="I109" t="s">
        <v>53</v>
      </c>
      <c r="J109" t="s">
        <v>136</v>
      </c>
      <c r="L109" t="s">
        <v>55</v>
      </c>
      <c r="M109" t="s">
        <v>56</v>
      </c>
      <c r="N109" t="s">
        <v>57</v>
      </c>
      <c r="O109" s="18" t="s">
        <v>58</v>
      </c>
      <c r="P109" s="18" t="s">
        <v>72</v>
      </c>
      <c r="Q109" s="17" t="s">
        <v>127</v>
      </c>
      <c r="R109" s="18" t="s">
        <v>128</v>
      </c>
      <c r="S109" s="32">
        <v>350</v>
      </c>
      <c r="T109" s="19">
        <v>0</v>
      </c>
      <c r="U109" s="17" t="s">
        <v>62</v>
      </c>
      <c r="V109" s="17">
        <v>45688</v>
      </c>
      <c r="W109" s="18">
        <v>1</v>
      </c>
      <c r="X109" s="17">
        <v>45702</v>
      </c>
      <c r="Z109" s="45">
        <v>2</v>
      </c>
      <c r="AA109">
        <v>2025</v>
      </c>
      <c r="AB109" s="42">
        <v>2485350</v>
      </c>
      <c r="AC109" s="42">
        <v>0</v>
      </c>
    </row>
    <row r="110" spans="1:29">
      <c r="A110" t="s">
        <v>45</v>
      </c>
      <c r="B110" t="s">
        <v>46</v>
      </c>
      <c r="C110" t="s">
        <v>47</v>
      </c>
      <c r="D110" t="s">
        <v>205</v>
      </c>
      <c r="E110" t="s">
        <v>49</v>
      </c>
      <c r="F110" t="s">
        <v>63</v>
      </c>
      <c r="G110" t="s">
        <v>51</v>
      </c>
      <c r="H110" s="17" t="s">
        <v>58</v>
      </c>
      <c r="I110" t="s">
        <v>53</v>
      </c>
      <c r="J110" t="s">
        <v>136</v>
      </c>
      <c r="L110" t="s">
        <v>55</v>
      </c>
      <c r="M110" t="s">
        <v>56</v>
      </c>
      <c r="N110" t="s">
        <v>57</v>
      </c>
      <c r="O110" s="18" t="s">
        <v>58</v>
      </c>
      <c r="P110" s="18" t="s">
        <v>99</v>
      </c>
      <c r="Q110" s="17" t="s">
        <v>100</v>
      </c>
      <c r="R110" s="18" t="s">
        <v>101</v>
      </c>
      <c r="S110" s="32">
        <v>1</v>
      </c>
      <c r="T110" s="19">
        <v>0</v>
      </c>
      <c r="U110" s="17" t="s">
        <v>62</v>
      </c>
      <c r="V110" s="17">
        <v>45688</v>
      </c>
      <c r="W110" s="18">
        <v>1</v>
      </c>
      <c r="X110" s="17">
        <v>45702</v>
      </c>
      <c r="Z110" s="45">
        <v>2</v>
      </c>
      <c r="AA110">
        <v>2025</v>
      </c>
      <c r="AB110" s="42">
        <v>75000</v>
      </c>
      <c r="AC110" s="42">
        <v>0</v>
      </c>
    </row>
    <row r="111" spans="1:29">
      <c r="A111" t="s">
        <v>45</v>
      </c>
      <c r="B111" t="s">
        <v>46</v>
      </c>
      <c r="C111" t="s">
        <v>47</v>
      </c>
      <c r="D111" t="s">
        <v>206</v>
      </c>
      <c r="E111" t="s">
        <v>49</v>
      </c>
      <c r="F111" t="s">
        <v>50</v>
      </c>
      <c r="G111" t="s">
        <v>51</v>
      </c>
      <c r="H111" s="17" t="s">
        <v>58</v>
      </c>
      <c r="I111" t="s">
        <v>53</v>
      </c>
      <c r="J111" t="s">
        <v>167</v>
      </c>
      <c r="L111" t="s">
        <v>55</v>
      </c>
      <c r="M111" t="s">
        <v>56</v>
      </c>
      <c r="N111" t="s">
        <v>57</v>
      </c>
      <c r="O111" s="18" t="s">
        <v>58</v>
      </c>
      <c r="P111" s="18" t="s">
        <v>132</v>
      </c>
      <c r="Q111" s="17" t="s">
        <v>133</v>
      </c>
      <c r="R111" s="18" t="s">
        <v>134</v>
      </c>
      <c r="S111" s="32">
        <v>500</v>
      </c>
      <c r="T111" s="19">
        <v>0</v>
      </c>
      <c r="U111" s="17" t="s">
        <v>62</v>
      </c>
      <c r="V111" s="17">
        <v>45713</v>
      </c>
      <c r="W111" s="18">
        <v>2</v>
      </c>
      <c r="X111" s="17">
        <v>45714</v>
      </c>
      <c r="Z111" s="45">
        <v>2</v>
      </c>
      <c r="AA111">
        <v>2025</v>
      </c>
      <c r="AB111" s="42">
        <v>2978000</v>
      </c>
      <c r="AC111" s="42">
        <v>0</v>
      </c>
    </row>
    <row r="112" spans="1:29">
      <c r="A112" t="s">
        <v>45</v>
      </c>
      <c r="B112" t="s">
        <v>46</v>
      </c>
      <c r="C112" t="s">
        <v>47</v>
      </c>
      <c r="D112" t="s">
        <v>206</v>
      </c>
      <c r="E112" t="s">
        <v>49</v>
      </c>
      <c r="F112" t="s">
        <v>63</v>
      </c>
      <c r="G112" t="s">
        <v>51</v>
      </c>
      <c r="H112" s="17" t="s">
        <v>58</v>
      </c>
      <c r="I112" t="s">
        <v>53</v>
      </c>
      <c r="J112" t="s">
        <v>167</v>
      </c>
      <c r="L112" t="s">
        <v>55</v>
      </c>
      <c r="M112" t="s">
        <v>56</v>
      </c>
      <c r="N112" t="s">
        <v>57</v>
      </c>
      <c r="O112" s="18" t="s">
        <v>58</v>
      </c>
      <c r="P112" s="18" t="s">
        <v>99</v>
      </c>
      <c r="Q112" s="17" t="s">
        <v>100</v>
      </c>
      <c r="R112" s="18" t="s">
        <v>101</v>
      </c>
      <c r="S112" s="32">
        <v>1</v>
      </c>
      <c r="T112" s="19">
        <v>0</v>
      </c>
      <c r="U112" s="17" t="s">
        <v>62</v>
      </c>
      <c r="V112" s="17">
        <v>45713</v>
      </c>
      <c r="W112" s="18">
        <v>2</v>
      </c>
      <c r="X112" s="17">
        <v>45714</v>
      </c>
      <c r="Z112" s="45">
        <v>2</v>
      </c>
      <c r="AA112">
        <v>2025</v>
      </c>
      <c r="AB112" s="42">
        <v>1232500</v>
      </c>
      <c r="AC112" s="42">
        <v>0</v>
      </c>
    </row>
    <row r="113" spans="1:29">
      <c r="A113" t="s">
        <v>45</v>
      </c>
      <c r="B113" t="s">
        <v>46</v>
      </c>
      <c r="C113" t="s">
        <v>47</v>
      </c>
      <c r="D113" t="s">
        <v>207</v>
      </c>
      <c r="E113" t="s">
        <v>49</v>
      </c>
      <c r="F113" t="s">
        <v>50</v>
      </c>
      <c r="G113" t="s">
        <v>51</v>
      </c>
      <c r="H113" s="17" t="s">
        <v>58</v>
      </c>
      <c r="I113" t="s">
        <v>53</v>
      </c>
      <c r="J113" t="s">
        <v>54</v>
      </c>
      <c r="L113" t="s">
        <v>55</v>
      </c>
      <c r="M113" t="s">
        <v>56</v>
      </c>
      <c r="N113" t="s">
        <v>57</v>
      </c>
      <c r="O113" s="18" t="s">
        <v>58</v>
      </c>
      <c r="P113" s="18" t="s">
        <v>72</v>
      </c>
      <c r="Q113" s="17" t="s">
        <v>73</v>
      </c>
      <c r="R113" s="18" t="s">
        <v>74</v>
      </c>
      <c r="S113" s="32">
        <v>156</v>
      </c>
      <c r="T113" s="19">
        <v>0</v>
      </c>
      <c r="U113" s="17" t="s">
        <v>62</v>
      </c>
      <c r="V113" s="17">
        <v>45716</v>
      </c>
      <c r="W113" s="18">
        <v>2</v>
      </c>
      <c r="X113" s="17">
        <v>45716</v>
      </c>
      <c r="Z113" s="45">
        <v>2</v>
      </c>
      <c r="AA113">
        <v>2025</v>
      </c>
      <c r="AB113" s="42">
        <v>3100968</v>
      </c>
      <c r="AC113" s="42">
        <v>0</v>
      </c>
    </row>
    <row r="114" spans="1:29">
      <c r="A114" t="s">
        <v>45</v>
      </c>
      <c r="B114" t="s">
        <v>46</v>
      </c>
      <c r="C114" t="s">
        <v>47</v>
      </c>
      <c r="D114" t="s">
        <v>207</v>
      </c>
      <c r="E114" t="s">
        <v>49</v>
      </c>
      <c r="F114" t="s">
        <v>63</v>
      </c>
      <c r="G114" t="s">
        <v>51</v>
      </c>
      <c r="H114" s="17" t="s">
        <v>58</v>
      </c>
      <c r="I114" t="s">
        <v>53</v>
      </c>
      <c r="J114" t="s">
        <v>54</v>
      </c>
      <c r="L114" t="s">
        <v>55</v>
      </c>
      <c r="M114" t="s">
        <v>56</v>
      </c>
      <c r="N114" t="s">
        <v>57</v>
      </c>
      <c r="O114" s="18" t="s">
        <v>58</v>
      </c>
      <c r="P114" s="18" t="s">
        <v>94</v>
      </c>
      <c r="Q114" s="17" t="s">
        <v>95</v>
      </c>
      <c r="R114" s="18" t="s">
        <v>96</v>
      </c>
      <c r="S114" s="32">
        <v>25</v>
      </c>
      <c r="T114" s="19">
        <v>0</v>
      </c>
      <c r="U114" s="17" t="s">
        <v>62</v>
      </c>
      <c r="V114" s="17">
        <v>45716</v>
      </c>
      <c r="W114" s="18">
        <v>2</v>
      </c>
      <c r="X114" s="17">
        <v>45716</v>
      </c>
      <c r="Z114" s="45">
        <v>2</v>
      </c>
      <c r="AA114">
        <v>2025</v>
      </c>
      <c r="AB114" s="42">
        <v>281975</v>
      </c>
      <c r="AC114" s="42">
        <v>0</v>
      </c>
    </row>
    <row r="115" spans="1:29">
      <c r="A115" t="s">
        <v>45</v>
      </c>
      <c r="B115" t="s">
        <v>46</v>
      </c>
      <c r="C115" t="s">
        <v>47</v>
      </c>
      <c r="D115" t="s">
        <v>207</v>
      </c>
      <c r="E115" t="s">
        <v>49</v>
      </c>
      <c r="F115" t="s">
        <v>67</v>
      </c>
      <c r="G115" t="s">
        <v>51</v>
      </c>
      <c r="H115" s="17" t="s">
        <v>58</v>
      </c>
      <c r="I115" t="s">
        <v>53</v>
      </c>
      <c r="J115" t="s">
        <v>54</v>
      </c>
      <c r="L115" t="s">
        <v>55</v>
      </c>
      <c r="M115" t="s">
        <v>56</v>
      </c>
      <c r="N115" t="s">
        <v>57</v>
      </c>
      <c r="O115" s="18" t="s">
        <v>58</v>
      </c>
      <c r="P115" s="18" t="s">
        <v>208</v>
      </c>
      <c r="Q115" s="17" t="s">
        <v>209</v>
      </c>
      <c r="R115" s="18" t="s">
        <v>210</v>
      </c>
      <c r="S115" s="32">
        <v>25</v>
      </c>
      <c r="T115" s="19">
        <v>0</v>
      </c>
      <c r="U115" s="17" t="s">
        <v>62</v>
      </c>
      <c r="V115" s="17">
        <v>45716</v>
      </c>
      <c r="W115" s="18">
        <v>2</v>
      </c>
      <c r="X115" s="17">
        <v>45716</v>
      </c>
      <c r="Z115" s="45">
        <v>2</v>
      </c>
      <c r="AA115">
        <v>2025</v>
      </c>
      <c r="AB115" s="42">
        <v>433675</v>
      </c>
      <c r="AC115" s="42">
        <v>0</v>
      </c>
    </row>
    <row r="116" spans="1:29">
      <c r="A116" t="s">
        <v>45</v>
      </c>
      <c r="B116" t="s">
        <v>46</v>
      </c>
      <c r="C116" t="s">
        <v>47</v>
      </c>
      <c r="D116" t="s">
        <v>207</v>
      </c>
      <c r="E116" t="s">
        <v>49</v>
      </c>
      <c r="F116" t="s">
        <v>71</v>
      </c>
      <c r="G116" t="s">
        <v>51</v>
      </c>
      <c r="H116" s="17" t="s">
        <v>58</v>
      </c>
      <c r="I116" t="s">
        <v>53</v>
      </c>
      <c r="J116" t="s">
        <v>54</v>
      </c>
      <c r="L116" t="s">
        <v>55</v>
      </c>
      <c r="M116" t="s">
        <v>56</v>
      </c>
      <c r="N116" t="s">
        <v>57</v>
      </c>
      <c r="O116" s="18" t="s">
        <v>58</v>
      </c>
      <c r="P116" s="18" t="s">
        <v>99</v>
      </c>
      <c r="Q116" s="17" t="s">
        <v>100</v>
      </c>
      <c r="R116" s="18" t="s">
        <v>101</v>
      </c>
      <c r="S116" s="32">
        <v>1</v>
      </c>
      <c r="T116" s="19">
        <v>0</v>
      </c>
      <c r="U116" s="17" t="s">
        <v>62</v>
      </c>
      <c r="V116" s="17">
        <v>45716</v>
      </c>
      <c r="W116" s="18">
        <v>2</v>
      </c>
      <c r="X116" s="17">
        <v>45716</v>
      </c>
      <c r="Z116" s="45">
        <v>2</v>
      </c>
      <c r="AA116">
        <v>2025</v>
      </c>
      <c r="AB116" s="42">
        <v>74200</v>
      </c>
      <c r="AC116" s="42">
        <v>0</v>
      </c>
    </row>
    <row r="117" spans="1:29">
      <c r="A117" t="s">
        <v>45</v>
      </c>
      <c r="B117" t="s">
        <v>46</v>
      </c>
      <c r="C117" t="s">
        <v>47</v>
      </c>
      <c r="D117" t="s">
        <v>211</v>
      </c>
      <c r="E117" t="s">
        <v>49</v>
      </c>
      <c r="F117" t="s">
        <v>50</v>
      </c>
      <c r="G117" t="s">
        <v>51</v>
      </c>
      <c r="H117" s="17" t="s">
        <v>58</v>
      </c>
      <c r="I117" t="s">
        <v>53</v>
      </c>
      <c r="J117" t="s">
        <v>167</v>
      </c>
      <c r="L117" t="s">
        <v>55</v>
      </c>
      <c r="M117" t="s">
        <v>56</v>
      </c>
      <c r="N117" t="s">
        <v>57</v>
      </c>
      <c r="O117" s="18" t="s">
        <v>58</v>
      </c>
      <c r="P117" s="18" t="s">
        <v>132</v>
      </c>
      <c r="Q117" s="17" t="s">
        <v>133</v>
      </c>
      <c r="R117" s="18" t="s">
        <v>134</v>
      </c>
      <c r="S117" s="32">
        <v>42</v>
      </c>
      <c r="T117" s="19">
        <v>0</v>
      </c>
      <c r="U117" s="17" t="s">
        <v>62</v>
      </c>
      <c r="V117" s="17">
        <v>45715</v>
      </c>
      <c r="W117" s="18">
        <v>2</v>
      </c>
      <c r="X117" s="17">
        <v>45716</v>
      </c>
      <c r="Z117" s="45">
        <v>2</v>
      </c>
      <c r="AA117">
        <v>2025</v>
      </c>
      <c r="AB117" s="42">
        <v>250152</v>
      </c>
      <c r="AC117" s="42">
        <v>0</v>
      </c>
    </row>
    <row r="118" spans="1:29">
      <c r="A118" t="s">
        <v>45</v>
      </c>
      <c r="B118" t="s">
        <v>46</v>
      </c>
      <c r="C118" t="s">
        <v>47</v>
      </c>
      <c r="D118" t="s">
        <v>211</v>
      </c>
      <c r="E118" t="s">
        <v>49</v>
      </c>
      <c r="F118" t="s">
        <v>63</v>
      </c>
      <c r="G118" t="s">
        <v>51</v>
      </c>
      <c r="H118" s="17" t="s">
        <v>58</v>
      </c>
      <c r="I118" t="s">
        <v>53</v>
      </c>
      <c r="J118" t="s">
        <v>167</v>
      </c>
      <c r="L118" t="s">
        <v>55</v>
      </c>
      <c r="M118" t="s">
        <v>56</v>
      </c>
      <c r="N118" t="s">
        <v>57</v>
      </c>
      <c r="O118" s="18" t="s">
        <v>58</v>
      </c>
      <c r="P118" s="18" t="s">
        <v>172</v>
      </c>
      <c r="Q118" s="17" t="s">
        <v>173</v>
      </c>
      <c r="R118" s="18" t="s">
        <v>174</v>
      </c>
      <c r="S118" s="32">
        <v>3</v>
      </c>
      <c r="T118" s="19">
        <v>0</v>
      </c>
      <c r="U118" s="17" t="s">
        <v>62</v>
      </c>
      <c r="V118" s="17">
        <v>45715</v>
      </c>
      <c r="W118" s="18">
        <v>2</v>
      </c>
      <c r="X118" s="17">
        <v>45716</v>
      </c>
      <c r="Z118" s="45">
        <v>2</v>
      </c>
      <c r="AA118">
        <v>2025</v>
      </c>
      <c r="AB118" s="42">
        <v>138165</v>
      </c>
      <c r="AC118" s="42">
        <v>0</v>
      </c>
    </row>
    <row r="119" spans="1:29">
      <c r="A119" t="s">
        <v>45</v>
      </c>
      <c r="B119" t="s">
        <v>46</v>
      </c>
      <c r="C119" t="s">
        <v>47</v>
      </c>
      <c r="D119" t="s">
        <v>211</v>
      </c>
      <c r="E119" t="s">
        <v>49</v>
      </c>
      <c r="F119" t="s">
        <v>67</v>
      </c>
      <c r="G119" t="s">
        <v>51</v>
      </c>
      <c r="H119" s="17" t="s">
        <v>58</v>
      </c>
      <c r="I119" t="s">
        <v>53</v>
      </c>
      <c r="J119" t="s">
        <v>167</v>
      </c>
      <c r="L119" t="s">
        <v>55</v>
      </c>
      <c r="M119" t="s">
        <v>56</v>
      </c>
      <c r="N119" t="s">
        <v>57</v>
      </c>
      <c r="O119" s="18" t="s">
        <v>58</v>
      </c>
      <c r="P119" s="18" t="s">
        <v>99</v>
      </c>
      <c r="Q119" s="17" t="s">
        <v>100</v>
      </c>
      <c r="R119" s="18" t="s">
        <v>101</v>
      </c>
      <c r="S119" s="32">
        <v>1</v>
      </c>
      <c r="T119" s="19">
        <v>0</v>
      </c>
      <c r="U119" s="17" t="s">
        <v>62</v>
      </c>
      <c r="V119" s="17">
        <v>45715</v>
      </c>
      <c r="W119" s="18">
        <v>2</v>
      </c>
      <c r="X119" s="17">
        <v>45716</v>
      </c>
      <c r="Z119" s="45">
        <v>2</v>
      </c>
      <c r="AA119">
        <v>2025</v>
      </c>
      <c r="AB119" s="42">
        <v>58000</v>
      </c>
      <c r="AC119" s="42">
        <v>0</v>
      </c>
    </row>
    <row r="120" spans="1:29">
      <c r="A120" t="s">
        <v>45</v>
      </c>
      <c r="B120" t="s">
        <v>46</v>
      </c>
      <c r="C120" t="s">
        <v>47</v>
      </c>
      <c r="D120" t="s">
        <v>212</v>
      </c>
      <c r="E120" t="s">
        <v>115</v>
      </c>
      <c r="F120" t="s">
        <v>50</v>
      </c>
      <c r="G120" t="s">
        <v>116</v>
      </c>
      <c r="H120" s="17" t="s">
        <v>52</v>
      </c>
      <c r="I120" t="s">
        <v>53</v>
      </c>
      <c r="J120" t="s">
        <v>190</v>
      </c>
      <c r="L120" t="s">
        <v>55</v>
      </c>
      <c r="M120" t="s">
        <v>56</v>
      </c>
      <c r="N120" t="s">
        <v>57</v>
      </c>
      <c r="O120" s="18" t="s">
        <v>58</v>
      </c>
      <c r="P120" s="18" t="s">
        <v>72</v>
      </c>
      <c r="Q120" s="17" t="s">
        <v>122</v>
      </c>
      <c r="R120" s="18" t="s">
        <v>123</v>
      </c>
      <c r="S120" s="32">
        <v>4</v>
      </c>
      <c r="T120" s="19">
        <v>4</v>
      </c>
      <c r="U120" s="17" t="s">
        <v>119</v>
      </c>
      <c r="V120" s="17">
        <v>45737</v>
      </c>
      <c r="W120" s="18">
        <v>3</v>
      </c>
      <c r="X120" s="17">
        <v>45749</v>
      </c>
      <c r="Y120" s="17">
        <v>45744</v>
      </c>
      <c r="Z120" s="45">
        <v>3</v>
      </c>
      <c r="AA120">
        <v>2025</v>
      </c>
      <c r="AB120" s="42">
        <v>1405320</v>
      </c>
      <c r="AC120" s="42">
        <v>1405320</v>
      </c>
    </row>
    <row r="121" spans="1:29">
      <c r="A121" t="s">
        <v>45</v>
      </c>
      <c r="B121" t="s">
        <v>46</v>
      </c>
      <c r="C121" t="s">
        <v>47</v>
      </c>
      <c r="D121" t="s">
        <v>213</v>
      </c>
      <c r="E121" t="s">
        <v>214</v>
      </c>
      <c r="F121" t="s">
        <v>50</v>
      </c>
      <c r="G121" t="s">
        <v>51</v>
      </c>
      <c r="H121" s="17" t="s">
        <v>215</v>
      </c>
      <c r="I121" t="s">
        <v>53</v>
      </c>
      <c r="J121" t="s">
        <v>54</v>
      </c>
      <c r="L121" t="s">
        <v>55</v>
      </c>
      <c r="M121" t="s">
        <v>56</v>
      </c>
      <c r="N121" t="s">
        <v>57</v>
      </c>
      <c r="O121" s="18" t="s">
        <v>58</v>
      </c>
      <c r="P121" s="18" t="s">
        <v>99</v>
      </c>
      <c r="Q121" s="17" t="s">
        <v>100</v>
      </c>
      <c r="R121" s="18" t="s">
        <v>101</v>
      </c>
      <c r="S121" s="32">
        <v>80</v>
      </c>
      <c r="T121" s="19">
        <v>80</v>
      </c>
      <c r="U121" s="17" t="s">
        <v>62</v>
      </c>
      <c r="V121" s="17">
        <v>45734</v>
      </c>
      <c r="W121" s="18">
        <v>3</v>
      </c>
      <c r="X121" s="17">
        <v>45734</v>
      </c>
      <c r="Y121" s="17">
        <v>45735</v>
      </c>
      <c r="Z121" s="45">
        <v>3</v>
      </c>
      <c r="AA121">
        <v>2025</v>
      </c>
      <c r="AB121" s="42">
        <v>13280</v>
      </c>
      <c r="AC121" s="42">
        <v>-13280</v>
      </c>
    </row>
    <row r="122" spans="1:29">
      <c r="A122" t="s">
        <v>45</v>
      </c>
      <c r="B122" t="s">
        <v>46</v>
      </c>
      <c r="C122" t="s">
        <v>47</v>
      </c>
      <c r="D122" t="s">
        <v>216</v>
      </c>
      <c r="E122" t="s">
        <v>115</v>
      </c>
      <c r="F122" t="s">
        <v>50</v>
      </c>
      <c r="G122" t="s">
        <v>116</v>
      </c>
      <c r="H122" s="17" t="s">
        <v>52</v>
      </c>
      <c r="I122" t="s">
        <v>53</v>
      </c>
      <c r="J122" t="s">
        <v>110</v>
      </c>
      <c r="L122" t="s">
        <v>55</v>
      </c>
      <c r="M122" t="s">
        <v>56</v>
      </c>
      <c r="N122" t="s">
        <v>57</v>
      </c>
      <c r="O122" s="18" t="s">
        <v>58</v>
      </c>
      <c r="P122" s="18" t="s">
        <v>72</v>
      </c>
      <c r="Q122" s="17" t="s">
        <v>122</v>
      </c>
      <c r="R122" s="18" t="s">
        <v>123</v>
      </c>
      <c r="S122" s="32">
        <v>2</v>
      </c>
      <c r="T122" s="19">
        <v>2</v>
      </c>
      <c r="U122" s="17" t="s">
        <v>119</v>
      </c>
      <c r="V122" s="17">
        <v>45737</v>
      </c>
      <c r="W122" s="18">
        <v>3</v>
      </c>
      <c r="X122" s="17">
        <v>45749</v>
      </c>
      <c r="Y122" s="17">
        <v>45743</v>
      </c>
      <c r="Z122" s="45">
        <v>3</v>
      </c>
      <c r="AA122">
        <v>2025</v>
      </c>
      <c r="AB122" s="42">
        <v>702660</v>
      </c>
      <c r="AC122" s="42">
        <v>702660</v>
      </c>
    </row>
    <row r="123" spans="1:29">
      <c r="A123" t="s">
        <v>45</v>
      </c>
      <c r="B123" t="s">
        <v>46</v>
      </c>
      <c r="C123" t="s">
        <v>47</v>
      </c>
      <c r="D123" t="s">
        <v>216</v>
      </c>
      <c r="E123" t="s">
        <v>115</v>
      </c>
      <c r="F123" t="s">
        <v>63</v>
      </c>
      <c r="G123" t="s">
        <v>116</v>
      </c>
      <c r="H123" s="17" t="s">
        <v>52</v>
      </c>
      <c r="I123" t="s">
        <v>53</v>
      </c>
      <c r="J123" t="s">
        <v>110</v>
      </c>
      <c r="L123" t="s">
        <v>55</v>
      </c>
      <c r="M123" t="s">
        <v>56</v>
      </c>
      <c r="N123" t="s">
        <v>57</v>
      </c>
      <c r="O123" s="18" t="s">
        <v>58</v>
      </c>
      <c r="P123" s="18" t="s">
        <v>72</v>
      </c>
      <c r="Q123" s="17" t="s">
        <v>117</v>
      </c>
      <c r="R123" s="18" t="s">
        <v>118</v>
      </c>
      <c r="S123" s="32">
        <v>4</v>
      </c>
      <c r="T123" s="19">
        <v>4</v>
      </c>
      <c r="U123" s="17" t="s">
        <v>119</v>
      </c>
      <c r="V123" s="17">
        <v>45737</v>
      </c>
      <c r="W123" s="18">
        <v>3</v>
      </c>
      <c r="X123" s="17">
        <v>45749</v>
      </c>
      <c r="Y123" s="17">
        <v>45743</v>
      </c>
      <c r="Z123" s="45">
        <v>3</v>
      </c>
      <c r="AA123">
        <v>2025</v>
      </c>
      <c r="AB123" s="42">
        <v>1406000</v>
      </c>
      <c r="AC123" s="42">
        <v>1406000</v>
      </c>
    </row>
    <row r="124" spans="1:29">
      <c r="A124" t="s">
        <v>45</v>
      </c>
      <c r="B124" t="s">
        <v>46</v>
      </c>
      <c r="C124" t="s">
        <v>47</v>
      </c>
      <c r="D124" t="s">
        <v>217</v>
      </c>
      <c r="E124" t="s">
        <v>49</v>
      </c>
      <c r="F124" t="s">
        <v>50</v>
      </c>
      <c r="G124" t="s">
        <v>51</v>
      </c>
      <c r="H124" s="17" t="s">
        <v>52</v>
      </c>
      <c r="I124" t="s">
        <v>53</v>
      </c>
      <c r="J124" t="s">
        <v>54</v>
      </c>
      <c r="L124" t="s">
        <v>55</v>
      </c>
      <c r="M124" t="s">
        <v>56</v>
      </c>
      <c r="N124" t="s">
        <v>57</v>
      </c>
      <c r="O124" s="18" t="s">
        <v>58</v>
      </c>
      <c r="P124" s="18" t="s">
        <v>99</v>
      </c>
      <c r="Q124" s="17" t="s">
        <v>100</v>
      </c>
      <c r="R124" s="18" t="s">
        <v>101</v>
      </c>
      <c r="S124" s="32">
        <v>1</v>
      </c>
      <c r="T124" s="19">
        <v>1</v>
      </c>
      <c r="U124" s="17" t="s">
        <v>62</v>
      </c>
      <c r="V124" s="17">
        <v>45688</v>
      </c>
      <c r="W124" s="18">
        <v>1</v>
      </c>
      <c r="X124" s="17">
        <v>45716</v>
      </c>
      <c r="Y124" s="17">
        <v>45722</v>
      </c>
      <c r="Z124" s="45">
        <v>3</v>
      </c>
      <c r="AA124">
        <v>2025</v>
      </c>
      <c r="AB124" s="42">
        <v>121500</v>
      </c>
      <c r="AC124" s="42">
        <v>121500</v>
      </c>
    </row>
    <row r="125" spans="1:29">
      <c r="A125" t="s">
        <v>45</v>
      </c>
      <c r="B125" t="s">
        <v>46</v>
      </c>
      <c r="C125" t="s">
        <v>47</v>
      </c>
      <c r="D125" t="s">
        <v>218</v>
      </c>
      <c r="E125" t="s">
        <v>115</v>
      </c>
      <c r="F125" t="s">
        <v>50</v>
      </c>
      <c r="G125" t="s">
        <v>116</v>
      </c>
      <c r="H125" s="17" t="s">
        <v>52</v>
      </c>
      <c r="I125" t="s">
        <v>53</v>
      </c>
      <c r="J125" t="s">
        <v>121</v>
      </c>
      <c r="L125" t="s">
        <v>55</v>
      </c>
      <c r="M125" t="s">
        <v>56</v>
      </c>
      <c r="N125" t="s">
        <v>57</v>
      </c>
      <c r="O125" s="18" t="s">
        <v>58</v>
      </c>
      <c r="P125" s="18" t="s">
        <v>72</v>
      </c>
      <c r="Q125" s="17" t="s">
        <v>145</v>
      </c>
      <c r="R125" s="18" t="s">
        <v>146</v>
      </c>
      <c r="S125" s="32">
        <v>2</v>
      </c>
      <c r="T125" s="19">
        <v>2</v>
      </c>
      <c r="U125" s="17" t="s">
        <v>119</v>
      </c>
      <c r="V125" s="17">
        <v>45716</v>
      </c>
      <c r="W125" s="18">
        <v>2</v>
      </c>
      <c r="X125" s="17">
        <v>45728</v>
      </c>
      <c r="Y125" s="17">
        <v>45722</v>
      </c>
      <c r="Z125" s="45">
        <v>3</v>
      </c>
      <c r="AA125">
        <v>2025</v>
      </c>
      <c r="AB125" s="42">
        <v>1464960</v>
      </c>
      <c r="AC125" s="42">
        <v>1464960</v>
      </c>
    </row>
    <row r="126" spans="1:29">
      <c r="A126" t="s">
        <v>45</v>
      </c>
      <c r="B126" t="s">
        <v>46</v>
      </c>
      <c r="C126" t="s">
        <v>47</v>
      </c>
      <c r="D126" t="s">
        <v>218</v>
      </c>
      <c r="E126" t="s">
        <v>115</v>
      </c>
      <c r="F126" t="s">
        <v>63</v>
      </c>
      <c r="G126" t="s">
        <v>116</v>
      </c>
      <c r="H126" s="17" t="s">
        <v>52</v>
      </c>
      <c r="I126" t="s">
        <v>53</v>
      </c>
      <c r="J126" t="s">
        <v>121</v>
      </c>
      <c r="L126" t="s">
        <v>55</v>
      </c>
      <c r="M126" t="s">
        <v>56</v>
      </c>
      <c r="N126" t="s">
        <v>57</v>
      </c>
      <c r="O126" s="18" t="s">
        <v>58</v>
      </c>
      <c r="P126" s="18" t="s">
        <v>72</v>
      </c>
      <c r="Q126" s="17" t="s">
        <v>122</v>
      </c>
      <c r="R126" s="18" t="s">
        <v>123</v>
      </c>
      <c r="S126" s="32">
        <v>2</v>
      </c>
      <c r="T126" s="19">
        <v>2</v>
      </c>
      <c r="U126" s="17" t="s">
        <v>119</v>
      </c>
      <c r="V126" s="17">
        <v>45716</v>
      </c>
      <c r="W126" s="18">
        <v>2</v>
      </c>
      <c r="X126" s="17">
        <v>45728</v>
      </c>
      <c r="Y126" s="17">
        <v>45722</v>
      </c>
      <c r="Z126" s="45">
        <v>3</v>
      </c>
      <c r="AA126">
        <v>2025</v>
      </c>
      <c r="AB126" s="42">
        <v>702660</v>
      </c>
      <c r="AC126" s="42">
        <v>702660</v>
      </c>
    </row>
    <row r="127" spans="1:29">
      <c r="A127" t="s">
        <v>45</v>
      </c>
      <c r="B127" t="s">
        <v>46</v>
      </c>
      <c r="C127" t="s">
        <v>47</v>
      </c>
      <c r="D127" t="s">
        <v>218</v>
      </c>
      <c r="E127" t="s">
        <v>115</v>
      </c>
      <c r="F127" t="s">
        <v>67</v>
      </c>
      <c r="G127" t="s">
        <v>116</v>
      </c>
      <c r="H127" s="17" t="s">
        <v>52</v>
      </c>
      <c r="I127" t="s">
        <v>53</v>
      </c>
      <c r="J127" t="s">
        <v>121</v>
      </c>
      <c r="L127" t="s">
        <v>55</v>
      </c>
      <c r="M127" t="s">
        <v>56</v>
      </c>
      <c r="N127" t="s">
        <v>57</v>
      </c>
      <c r="O127" s="18" t="s">
        <v>58</v>
      </c>
      <c r="P127" s="18" t="s">
        <v>72</v>
      </c>
      <c r="Q127" s="17" t="s">
        <v>117</v>
      </c>
      <c r="R127" s="18" t="s">
        <v>118</v>
      </c>
      <c r="S127" s="32">
        <v>2</v>
      </c>
      <c r="T127" s="19">
        <v>2</v>
      </c>
      <c r="U127" s="17" t="s">
        <v>119</v>
      </c>
      <c r="V127" s="17">
        <v>45716</v>
      </c>
      <c r="W127" s="18">
        <v>2</v>
      </c>
      <c r="X127" s="17">
        <v>45728</v>
      </c>
      <c r="Y127" s="17">
        <v>45722</v>
      </c>
      <c r="Z127" s="45">
        <v>3</v>
      </c>
      <c r="AA127">
        <v>2025</v>
      </c>
      <c r="AB127" s="42">
        <v>703000</v>
      </c>
      <c r="AC127" s="42">
        <v>703000</v>
      </c>
    </row>
    <row r="128" spans="1:29">
      <c r="A128" t="s">
        <v>45</v>
      </c>
      <c r="B128" t="s">
        <v>46</v>
      </c>
      <c r="C128" t="s">
        <v>47</v>
      </c>
      <c r="D128" t="s">
        <v>219</v>
      </c>
      <c r="E128" t="s">
        <v>49</v>
      </c>
      <c r="F128" t="s">
        <v>50</v>
      </c>
      <c r="G128" t="s">
        <v>51</v>
      </c>
      <c r="H128" s="17" t="s">
        <v>52</v>
      </c>
      <c r="I128" t="s">
        <v>53</v>
      </c>
      <c r="J128" t="s">
        <v>54</v>
      </c>
      <c r="L128" t="s">
        <v>55</v>
      </c>
      <c r="M128" t="s">
        <v>56</v>
      </c>
      <c r="N128" t="s">
        <v>57</v>
      </c>
      <c r="O128" s="18" t="s">
        <v>58</v>
      </c>
      <c r="P128" s="18" t="s">
        <v>86</v>
      </c>
      <c r="Q128" s="17" t="s">
        <v>87</v>
      </c>
      <c r="R128" s="18" t="s">
        <v>88</v>
      </c>
      <c r="S128" s="32">
        <v>30</v>
      </c>
      <c r="T128" s="19">
        <v>30</v>
      </c>
      <c r="U128" s="17" t="s">
        <v>62</v>
      </c>
      <c r="V128" s="17">
        <v>45716</v>
      </c>
      <c r="W128" s="18">
        <v>2</v>
      </c>
      <c r="X128" s="17">
        <v>45716</v>
      </c>
      <c r="Y128" s="17">
        <v>45723</v>
      </c>
      <c r="Z128" s="45">
        <v>3</v>
      </c>
      <c r="AA128">
        <v>2025</v>
      </c>
      <c r="AB128" s="42">
        <v>972510</v>
      </c>
      <c r="AC128" s="42">
        <v>972510</v>
      </c>
    </row>
    <row r="129" spans="1:29">
      <c r="A129" t="s">
        <v>45</v>
      </c>
      <c r="B129" t="s">
        <v>46</v>
      </c>
      <c r="C129" t="s">
        <v>47</v>
      </c>
      <c r="D129" t="s">
        <v>220</v>
      </c>
      <c r="E129" t="s">
        <v>49</v>
      </c>
      <c r="F129" t="s">
        <v>50</v>
      </c>
      <c r="G129" t="s">
        <v>51</v>
      </c>
      <c r="H129" s="17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18" t="s">
        <v>58</v>
      </c>
      <c r="P129" s="18" t="s">
        <v>72</v>
      </c>
      <c r="Q129" s="17" t="s">
        <v>221</v>
      </c>
      <c r="R129" s="18" t="s">
        <v>222</v>
      </c>
      <c r="S129" s="32">
        <v>500</v>
      </c>
      <c r="T129" s="19">
        <v>250</v>
      </c>
      <c r="U129" s="17" t="s">
        <v>62</v>
      </c>
      <c r="V129" s="17">
        <v>45716</v>
      </c>
      <c r="W129" s="18">
        <v>2</v>
      </c>
      <c r="X129" s="17">
        <v>45807</v>
      </c>
      <c r="Y129" s="17">
        <v>45730</v>
      </c>
      <c r="Z129" s="45">
        <v>3</v>
      </c>
      <c r="AA129">
        <v>2025</v>
      </c>
      <c r="AB129" s="42">
        <v>5947000</v>
      </c>
      <c r="AC129" s="42">
        <v>2973500</v>
      </c>
    </row>
    <row r="130" spans="1:29">
      <c r="A130" t="s">
        <v>45</v>
      </c>
      <c r="B130" t="s">
        <v>46</v>
      </c>
      <c r="C130" t="s">
        <v>47</v>
      </c>
      <c r="D130" t="s">
        <v>220</v>
      </c>
      <c r="E130" t="s">
        <v>49</v>
      </c>
      <c r="F130" t="s">
        <v>63</v>
      </c>
      <c r="G130" t="s">
        <v>51</v>
      </c>
      <c r="H130" s="17" t="s">
        <v>52</v>
      </c>
      <c r="I130" t="s">
        <v>53</v>
      </c>
      <c r="J130" t="s">
        <v>54</v>
      </c>
      <c r="L130" t="s">
        <v>55</v>
      </c>
      <c r="M130" t="s">
        <v>56</v>
      </c>
      <c r="N130" t="s">
        <v>57</v>
      </c>
      <c r="O130" s="18" t="s">
        <v>58</v>
      </c>
      <c r="P130" s="18" t="s">
        <v>99</v>
      </c>
      <c r="Q130" s="17" t="s">
        <v>100</v>
      </c>
      <c r="R130" s="18" t="s">
        <v>101</v>
      </c>
      <c r="S130" s="32">
        <v>500</v>
      </c>
      <c r="T130" s="19">
        <v>250</v>
      </c>
      <c r="U130" s="17" t="s">
        <v>62</v>
      </c>
      <c r="V130" s="17">
        <v>45716</v>
      </c>
      <c r="W130" s="18">
        <v>2</v>
      </c>
      <c r="X130" s="17">
        <v>45807</v>
      </c>
      <c r="Y130" s="17">
        <v>45730</v>
      </c>
      <c r="Z130" s="45">
        <v>3</v>
      </c>
      <c r="AA130">
        <v>2025</v>
      </c>
      <c r="AB130" s="42">
        <v>162000</v>
      </c>
      <c r="AC130" s="42">
        <v>81000</v>
      </c>
    </row>
    <row r="131" spans="1:29">
      <c r="A131" t="s">
        <v>45</v>
      </c>
      <c r="B131" t="s">
        <v>46</v>
      </c>
      <c r="C131" t="s">
        <v>47</v>
      </c>
      <c r="D131" t="s">
        <v>220</v>
      </c>
      <c r="E131" t="s">
        <v>49</v>
      </c>
      <c r="F131" t="s">
        <v>67</v>
      </c>
      <c r="G131" t="s">
        <v>51</v>
      </c>
      <c r="H131" s="17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18" t="s">
        <v>58</v>
      </c>
      <c r="P131" s="18" t="s">
        <v>72</v>
      </c>
      <c r="Q131" s="17" t="s">
        <v>122</v>
      </c>
      <c r="R131" s="18" t="s">
        <v>123</v>
      </c>
      <c r="S131" s="32">
        <v>550</v>
      </c>
      <c r="T131" s="19">
        <v>300</v>
      </c>
      <c r="U131" s="17" t="s">
        <v>62</v>
      </c>
      <c r="V131" s="17">
        <v>45716</v>
      </c>
      <c r="W131" s="18">
        <v>2</v>
      </c>
      <c r="X131" s="17">
        <v>45807</v>
      </c>
      <c r="Y131" s="17">
        <v>45730</v>
      </c>
      <c r="Z131" s="45">
        <v>3</v>
      </c>
      <c r="AA131">
        <v>2025</v>
      </c>
      <c r="AB131" s="42">
        <v>2429900</v>
      </c>
      <c r="AC131" s="42">
        <v>1325400</v>
      </c>
    </row>
    <row r="132" spans="1:29">
      <c r="A132" t="s">
        <v>45</v>
      </c>
      <c r="B132" t="s">
        <v>46</v>
      </c>
      <c r="C132" t="s">
        <v>47</v>
      </c>
      <c r="D132" t="s">
        <v>220</v>
      </c>
      <c r="E132" t="s">
        <v>49</v>
      </c>
      <c r="F132" t="s">
        <v>71</v>
      </c>
      <c r="G132" t="s">
        <v>51</v>
      </c>
      <c r="H132" s="17" t="s">
        <v>52</v>
      </c>
      <c r="I132" t="s">
        <v>53</v>
      </c>
      <c r="J132" t="s">
        <v>54</v>
      </c>
      <c r="L132" t="s">
        <v>55</v>
      </c>
      <c r="M132" t="s">
        <v>56</v>
      </c>
      <c r="N132" t="s">
        <v>57</v>
      </c>
      <c r="O132" s="18" t="s">
        <v>58</v>
      </c>
      <c r="P132" s="18" t="s">
        <v>99</v>
      </c>
      <c r="Q132" s="17" t="s">
        <v>100</v>
      </c>
      <c r="R132" s="18" t="s">
        <v>101</v>
      </c>
      <c r="S132" s="32">
        <v>550</v>
      </c>
      <c r="T132" s="19">
        <v>300</v>
      </c>
      <c r="U132" s="17" t="s">
        <v>62</v>
      </c>
      <c r="V132" s="17">
        <v>45716</v>
      </c>
      <c r="W132" s="18">
        <v>2</v>
      </c>
      <c r="X132" s="17">
        <v>45807</v>
      </c>
      <c r="Y132" s="17">
        <v>45730</v>
      </c>
      <c r="Z132" s="45">
        <v>3</v>
      </c>
      <c r="AA132">
        <v>2025</v>
      </c>
      <c r="AB132" s="42">
        <v>69300</v>
      </c>
      <c r="AC132" s="42">
        <v>37800</v>
      </c>
    </row>
    <row r="133" spans="1:29">
      <c r="A133" t="s">
        <v>45</v>
      </c>
      <c r="B133" t="s">
        <v>46</v>
      </c>
      <c r="C133" t="s">
        <v>47</v>
      </c>
      <c r="D133" t="s">
        <v>223</v>
      </c>
      <c r="E133" t="s">
        <v>49</v>
      </c>
      <c r="F133" t="s">
        <v>50</v>
      </c>
      <c r="G133" t="s">
        <v>51</v>
      </c>
      <c r="H133" s="17" t="s">
        <v>58</v>
      </c>
      <c r="I133" t="s">
        <v>53</v>
      </c>
      <c r="J133" t="s">
        <v>224</v>
      </c>
      <c r="L133" t="s">
        <v>55</v>
      </c>
      <c r="M133" t="s">
        <v>56</v>
      </c>
      <c r="N133" t="s">
        <v>57</v>
      </c>
      <c r="O133" s="18" t="s">
        <v>58</v>
      </c>
      <c r="P133" s="18" t="s">
        <v>68</v>
      </c>
      <c r="Q133" s="17" t="s">
        <v>225</v>
      </c>
      <c r="R133" s="18" t="s">
        <v>226</v>
      </c>
      <c r="S133" s="32">
        <v>300</v>
      </c>
      <c r="T133" s="19">
        <v>0</v>
      </c>
      <c r="U133" s="17" t="s">
        <v>227</v>
      </c>
      <c r="V133" s="17">
        <v>45742</v>
      </c>
      <c r="W133" s="18">
        <v>3</v>
      </c>
      <c r="X133" s="17">
        <v>45743</v>
      </c>
      <c r="Z133" s="45">
        <v>3</v>
      </c>
      <c r="AA133">
        <v>2025</v>
      </c>
      <c r="AB133" s="42">
        <v>3628800</v>
      </c>
      <c r="AC133" s="42">
        <v>0</v>
      </c>
    </row>
    <row r="134" spans="1:29">
      <c r="A134" t="s">
        <v>45</v>
      </c>
      <c r="B134" t="s">
        <v>46</v>
      </c>
      <c r="C134" t="s">
        <v>47</v>
      </c>
      <c r="D134" t="s">
        <v>223</v>
      </c>
      <c r="E134" t="s">
        <v>49</v>
      </c>
      <c r="F134" t="s">
        <v>63</v>
      </c>
      <c r="G134" t="s">
        <v>51</v>
      </c>
      <c r="H134" s="17" t="s">
        <v>58</v>
      </c>
      <c r="I134" t="s">
        <v>53</v>
      </c>
      <c r="J134" t="s">
        <v>224</v>
      </c>
      <c r="L134" t="s">
        <v>55</v>
      </c>
      <c r="M134" t="s">
        <v>56</v>
      </c>
      <c r="N134" t="s">
        <v>57</v>
      </c>
      <c r="O134" s="18" t="s">
        <v>58</v>
      </c>
      <c r="P134" s="18" t="s">
        <v>99</v>
      </c>
      <c r="Q134" s="17" t="s">
        <v>100</v>
      </c>
      <c r="R134" s="18" t="s">
        <v>101</v>
      </c>
      <c r="S134" s="32">
        <v>300</v>
      </c>
      <c r="T134" s="19">
        <v>0</v>
      </c>
      <c r="U134" s="17" t="s">
        <v>62</v>
      </c>
      <c r="V134" s="17">
        <v>45742</v>
      </c>
      <c r="W134" s="18">
        <v>3</v>
      </c>
      <c r="X134" s="17">
        <v>45743</v>
      </c>
      <c r="Z134" s="45">
        <v>3</v>
      </c>
      <c r="AA134">
        <v>2025</v>
      </c>
      <c r="AB134" s="42">
        <v>1080000</v>
      </c>
      <c r="AC134" s="42">
        <v>0</v>
      </c>
    </row>
    <row r="135" spans="1:29">
      <c r="A135" t="s">
        <v>45</v>
      </c>
      <c r="B135" t="s">
        <v>46</v>
      </c>
      <c r="C135" t="s">
        <v>47</v>
      </c>
      <c r="D135" t="s">
        <v>223</v>
      </c>
      <c r="E135" t="s">
        <v>49</v>
      </c>
      <c r="F135" t="s">
        <v>67</v>
      </c>
      <c r="G135" t="s">
        <v>51</v>
      </c>
      <c r="H135" s="17" t="s">
        <v>58</v>
      </c>
      <c r="I135" t="s">
        <v>53</v>
      </c>
      <c r="J135" t="s">
        <v>224</v>
      </c>
      <c r="L135" t="s">
        <v>55</v>
      </c>
      <c r="M135" t="s">
        <v>56</v>
      </c>
      <c r="N135" t="s">
        <v>57</v>
      </c>
      <c r="O135" s="18" t="s">
        <v>58</v>
      </c>
      <c r="P135" s="18" t="s">
        <v>76</v>
      </c>
      <c r="Q135" s="17" t="s">
        <v>228</v>
      </c>
      <c r="R135" s="18" t="s">
        <v>229</v>
      </c>
      <c r="S135" s="32">
        <v>305</v>
      </c>
      <c r="T135" s="19">
        <v>0</v>
      </c>
      <c r="U135" s="17" t="s">
        <v>62</v>
      </c>
      <c r="V135" s="17">
        <v>45742</v>
      </c>
      <c r="W135" s="18">
        <v>3</v>
      </c>
      <c r="X135" s="17">
        <v>45743</v>
      </c>
      <c r="Z135" s="45">
        <v>3</v>
      </c>
      <c r="AA135">
        <v>2025</v>
      </c>
      <c r="AB135" s="42">
        <v>3908270</v>
      </c>
      <c r="AC135" s="42">
        <v>0</v>
      </c>
    </row>
    <row r="136" spans="1:29">
      <c r="A136" t="s">
        <v>45</v>
      </c>
      <c r="B136" t="s">
        <v>46</v>
      </c>
      <c r="C136" t="s">
        <v>47</v>
      </c>
      <c r="D136" t="s">
        <v>223</v>
      </c>
      <c r="E136" t="s">
        <v>49</v>
      </c>
      <c r="F136" t="s">
        <v>71</v>
      </c>
      <c r="G136" t="s">
        <v>51</v>
      </c>
      <c r="H136" s="17" t="s">
        <v>58</v>
      </c>
      <c r="I136" t="s">
        <v>53</v>
      </c>
      <c r="J136" t="s">
        <v>224</v>
      </c>
      <c r="L136" t="s">
        <v>55</v>
      </c>
      <c r="M136" t="s">
        <v>56</v>
      </c>
      <c r="N136" t="s">
        <v>57</v>
      </c>
      <c r="O136" s="18" t="s">
        <v>58</v>
      </c>
      <c r="P136" s="18" t="s">
        <v>99</v>
      </c>
      <c r="Q136" s="17" t="s">
        <v>100</v>
      </c>
      <c r="R136" s="18" t="s">
        <v>101</v>
      </c>
      <c r="S136" s="32">
        <v>305</v>
      </c>
      <c r="T136" s="19">
        <v>0</v>
      </c>
      <c r="U136" s="17" t="s">
        <v>62</v>
      </c>
      <c r="V136" s="17">
        <v>45742</v>
      </c>
      <c r="W136" s="18">
        <v>3</v>
      </c>
      <c r="X136" s="17">
        <v>45743</v>
      </c>
      <c r="Z136" s="45">
        <v>3</v>
      </c>
      <c r="AA136">
        <v>2025</v>
      </c>
      <c r="AB136" s="42">
        <v>2440000</v>
      </c>
      <c r="AC136" s="42">
        <v>0</v>
      </c>
    </row>
    <row r="137" spans="1:29">
      <c r="A137" t="s">
        <v>45</v>
      </c>
      <c r="B137" t="s">
        <v>46</v>
      </c>
      <c r="C137" t="s">
        <v>47</v>
      </c>
      <c r="D137" t="s">
        <v>223</v>
      </c>
      <c r="E137" t="s">
        <v>49</v>
      </c>
      <c r="F137" t="s">
        <v>75</v>
      </c>
      <c r="G137" t="s">
        <v>51</v>
      </c>
      <c r="H137" s="17" t="s">
        <v>58</v>
      </c>
      <c r="I137" t="s">
        <v>53</v>
      </c>
      <c r="J137" t="s">
        <v>224</v>
      </c>
      <c r="L137" t="s">
        <v>55</v>
      </c>
      <c r="M137" t="s">
        <v>56</v>
      </c>
      <c r="N137" t="s">
        <v>57</v>
      </c>
      <c r="O137" s="18" t="s">
        <v>58</v>
      </c>
      <c r="P137" s="18" t="s">
        <v>59</v>
      </c>
      <c r="Q137" s="17" t="s">
        <v>60</v>
      </c>
      <c r="R137" s="18" t="s">
        <v>61</v>
      </c>
      <c r="S137" s="32">
        <v>534</v>
      </c>
      <c r="T137" s="19">
        <v>0</v>
      </c>
      <c r="U137" s="17" t="s">
        <v>62</v>
      </c>
      <c r="V137" s="17">
        <v>45742</v>
      </c>
      <c r="W137" s="18">
        <v>3</v>
      </c>
      <c r="X137" s="17">
        <v>45743</v>
      </c>
      <c r="Z137" s="45">
        <v>3</v>
      </c>
      <c r="AA137">
        <v>2025</v>
      </c>
      <c r="AB137" s="42">
        <v>7930968</v>
      </c>
      <c r="AC137" s="42">
        <v>0</v>
      </c>
    </row>
    <row r="138" spans="1:29">
      <c r="A138" t="s">
        <v>45</v>
      </c>
      <c r="B138" t="s">
        <v>46</v>
      </c>
      <c r="C138" t="s">
        <v>47</v>
      </c>
      <c r="D138" t="s">
        <v>223</v>
      </c>
      <c r="E138" t="s">
        <v>49</v>
      </c>
      <c r="F138" t="s">
        <v>79</v>
      </c>
      <c r="G138" t="s">
        <v>51</v>
      </c>
      <c r="H138" s="17" t="s">
        <v>58</v>
      </c>
      <c r="I138" t="s">
        <v>53</v>
      </c>
      <c r="J138" t="s">
        <v>224</v>
      </c>
      <c r="L138" t="s">
        <v>55</v>
      </c>
      <c r="M138" t="s">
        <v>56</v>
      </c>
      <c r="N138" t="s">
        <v>57</v>
      </c>
      <c r="O138" s="18" t="s">
        <v>58</v>
      </c>
      <c r="P138" s="18" t="s">
        <v>99</v>
      </c>
      <c r="Q138" s="17" t="s">
        <v>100</v>
      </c>
      <c r="R138" s="18" t="s">
        <v>101</v>
      </c>
      <c r="S138" s="32">
        <v>534</v>
      </c>
      <c r="T138" s="19">
        <v>0</v>
      </c>
      <c r="U138" s="17" t="s">
        <v>62</v>
      </c>
      <c r="V138" s="17">
        <v>45742</v>
      </c>
      <c r="W138" s="18">
        <v>3</v>
      </c>
      <c r="X138" s="17">
        <v>45743</v>
      </c>
      <c r="Z138" s="45">
        <v>3</v>
      </c>
      <c r="AA138">
        <v>2025</v>
      </c>
      <c r="AB138" s="42">
        <v>53400</v>
      </c>
      <c r="AC138" s="42">
        <v>0</v>
      </c>
    </row>
    <row r="139" spans="1:29">
      <c r="A139" t="s">
        <v>45</v>
      </c>
      <c r="B139" t="s">
        <v>46</v>
      </c>
      <c r="C139" t="s">
        <v>47</v>
      </c>
      <c r="D139" t="s">
        <v>230</v>
      </c>
      <c r="E139" t="s">
        <v>49</v>
      </c>
      <c r="F139" t="s">
        <v>50</v>
      </c>
      <c r="G139" t="s">
        <v>51</v>
      </c>
      <c r="H139" s="17" t="s">
        <v>58</v>
      </c>
      <c r="I139" t="s">
        <v>53</v>
      </c>
      <c r="J139" t="s">
        <v>54</v>
      </c>
      <c r="L139" t="s">
        <v>55</v>
      </c>
      <c r="M139" t="s">
        <v>56</v>
      </c>
      <c r="N139" t="s">
        <v>57</v>
      </c>
      <c r="O139" s="18" t="s">
        <v>58</v>
      </c>
      <c r="P139" s="18" t="s">
        <v>86</v>
      </c>
      <c r="Q139" s="17" t="s">
        <v>87</v>
      </c>
      <c r="R139" s="18" t="s">
        <v>88</v>
      </c>
      <c r="S139" s="32">
        <v>30</v>
      </c>
      <c r="T139" s="19">
        <v>0</v>
      </c>
      <c r="U139" s="17" t="s">
        <v>62</v>
      </c>
      <c r="V139" s="17">
        <v>45715</v>
      </c>
      <c r="W139" s="18">
        <v>2</v>
      </c>
      <c r="X139" s="17">
        <v>45728</v>
      </c>
      <c r="Z139" s="45">
        <v>3</v>
      </c>
      <c r="AA139">
        <v>2025</v>
      </c>
      <c r="AB139" s="42">
        <v>972510</v>
      </c>
      <c r="AC139" s="42">
        <v>0</v>
      </c>
    </row>
    <row r="140" spans="1:29">
      <c r="A140" t="s">
        <v>45</v>
      </c>
      <c r="B140" t="s">
        <v>46</v>
      </c>
      <c r="C140" t="s">
        <v>47</v>
      </c>
      <c r="D140" t="s">
        <v>230</v>
      </c>
      <c r="E140" t="s">
        <v>49</v>
      </c>
      <c r="F140" t="s">
        <v>63</v>
      </c>
      <c r="G140" t="s">
        <v>51</v>
      </c>
      <c r="H140" s="17" t="s">
        <v>58</v>
      </c>
      <c r="I140" t="s">
        <v>53</v>
      </c>
      <c r="J140" t="s">
        <v>54</v>
      </c>
      <c r="L140" t="s">
        <v>55</v>
      </c>
      <c r="M140" t="s">
        <v>56</v>
      </c>
      <c r="N140" t="s">
        <v>57</v>
      </c>
      <c r="O140" s="18" t="s">
        <v>58</v>
      </c>
      <c r="P140" s="18" t="s">
        <v>99</v>
      </c>
      <c r="Q140" s="17" t="s">
        <v>100</v>
      </c>
      <c r="R140" s="18" t="s">
        <v>101</v>
      </c>
      <c r="S140" s="32">
        <v>30</v>
      </c>
      <c r="T140" s="19">
        <v>0</v>
      </c>
      <c r="U140" s="17" t="s">
        <v>62</v>
      </c>
      <c r="V140" s="17">
        <v>45715</v>
      </c>
      <c r="W140" s="18">
        <v>2</v>
      </c>
      <c r="X140" s="17">
        <v>45728</v>
      </c>
      <c r="Z140" s="45">
        <v>3</v>
      </c>
      <c r="AA140">
        <v>2025</v>
      </c>
      <c r="AB140" s="42">
        <v>10350</v>
      </c>
      <c r="AC140" s="42">
        <v>0</v>
      </c>
    </row>
    <row r="141" spans="1:29">
      <c r="A141" t="s">
        <v>45</v>
      </c>
      <c r="B141" t="s">
        <v>46</v>
      </c>
      <c r="C141" t="s">
        <v>47</v>
      </c>
      <c r="D141" t="s">
        <v>231</v>
      </c>
      <c r="E141" t="s">
        <v>49</v>
      </c>
      <c r="F141" t="s">
        <v>50</v>
      </c>
      <c r="G141" t="s">
        <v>51</v>
      </c>
      <c r="H141" s="17" t="s">
        <v>52</v>
      </c>
      <c r="I141" t="s">
        <v>53</v>
      </c>
      <c r="J141" t="s">
        <v>110</v>
      </c>
      <c r="L141" t="s">
        <v>55</v>
      </c>
      <c r="M141" t="s">
        <v>56</v>
      </c>
      <c r="N141" t="s">
        <v>57</v>
      </c>
      <c r="O141" s="18" t="s">
        <v>58</v>
      </c>
      <c r="P141" s="18" t="s">
        <v>86</v>
      </c>
      <c r="Q141" s="17" t="s">
        <v>111</v>
      </c>
      <c r="R141" s="18" t="s">
        <v>112</v>
      </c>
      <c r="S141" s="32">
        <v>48</v>
      </c>
      <c r="T141" s="19">
        <v>45.6</v>
      </c>
      <c r="U141" s="17" t="s">
        <v>113</v>
      </c>
      <c r="V141" s="17">
        <v>45735</v>
      </c>
      <c r="W141" s="18">
        <v>3</v>
      </c>
      <c r="X141" s="17">
        <v>45735</v>
      </c>
      <c r="Y141" s="17">
        <v>45747</v>
      </c>
      <c r="Z141" s="45">
        <v>3</v>
      </c>
      <c r="AA141">
        <v>2025</v>
      </c>
      <c r="AB141" s="42">
        <v>994032</v>
      </c>
      <c r="AC141" s="42">
        <v>944330</v>
      </c>
    </row>
    <row r="142" spans="1:29">
      <c r="A142" t="s">
        <v>45</v>
      </c>
      <c r="B142" t="s">
        <v>46</v>
      </c>
      <c r="C142" t="s">
        <v>47</v>
      </c>
      <c r="D142" t="s">
        <v>232</v>
      </c>
      <c r="E142" t="s">
        <v>49</v>
      </c>
      <c r="F142" t="s">
        <v>50</v>
      </c>
      <c r="G142" t="s">
        <v>51</v>
      </c>
      <c r="H142" s="17" t="s">
        <v>52</v>
      </c>
      <c r="I142" t="s">
        <v>53</v>
      </c>
      <c r="J142" t="s">
        <v>110</v>
      </c>
      <c r="L142" t="s">
        <v>55</v>
      </c>
      <c r="M142" t="s">
        <v>56</v>
      </c>
      <c r="N142" t="s">
        <v>57</v>
      </c>
      <c r="O142" s="18" t="s">
        <v>58</v>
      </c>
      <c r="P142" s="18" t="s">
        <v>72</v>
      </c>
      <c r="Q142" s="17" t="s">
        <v>127</v>
      </c>
      <c r="R142" s="18" t="s">
        <v>128</v>
      </c>
      <c r="S142" s="32">
        <v>140</v>
      </c>
      <c r="T142" s="19">
        <v>140</v>
      </c>
      <c r="U142" s="17" t="s">
        <v>62</v>
      </c>
      <c r="V142" s="17">
        <v>45741</v>
      </c>
      <c r="W142" s="18">
        <v>3</v>
      </c>
      <c r="X142" s="17">
        <v>45741</v>
      </c>
      <c r="Y142" s="17">
        <v>45747</v>
      </c>
      <c r="Z142" s="45">
        <v>3</v>
      </c>
      <c r="AA142">
        <v>2025</v>
      </c>
      <c r="AB142" s="42">
        <v>966000</v>
      </c>
      <c r="AC142" s="42">
        <v>966000</v>
      </c>
    </row>
    <row r="143" spans="1:29">
      <c r="A143" t="s">
        <v>45</v>
      </c>
      <c r="B143" t="s">
        <v>46</v>
      </c>
      <c r="C143" t="s">
        <v>47</v>
      </c>
      <c r="D143" t="s">
        <v>233</v>
      </c>
      <c r="E143" t="s">
        <v>49</v>
      </c>
      <c r="F143" t="s">
        <v>50</v>
      </c>
      <c r="G143" t="s">
        <v>51</v>
      </c>
      <c r="H143" s="17" t="s">
        <v>52</v>
      </c>
      <c r="I143" t="s">
        <v>53</v>
      </c>
      <c r="J143" t="s">
        <v>110</v>
      </c>
      <c r="L143" t="s">
        <v>55</v>
      </c>
      <c r="M143" t="s">
        <v>56</v>
      </c>
      <c r="N143" t="s">
        <v>57</v>
      </c>
      <c r="O143" s="18" t="s">
        <v>58</v>
      </c>
      <c r="P143" s="18" t="s">
        <v>72</v>
      </c>
      <c r="Q143" s="17" t="s">
        <v>193</v>
      </c>
      <c r="R143" s="18" t="s">
        <v>194</v>
      </c>
      <c r="S143" s="32">
        <v>70</v>
      </c>
      <c r="T143" s="19">
        <v>70</v>
      </c>
      <c r="U143" s="17" t="s">
        <v>62</v>
      </c>
      <c r="V143" s="17">
        <v>45740</v>
      </c>
      <c r="W143" s="18">
        <v>3</v>
      </c>
      <c r="X143" s="17">
        <v>45740</v>
      </c>
      <c r="Y143" s="17">
        <v>45747</v>
      </c>
      <c r="Z143" s="45">
        <v>3</v>
      </c>
      <c r="AA143">
        <v>2025</v>
      </c>
      <c r="AB143" s="42">
        <v>692300</v>
      </c>
      <c r="AC143" s="42">
        <v>692300</v>
      </c>
    </row>
    <row r="144" spans="1:29">
      <c r="A144" t="s">
        <v>45</v>
      </c>
      <c r="B144" t="s">
        <v>46</v>
      </c>
      <c r="C144" t="s">
        <v>47</v>
      </c>
      <c r="D144" t="s">
        <v>233</v>
      </c>
      <c r="E144" t="s">
        <v>49</v>
      </c>
      <c r="F144" t="s">
        <v>63</v>
      </c>
      <c r="G144" t="s">
        <v>51</v>
      </c>
      <c r="H144" s="17" t="s">
        <v>52</v>
      </c>
      <c r="I144" t="s">
        <v>53</v>
      </c>
      <c r="J144" t="s">
        <v>110</v>
      </c>
      <c r="L144" t="s">
        <v>55</v>
      </c>
      <c r="M144" t="s">
        <v>56</v>
      </c>
      <c r="N144" t="s">
        <v>57</v>
      </c>
      <c r="O144" s="18" t="s">
        <v>58</v>
      </c>
      <c r="P144" s="18" t="s">
        <v>72</v>
      </c>
      <c r="Q144" s="17" t="s">
        <v>127</v>
      </c>
      <c r="R144" s="18" t="s">
        <v>128</v>
      </c>
      <c r="S144" s="32">
        <v>70</v>
      </c>
      <c r="T144" s="19">
        <v>70</v>
      </c>
      <c r="U144" s="17" t="s">
        <v>62</v>
      </c>
      <c r="V144" s="17">
        <v>45740</v>
      </c>
      <c r="W144" s="18">
        <v>3</v>
      </c>
      <c r="X144" s="17">
        <v>45740</v>
      </c>
      <c r="Y144" s="17">
        <v>45747</v>
      </c>
      <c r="Z144" s="45">
        <v>3</v>
      </c>
      <c r="AA144">
        <v>2025</v>
      </c>
      <c r="AB144" s="42">
        <v>491120</v>
      </c>
      <c r="AC144" s="42">
        <v>491120</v>
      </c>
    </row>
    <row r="145" spans="1:29">
      <c r="A145" t="s">
        <v>45</v>
      </c>
      <c r="B145" t="s">
        <v>46</v>
      </c>
      <c r="C145" t="s">
        <v>47</v>
      </c>
      <c r="D145" t="s">
        <v>130</v>
      </c>
      <c r="E145" t="s">
        <v>49</v>
      </c>
      <c r="F145" t="s">
        <v>50</v>
      </c>
      <c r="G145" t="s">
        <v>51</v>
      </c>
      <c r="H145" s="17" t="s">
        <v>52</v>
      </c>
      <c r="I145" t="s">
        <v>53</v>
      </c>
      <c r="J145" t="s">
        <v>110</v>
      </c>
      <c r="L145" t="s">
        <v>55</v>
      </c>
      <c r="M145" t="s">
        <v>56</v>
      </c>
      <c r="N145" t="s">
        <v>57</v>
      </c>
      <c r="O145" s="18" t="s">
        <v>58</v>
      </c>
      <c r="P145" s="18" t="s">
        <v>86</v>
      </c>
      <c r="Q145" s="17" t="s">
        <v>111</v>
      </c>
      <c r="R145" s="18" t="s">
        <v>112</v>
      </c>
      <c r="S145" s="32">
        <v>511.2</v>
      </c>
      <c r="T145" s="19">
        <v>192</v>
      </c>
      <c r="U145" s="17" t="s">
        <v>113</v>
      </c>
      <c r="V145" s="17">
        <v>45671</v>
      </c>
      <c r="W145" s="18">
        <v>1</v>
      </c>
      <c r="X145" s="17">
        <v>45674</v>
      </c>
      <c r="Y145" s="17">
        <v>45729</v>
      </c>
      <c r="Z145" s="45">
        <v>3</v>
      </c>
      <c r="AA145">
        <v>2025</v>
      </c>
      <c r="AB145" s="42">
        <v>10586441</v>
      </c>
      <c r="AC145" s="42">
        <v>3976128</v>
      </c>
    </row>
    <row r="146" spans="1:29">
      <c r="A146" t="s">
        <v>45</v>
      </c>
      <c r="B146" t="s">
        <v>46</v>
      </c>
      <c r="C146" t="s">
        <v>47</v>
      </c>
      <c r="D146" t="s">
        <v>234</v>
      </c>
      <c r="E146" t="s">
        <v>49</v>
      </c>
      <c r="F146" t="s">
        <v>50</v>
      </c>
      <c r="G146" t="s">
        <v>51</v>
      </c>
      <c r="H146" s="17" t="s">
        <v>52</v>
      </c>
      <c r="I146" t="s">
        <v>53</v>
      </c>
      <c r="J146" t="s">
        <v>104</v>
      </c>
      <c r="L146" t="s">
        <v>55</v>
      </c>
      <c r="M146" t="s">
        <v>56</v>
      </c>
      <c r="N146" t="s">
        <v>57</v>
      </c>
      <c r="O146" s="18" t="s">
        <v>58</v>
      </c>
      <c r="P146" s="18" t="s">
        <v>99</v>
      </c>
      <c r="Q146" s="17" t="s">
        <v>105</v>
      </c>
      <c r="R146" s="18" t="s">
        <v>106</v>
      </c>
      <c r="S146" s="32">
        <v>205</v>
      </c>
      <c r="T146" s="19">
        <v>205</v>
      </c>
      <c r="U146" s="17" t="s">
        <v>62</v>
      </c>
      <c r="V146" s="17">
        <v>45692</v>
      </c>
      <c r="W146" s="18">
        <v>2</v>
      </c>
      <c r="X146" s="17">
        <v>45693</v>
      </c>
      <c r="Y146" s="17">
        <v>45721</v>
      </c>
      <c r="Z146" s="45">
        <v>3</v>
      </c>
      <c r="AA146">
        <v>2025</v>
      </c>
      <c r="AB146" s="42">
        <v>8135630</v>
      </c>
      <c r="AC146" s="42">
        <v>8135630</v>
      </c>
    </row>
    <row r="147" spans="1:29">
      <c r="A147" t="s">
        <v>45</v>
      </c>
      <c r="B147" t="s">
        <v>46</v>
      </c>
      <c r="C147" t="s">
        <v>47</v>
      </c>
      <c r="D147" t="s">
        <v>234</v>
      </c>
      <c r="E147" t="s">
        <v>49</v>
      </c>
      <c r="F147" t="s">
        <v>63</v>
      </c>
      <c r="G147" t="s">
        <v>51</v>
      </c>
      <c r="H147" s="17" t="s">
        <v>52</v>
      </c>
      <c r="I147" t="s">
        <v>53</v>
      </c>
      <c r="J147" t="s">
        <v>104</v>
      </c>
      <c r="L147" t="s">
        <v>55</v>
      </c>
      <c r="M147" t="s">
        <v>56</v>
      </c>
      <c r="N147" t="s">
        <v>57</v>
      </c>
      <c r="O147" s="18" t="s">
        <v>58</v>
      </c>
      <c r="P147" s="18" t="s">
        <v>99</v>
      </c>
      <c r="Q147" s="17" t="s">
        <v>107</v>
      </c>
      <c r="R147" s="18" t="s">
        <v>108</v>
      </c>
      <c r="S147" s="32">
        <v>11</v>
      </c>
      <c r="T147" s="19">
        <v>11</v>
      </c>
      <c r="U147" s="17" t="s">
        <v>62</v>
      </c>
      <c r="V147" s="17">
        <v>45692</v>
      </c>
      <c r="W147" s="18">
        <v>2</v>
      </c>
      <c r="X147" s="17">
        <v>45693</v>
      </c>
      <c r="Y147" s="17">
        <v>45721</v>
      </c>
      <c r="Z147" s="45">
        <v>3</v>
      </c>
      <c r="AA147">
        <v>2025</v>
      </c>
      <c r="AB147" s="42">
        <v>631686</v>
      </c>
      <c r="AC147" s="42">
        <v>631686</v>
      </c>
    </row>
    <row r="148" spans="1:29">
      <c r="A148" t="s">
        <v>45</v>
      </c>
      <c r="B148" t="s">
        <v>46</v>
      </c>
      <c r="C148" t="s">
        <v>47</v>
      </c>
      <c r="D148" t="s">
        <v>234</v>
      </c>
      <c r="E148" t="s">
        <v>49</v>
      </c>
      <c r="F148" t="s">
        <v>67</v>
      </c>
      <c r="G148" t="s">
        <v>51</v>
      </c>
      <c r="H148" s="17" t="s">
        <v>52</v>
      </c>
      <c r="I148" t="s">
        <v>53</v>
      </c>
      <c r="J148" t="s">
        <v>104</v>
      </c>
      <c r="L148" t="s">
        <v>55</v>
      </c>
      <c r="M148" t="s">
        <v>56</v>
      </c>
      <c r="N148" t="s">
        <v>57</v>
      </c>
      <c r="O148" s="18" t="s">
        <v>58</v>
      </c>
      <c r="P148" s="18" t="s">
        <v>99</v>
      </c>
      <c r="Q148" s="17" t="s">
        <v>100</v>
      </c>
      <c r="R148" s="18" t="s">
        <v>101</v>
      </c>
      <c r="S148" s="32">
        <v>1</v>
      </c>
      <c r="T148" s="19">
        <v>1</v>
      </c>
      <c r="U148" s="17" t="s">
        <v>62</v>
      </c>
      <c r="V148" s="17">
        <v>45692</v>
      </c>
      <c r="W148" s="18">
        <v>2</v>
      </c>
      <c r="X148" s="17">
        <v>45693</v>
      </c>
      <c r="Y148" s="17">
        <v>45721</v>
      </c>
      <c r="Z148" s="45">
        <v>3</v>
      </c>
      <c r="AA148">
        <v>2025</v>
      </c>
      <c r="AB148" s="42">
        <v>58000</v>
      </c>
      <c r="AC148" s="42">
        <v>58000</v>
      </c>
    </row>
    <row r="149" spans="1:29">
      <c r="A149" t="s">
        <v>45</v>
      </c>
      <c r="B149" t="s">
        <v>46</v>
      </c>
      <c r="C149" t="s">
        <v>47</v>
      </c>
      <c r="D149" t="s">
        <v>126</v>
      </c>
      <c r="E149" t="s">
        <v>49</v>
      </c>
      <c r="F149" t="s">
        <v>71</v>
      </c>
      <c r="G149" t="s">
        <v>51</v>
      </c>
      <c r="H149" s="17" t="s">
        <v>52</v>
      </c>
      <c r="I149" t="s">
        <v>53</v>
      </c>
      <c r="J149" t="s">
        <v>110</v>
      </c>
      <c r="L149" t="s">
        <v>55</v>
      </c>
      <c r="M149" t="s">
        <v>56</v>
      </c>
      <c r="N149" t="s">
        <v>57</v>
      </c>
      <c r="O149" s="18" t="s">
        <v>58</v>
      </c>
      <c r="P149" s="18" t="s">
        <v>72</v>
      </c>
      <c r="Q149" s="17" t="s">
        <v>193</v>
      </c>
      <c r="R149" s="18" t="s">
        <v>194</v>
      </c>
      <c r="S149" s="32">
        <v>368</v>
      </c>
      <c r="T149" s="19">
        <v>368</v>
      </c>
      <c r="U149" s="17" t="s">
        <v>62</v>
      </c>
      <c r="V149" s="17">
        <v>45671</v>
      </c>
      <c r="W149" s="18">
        <v>1</v>
      </c>
      <c r="X149" s="17">
        <v>45674</v>
      </c>
      <c r="Y149" s="17">
        <v>45729</v>
      </c>
      <c r="Z149" s="45">
        <v>3</v>
      </c>
      <c r="AA149">
        <v>2025</v>
      </c>
      <c r="AB149" s="42">
        <v>3254592</v>
      </c>
      <c r="AC149" s="42">
        <v>3254592</v>
      </c>
    </row>
    <row r="150" spans="1:29">
      <c r="A150" t="s">
        <v>45</v>
      </c>
      <c r="B150" t="s">
        <v>46</v>
      </c>
      <c r="C150" t="s">
        <v>47</v>
      </c>
      <c r="D150" t="s">
        <v>235</v>
      </c>
      <c r="E150" t="s">
        <v>115</v>
      </c>
      <c r="F150" t="s">
        <v>50</v>
      </c>
      <c r="G150" t="s">
        <v>116</v>
      </c>
      <c r="H150" s="17" t="s">
        <v>52</v>
      </c>
      <c r="I150" t="s">
        <v>53</v>
      </c>
      <c r="J150" t="s">
        <v>110</v>
      </c>
      <c r="L150" t="s">
        <v>55</v>
      </c>
      <c r="M150" t="s">
        <v>56</v>
      </c>
      <c r="N150" t="s">
        <v>57</v>
      </c>
      <c r="O150" s="18" t="s">
        <v>58</v>
      </c>
      <c r="P150" s="18" t="s">
        <v>72</v>
      </c>
      <c r="Q150" s="17" t="s">
        <v>122</v>
      </c>
      <c r="R150" s="18" t="s">
        <v>123</v>
      </c>
      <c r="S150" s="32">
        <v>4</v>
      </c>
      <c r="T150" s="19">
        <v>4</v>
      </c>
      <c r="U150" s="17" t="s">
        <v>119</v>
      </c>
      <c r="V150" s="17">
        <v>45722</v>
      </c>
      <c r="W150" s="18">
        <v>3</v>
      </c>
      <c r="X150" s="17">
        <v>45734</v>
      </c>
      <c r="Y150" s="17">
        <v>45734</v>
      </c>
      <c r="Z150" s="45">
        <v>3</v>
      </c>
      <c r="AA150">
        <v>2025</v>
      </c>
      <c r="AB150" s="42">
        <v>1405320</v>
      </c>
      <c r="AC150" s="42">
        <v>1405320</v>
      </c>
    </row>
    <row r="151" spans="1:29">
      <c r="A151" t="s">
        <v>45</v>
      </c>
      <c r="B151" t="s">
        <v>46</v>
      </c>
      <c r="C151" t="s">
        <v>47</v>
      </c>
      <c r="D151" t="s">
        <v>236</v>
      </c>
      <c r="E151" t="s">
        <v>115</v>
      </c>
      <c r="F151" t="s">
        <v>50</v>
      </c>
      <c r="G151" t="s">
        <v>116</v>
      </c>
      <c r="H151" s="17" t="s">
        <v>52</v>
      </c>
      <c r="I151" t="s">
        <v>53</v>
      </c>
      <c r="J151" t="s">
        <v>190</v>
      </c>
      <c r="L151" t="s">
        <v>55</v>
      </c>
      <c r="M151" t="s">
        <v>56</v>
      </c>
      <c r="N151" t="s">
        <v>57</v>
      </c>
      <c r="O151" s="18" t="s">
        <v>58</v>
      </c>
      <c r="P151" s="18" t="s">
        <v>132</v>
      </c>
      <c r="Q151" s="17" t="s">
        <v>237</v>
      </c>
      <c r="R151" s="18" t="s">
        <v>238</v>
      </c>
      <c r="S151" s="32">
        <v>4</v>
      </c>
      <c r="T151" s="19">
        <v>3.5</v>
      </c>
      <c r="U151" s="17" t="s">
        <v>239</v>
      </c>
      <c r="V151" s="17">
        <v>45722</v>
      </c>
      <c r="W151" s="18">
        <v>3</v>
      </c>
      <c r="X151" s="17">
        <v>45734</v>
      </c>
      <c r="Y151" s="17">
        <v>45734</v>
      </c>
      <c r="Z151" s="45">
        <v>3</v>
      </c>
      <c r="AA151">
        <v>2025</v>
      </c>
      <c r="AB151" s="42">
        <v>70400</v>
      </c>
      <c r="AC151" s="42">
        <v>61600</v>
      </c>
    </row>
    <row r="152" spans="1:29">
      <c r="A152" t="s">
        <v>45</v>
      </c>
      <c r="B152" t="s">
        <v>46</v>
      </c>
      <c r="C152" t="s">
        <v>47</v>
      </c>
      <c r="D152" t="s">
        <v>240</v>
      </c>
      <c r="E152" t="s">
        <v>115</v>
      </c>
      <c r="F152" t="s">
        <v>50</v>
      </c>
      <c r="G152" t="s">
        <v>116</v>
      </c>
      <c r="H152" s="17" t="s">
        <v>52</v>
      </c>
      <c r="I152" t="s">
        <v>53</v>
      </c>
      <c r="J152" t="s">
        <v>224</v>
      </c>
      <c r="L152" t="s">
        <v>55</v>
      </c>
      <c r="M152" t="s">
        <v>56</v>
      </c>
      <c r="N152" t="s">
        <v>57</v>
      </c>
      <c r="O152" s="18" t="s">
        <v>58</v>
      </c>
      <c r="P152" s="18" t="s">
        <v>132</v>
      </c>
      <c r="Q152" s="17" t="s">
        <v>237</v>
      </c>
      <c r="R152" s="18" t="s">
        <v>238</v>
      </c>
      <c r="S152" s="32">
        <v>2</v>
      </c>
      <c r="T152" s="19">
        <v>2</v>
      </c>
      <c r="U152" s="17" t="s">
        <v>239</v>
      </c>
      <c r="V152" s="17">
        <v>45722</v>
      </c>
      <c r="W152" s="18">
        <v>3</v>
      </c>
      <c r="X152" s="17">
        <v>45734</v>
      </c>
      <c r="Y152" s="17">
        <v>45733</v>
      </c>
      <c r="Z152" s="45">
        <v>3</v>
      </c>
      <c r="AA152">
        <v>2025</v>
      </c>
      <c r="AB152" s="42">
        <v>35200</v>
      </c>
      <c r="AC152" s="42">
        <v>35200</v>
      </c>
    </row>
    <row r="153" spans="1:29">
      <c r="A153" t="s">
        <v>45</v>
      </c>
      <c r="B153" t="s">
        <v>46</v>
      </c>
      <c r="C153" t="s">
        <v>47</v>
      </c>
      <c r="D153" t="s">
        <v>240</v>
      </c>
      <c r="E153" t="s">
        <v>115</v>
      </c>
      <c r="F153" t="s">
        <v>63</v>
      </c>
      <c r="G153" t="s">
        <v>116</v>
      </c>
      <c r="H153" s="17" t="s">
        <v>52</v>
      </c>
      <c r="I153" t="s">
        <v>53</v>
      </c>
      <c r="J153" t="s">
        <v>224</v>
      </c>
      <c r="L153" t="s">
        <v>55</v>
      </c>
      <c r="M153" t="s">
        <v>56</v>
      </c>
      <c r="N153" t="s">
        <v>57</v>
      </c>
      <c r="O153" s="18" t="s">
        <v>58</v>
      </c>
      <c r="P153" s="18" t="s">
        <v>132</v>
      </c>
      <c r="Q153" s="17" t="s">
        <v>241</v>
      </c>
      <c r="R153" s="18" t="s">
        <v>242</v>
      </c>
      <c r="S153" s="32">
        <v>2</v>
      </c>
      <c r="T153" s="19">
        <v>1.8129999999999999</v>
      </c>
      <c r="U153" s="17" t="s">
        <v>239</v>
      </c>
      <c r="V153" s="17">
        <v>45722</v>
      </c>
      <c r="W153" s="18">
        <v>3</v>
      </c>
      <c r="X153" s="17">
        <v>45734</v>
      </c>
      <c r="Y153" s="17">
        <v>45733</v>
      </c>
      <c r="Z153" s="45">
        <v>3</v>
      </c>
      <c r="AA153">
        <v>2025</v>
      </c>
      <c r="AB153" s="42">
        <v>46400</v>
      </c>
      <c r="AC153" s="42">
        <v>42050</v>
      </c>
    </row>
    <row r="154" spans="1:29">
      <c r="A154" t="s">
        <v>45</v>
      </c>
      <c r="B154" t="s">
        <v>46</v>
      </c>
      <c r="C154" t="s">
        <v>47</v>
      </c>
      <c r="D154" t="s">
        <v>243</v>
      </c>
      <c r="E154" t="s">
        <v>115</v>
      </c>
      <c r="F154" t="s">
        <v>50</v>
      </c>
      <c r="G154" t="s">
        <v>116</v>
      </c>
      <c r="H154" s="17" t="s">
        <v>52</v>
      </c>
      <c r="I154" t="s">
        <v>53</v>
      </c>
      <c r="J154" t="s">
        <v>125</v>
      </c>
      <c r="L154" t="s">
        <v>55</v>
      </c>
      <c r="M154" t="s">
        <v>56</v>
      </c>
      <c r="N154" t="s">
        <v>57</v>
      </c>
      <c r="O154" s="18" t="s">
        <v>58</v>
      </c>
      <c r="P154" s="18" t="s">
        <v>72</v>
      </c>
      <c r="Q154" s="17" t="s">
        <v>122</v>
      </c>
      <c r="R154" s="18" t="s">
        <v>123</v>
      </c>
      <c r="S154" s="32">
        <v>4</v>
      </c>
      <c r="T154" s="19">
        <v>4</v>
      </c>
      <c r="U154" s="17" t="s">
        <v>119</v>
      </c>
      <c r="V154" s="17">
        <v>45722</v>
      </c>
      <c r="W154" s="18">
        <v>3</v>
      </c>
      <c r="X154" s="17">
        <v>45734</v>
      </c>
      <c r="Y154" s="17">
        <v>45733</v>
      </c>
      <c r="Z154" s="45">
        <v>3</v>
      </c>
      <c r="AA154">
        <v>2025</v>
      </c>
      <c r="AB154" s="42">
        <v>1405320</v>
      </c>
      <c r="AC154" s="42">
        <v>1405320</v>
      </c>
    </row>
    <row r="155" spans="1:29">
      <c r="A155" t="s">
        <v>45</v>
      </c>
      <c r="B155" t="s">
        <v>46</v>
      </c>
      <c r="C155" t="s">
        <v>47</v>
      </c>
      <c r="D155" t="s">
        <v>244</v>
      </c>
      <c r="E155" t="s">
        <v>115</v>
      </c>
      <c r="F155" t="s">
        <v>50</v>
      </c>
      <c r="G155" t="s">
        <v>116</v>
      </c>
      <c r="H155" s="17" t="s">
        <v>52</v>
      </c>
      <c r="I155" t="s">
        <v>53</v>
      </c>
      <c r="J155" t="s">
        <v>110</v>
      </c>
      <c r="L155" t="s">
        <v>55</v>
      </c>
      <c r="M155" t="s">
        <v>56</v>
      </c>
      <c r="N155" t="s">
        <v>57</v>
      </c>
      <c r="O155" s="18" t="s">
        <v>58</v>
      </c>
      <c r="P155" s="18" t="s">
        <v>72</v>
      </c>
      <c r="Q155" s="17" t="s">
        <v>122</v>
      </c>
      <c r="R155" s="18" t="s">
        <v>123</v>
      </c>
      <c r="S155" s="32">
        <v>4</v>
      </c>
      <c r="T155" s="19">
        <v>4</v>
      </c>
      <c r="U155" s="17" t="s">
        <v>119</v>
      </c>
      <c r="V155" s="17">
        <v>45730</v>
      </c>
      <c r="W155" s="18">
        <v>3</v>
      </c>
      <c r="X155" s="17">
        <v>45742</v>
      </c>
      <c r="Y155" s="17">
        <v>45740</v>
      </c>
      <c r="Z155" s="45">
        <v>3</v>
      </c>
      <c r="AA155">
        <v>2025</v>
      </c>
      <c r="AB155" s="42">
        <v>1405320</v>
      </c>
      <c r="AC155" s="42">
        <v>1405320</v>
      </c>
    </row>
    <row r="156" spans="1:29">
      <c r="A156" t="s">
        <v>45</v>
      </c>
      <c r="B156" t="s">
        <v>46</v>
      </c>
      <c r="C156" t="s">
        <v>47</v>
      </c>
      <c r="D156" t="s">
        <v>245</v>
      </c>
      <c r="E156" t="s">
        <v>115</v>
      </c>
      <c r="F156" t="s">
        <v>50</v>
      </c>
      <c r="G156" t="s">
        <v>116</v>
      </c>
      <c r="H156" s="17" t="s">
        <v>52</v>
      </c>
      <c r="I156" t="s">
        <v>53</v>
      </c>
      <c r="J156" t="s">
        <v>121</v>
      </c>
      <c r="L156" t="s">
        <v>55</v>
      </c>
      <c r="M156" t="s">
        <v>56</v>
      </c>
      <c r="N156" t="s">
        <v>57</v>
      </c>
      <c r="O156" s="18" t="s">
        <v>58</v>
      </c>
      <c r="P156" s="18" t="s">
        <v>72</v>
      </c>
      <c r="Q156" s="17" t="s">
        <v>147</v>
      </c>
      <c r="R156" s="18" t="s">
        <v>148</v>
      </c>
      <c r="S156" s="32">
        <v>1</v>
      </c>
      <c r="T156" s="19">
        <v>1</v>
      </c>
      <c r="U156" s="17" t="s">
        <v>119</v>
      </c>
      <c r="V156" s="17">
        <v>45730</v>
      </c>
      <c r="W156" s="18">
        <v>3</v>
      </c>
      <c r="X156" s="17">
        <v>45742</v>
      </c>
      <c r="Y156" s="17">
        <v>45741</v>
      </c>
      <c r="Z156" s="45">
        <v>3</v>
      </c>
      <c r="AA156">
        <v>2025</v>
      </c>
      <c r="AB156" s="42">
        <v>418720</v>
      </c>
      <c r="AC156" s="42">
        <v>418720</v>
      </c>
    </row>
    <row r="157" spans="1:29">
      <c r="A157" t="s">
        <v>45</v>
      </c>
      <c r="B157" t="s">
        <v>46</v>
      </c>
      <c r="C157" t="s">
        <v>47</v>
      </c>
      <c r="D157" t="s">
        <v>245</v>
      </c>
      <c r="E157" t="s">
        <v>115</v>
      </c>
      <c r="F157" t="s">
        <v>63</v>
      </c>
      <c r="G157" t="s">
        <v>116</v>
      </c>
      <c r="H157" s="17" t="s">
        <v>52</v>
      </c>
      <c r="I157" t="s">
        <v>53</v>
      </c>
      <c r="J157" t="s">
        <v>121</v>
      </c>
      <c r="L157" t="s">
        <v>55</v>
      </c>
      <c r="M157" t="s">
        <v>56</v>
      </c>
      <c r="N157" t="s">
        <v>57</v>
      </c>
      <c r="O157" s="18" t="s">
        <v>58</v>
      </c>
      <c r="P157" s="18" t="s">
        <v>72</v>
      </c>
      <c r="Q157" s="17" t="s">
        <v>122</v>
      </c>
      <c r="R157" s="18" t="s">
        <v>123</v>
      </c>
      <c r="S157" s="32">
        <v>3</v>
      </c>
      <c r="T157" s="19">
        <v>3</v>
      </c>
      <c r="U157" s="17" t="s">
        <v>119</v>
      </c>
      <c r="V157" s="17">
        <v>45730</v>
      </c>
      <c r="W157" s="18">
        <v>3</v>
      </c>
      <c r="X157" s="17">
        <v>45742</v>
      </c>
      <c r="Y157" s="17">
        <v>45741</v>
      </c>
      <c r="Z157" s="45">
        <v>3</v>
      </c>
      <c r="AA157">
        <v>2025</v>
      </c>
      <c r="AB157" s="42">
        <v>1053990</v>
      </c>
      <c r="AC157" s="42">
        <v>1053990</v>
      </c>
    </row>
    <row r="158" spans="1:29">
      <c r="A158" t="s">
        <v>45</v>
      </c>
      <c r="B158" t="s">
        <v>46</v>
      </c>
      <c r="C158" t="s">
        <v>47</v>
      </c>
      <c r="D158" t="s">
        <v>245</v>
      </c>
      <c r="E158" t="s">
        <v>115</v>
      </c>
      <c r="F158" t="s">
        <v>67</v>
      </c>
      <c r="G158" t="s">
        <v>116</v>
      </c>
      <c r="H158" s="17" t="s">
        <v>52</v>
      </c>
      <c r="I158" t="s">
        <v>53</v>
      </c>
      <c r="J158" t="s">
        <v>121</v>
      </c>
      <c r="L158" t="s">
        <v>55</v>
      </c>
      <c r="M158" t="s">
        <v>56</v>
      </c>
      <c r="N158" t="s">
        <v>57</v>
      </c>
      <c r="O158" s="18" t="s">
        <v>58</v>
      </c>
      <c r="P158" s="18" t="s">
        <v>72</v>
      </c>
      <c r="Q158" s="17" t="s">
        <v>117</v>
      </c>
      <c r="R158" s="18" t="s">
        <v>118</v>
      </c>
      <c r="S158" s="32">
        <v>4</v>
      </c>
      <c r="T158" s="19">
        <v>4</v>
      </c>
      <c r="U158" s="17" t="s">
        <v>119</v>
      </c>
      <c r="V158" s="17">
        <v>45730</v>
      </c>
      <c r="W158" s="18">
        <v>3</v>
      </c>
      <c r="X158" s="17">
        <v>45742</v>
      </c>
      <c r="Y158" s="17">
        <v>45741</v>
      </c>
      <c r="Z158" s="45">
        <v>3</v>
      </c>
      <c r="AA158">
        <v>2025</v>
      </c>
      <c r="AB158" s="42">
        <v>1406000</v>
      </c>
      <c r="AC158" s="42">
        <v>1406000</v>
      </c>
    </row>
    <row r="159" spans="1:29">
      <c r="A159" t="s">
        <v>45</v>
      </c>
      <c r="B159" t="s">
        <v>46</v>
      </c>
      <c r="C159" t="s">
        <v>47</v>
      </c>
      <c r="D159" t="s">
        <v>246</v>
      </c>
      <c r="E159" t="s">
        <v>115</v>
      </c>
      <c r="F159" t="s">
        <v>50</v>
      </c>
      <c r="G159" t="s">
        <v>116</v>
      </c>
      <c r="H159" s="17" t="s">
        <v>52</v>
      </c>
      <c r="I159" t="s">
        <v>53</v>
      </c>
      <c r="J159" t="s">
        <v>190</v>
      </c>
      <c r="L159" t="s">
        <v>55</v>
      </c>
      <c r="M159" t="s">
        <v>56</v>
      </c>
      <c r="N159" t="s">
        <v>57</v>
      </c>
      <c r="O159" s="18" t="s">
        <v>58</v>
      </c>
      <c r="P159" s="18" t="s">
        <v>72</v>
      </c>
      <c r="Q159" s="17" t="s">
        <v>247</v>
      </c>
      <c r="R159" s="18" t="s">
        <v>248</v>
      </c>
      <c r="S159" s="32">
        <v>1</v>
      </c>
      <c r="T159" s="19">
        <v>1</v>
      </c>
      <c r="U159" s="17" t="s">
        <v>119</v>
      </c>
      <c r="V159" s="17">
        <v>45730</v>
      </c>
      <c r="W159" s="18">
        <v>3</v>
      </c>
      <c r="X159" s="17">
        <v>45742</v>
      </c>
      <c r="Y159" s="17">
        <v>45736</v>
      </c>
      <c r="Z159" s="45">
        <v>3</v>
      </c>
      <c r="AA159">
        <v>2025</v>
      </c>
      <c r="AB159" s="42">
        <v>517860</v>
      </c>
      <c r="AC159" s="42">
        <v>517860</v>
      </c>
    </row>
    <row r="160" spans="1:29">
      <c r="A160" t="s">
        <v>45</v>
      </c>
      <c r="B160" t="s">
        <v>46</v>
      </c>
      <c r="C160" t="s">
        <v>47</v>
      </c>
      <c r="D160" t="s">
        <v>246</v>
      </c>
      <c r="E160" t="s">
        <v>115</v>
      </c>
      <c r="F160" t="s">
        <v>63</v>
      </c>
      <c r="G160" t="s">
        <v>116</v>
      </c>
      <c r="H160" s="17" t="s">
        <v>52</v>
      </c>
      <c r="I160" t="s">
        <v>53</v>
      </c>
      <c r="J160" t="s">
        <v>190</v>
      </c>
      <c r="L160" t="s">
        <v>55</v>
      </c>
      <c r="M160" t="s">
        <v>56</v>
      </c>
      <c r="N160" t="s">
        <v>57</v>
      </c>
      <c r="O160" s="18" t="s">
        <v>58</v>
      </c>
      <c r="P160" s="18" t="s">
        <v>72</v>
      </c>
      <c r="Q160" s="17" t="s">
        <v>122</v>
      </c>
      <c r="R160" s="18" t="s">
        <v>123</v>
      </c>
      <c r="S160" s="32">
        <v>4</v>
      </c>
      <c r="T160" s="19">
        <v>4</v>
      </c>
      <c r="U160" s="17" t="s">
        <v>119</v>
      </c>
      <c r="V160" s="17">
        <v>45730</v>
      </c>
      <c r="W160" s="18">
        <v>3</v>
      </c>
      <c r="X160" s="17">
        <v>45742</v>
      </c>
      <c r="Y160" s="17">
        <v>45736</v>
      </c>
      <c r="Z160" s="45">
        <v>3</v>
      </c>
      <c r="AA160">
        <v>2025</v>
      </c>
      <c r="AB160" s="42">
        <v>1405320</v>
      </c>
      <c r="AC160" s="42">
        <v>1405320</v>
      </c>
    </row>
    <row r="161" spans="1:29">
      <c r="A161" t="s">
        <v>45</v>
      </c>
      <c r="B161" t="s">
        <v>46</v>
      </c>
      <c r="C161" t="s">
        <v>47</v>
      </c>
      <c r="D161" t="s">
        <v>249</v>
      </c>
      <c r="E161" t="s">
        <v>115</v>
      </c>
      <c r="F161" t="s">
        <v>50</v>
      </c>
      <c r="G161" t="s">
        <v>116</v>
      </c>
      <c r="H161" s="17" t="s">
        <v>52</v>
      </c>
      <c r="I161" t="s">
        <v>53</v>
      </c>
      <c r="J161" t="s">
        <v>125</v>
      </c>
      <c r="L161" t="s">
        <v>55</v>
      </c>
      <c r="M161" t="s">
        <v>56</v>
      </c>
      <c r="N161" t="s">
        <v>57</v>
      </c>
      <c r="O161" s="18" t="s">
        <v>58</v>
      </c>
      <c r="P161" s="18" t="s">
        <v>72</v>
      </c>
      <c r="Q161" s="17" t="s">
        <v>122</v>
      </c>
      <c r="R161" s="18" t="s">
        <v>123</v>
      </c>
      <c r="S161" s="32">
        <v>4</v>
      </c>
      <c r="T161" s="19">
        <v>4</v>
      </c>
      <c r="U161" s="17" t="s">
        <v>119</v>
      </c>
      <c r="V161" s="17">
        <v>45730</v>
      </c>
      <c r="W161" s="18">
        <v>3</v>
      </c>
      <c r="X161" s="17">
        <v>45742</v>
      </c>
      <c r="Y161" s="17">
        <v>45737</v>
      </c>
      <c r="Z161" s="45">
        <v>3</v>
      </c>
      <c r="AA161">
        <v>2025</v>
      </c>
      <c r="AB161" s="42">
        <v>1405320</v>
      </c>
      <c r="AC161" s="42">
        <v>1405320</v>
      </c>
    </row>
    <row r="162" spans="1:29">
      <c r="A162" t="s">
        <v>45</v>
      </c>
      <c r="B162" t="s">
        <v>46</v>
      </c>
      <c r="C162" t="s">
        <v>47</v>
      </c>
      <c r="D162" t="s">
        <v>250</v>
      </c>
      <c r="E162" t="s">
        <v>49</v>
      </c>
      <c r="F162" t="s">
        <v>50</v>
      </c>
      <c r="G162" t="s">
        <v>51</v>
      </c>
      <c r="H162" s="17" t="s">
        <v>52</v>
      </c>
      <c r="I162" t="s">
        <v>53</v>
      </c>
      <c r="J162" t="s">
        <v>54</v>
      </c>
      <c r="L162" t="s">
        <v>55</v>
      </c>
      <c r="M162" t="s">
        <v>56</v>
      </c>
      <c r="N162" t="s">
        <v>57</v>
      </c>
      <c r="O162" s="18" t="s">
        <v>58</v>
      </c>
      <c r="P162" s="18" t="s">
        <v>132</v>
      </c>
      <c r="Q162" s="17" t="s">
        <v>133</v>
      </c>
      <c r="R162" s="18" t="s">
        <v>134</v>
      </c>
      <c r="S162" s="32">
        <v>5000</v>
      </c>
      <c r="T162" s="19">
        <v>2300</v>
      </c>
      <c r="U162" s="17" t="s">
        <v>62</v>
      </c>
      <c r="V162" s="17">
        <v>45680</v>
      </c>
      <c r="W162" s="18">
        <v>1</v>
      </c>
      <c r="X162" s="17">
        <v>45807</v>
      </c>
      <c r="Y162" s="17">
        <v>45743</v>
      </c>
      <c r="Z162" s="45">
        <v>3</v>
      </c>
      <c r="AA162">
        <v>2025</v>
      </c>
      <c r="AB162" s="42">
        <v>29335000</v>
      </c>
      <c r="AC162" s="42">
        <v>13494100</v>
      </c>
    </row>
    <row r="163" spans="1:29">
      <c r="A163" t="s">
        <v>45</v>
      </c>
      <c r="B163" t="s">
        <v>46</v>
      </c>
      <c r="C163" t="s">
        <v>47</v>
      </c>
      <c r="D163" t="s">
        <v>251</v>
      </c>
      <c r="E163" t="s">
        <v>49</v>
      </c>
      <c r="F163" t="s">
        <v>50</v>
      </c>
      <c r="G163" t="s">
        <v>51</v>
      </c>
      <c r="H163" s="17" t="s">
        <v>52</v>
      </c>
      <c r="I163" t="s">
        <v>53</v>
      </c>
      <c r="J163" t="s">
        <v>110</v>
      </c>
      <c r="L163" t="s">
        <v>55</v>
      </c>
      <c r="M163" t="s">
        <v>56</v>
      </c>
      <c r="N163" t="s">
        <v>57</v>
      </c>
      <c r="O163" s="18" t="s">
        <v>58</v>
      </c>
      <c r="P163" s="18" t="s">
        <v>72</v>
      </c>
      <c r="Q163" s="17" t="s">
        <v>127</v>
      </c>
      <c r="R163" s="18" t="s">
        <v>128</v>
      </c>
      <c r="S163" s="32">
        <v>140</v>
      </c>
      <c r="T163" s="19">
        <v>140</v>
      </c>
      <c r="U163" s="17" t="s">
        <v>62</v>
      </c>
      <c r="V163" s="17">
        <v>45708</v>
      </c>
      <c r="W163" s="18">
        <v>2</v>
      </c>
      <c r="X163" s="17">
        <v>45714</v>
      </c>
      <c r="Y163" s="17">
        <v>45726</v>
      </c>
      <c r="Z163" s="45">
        <v>3</v>
      </c>
      <c r="AA163">
        <v>2025</v>
      </c>
      <c r="AB163" s="42">
        <v>966000</v>
      </c>
      <c r="AC163" s="42">
        <v>966000</v>
      </c>
    </row>
    <row r="164" spans="1:29">
      <c r="A164" t="s">
        <v>45</v>
      </c>
      <c r="B164" t="s">
        <v>46</v>
      </c>
      <c r="C164" t="s">
        <v>47</v>
      </c>
      <c r="D164" t="s">
        <v>251</v>
      </c>
      <c r="E164" t="s">
        <v>49</v>
      </c>
      <c r="F164" t="s">
        <v>63</v>
      </c>
      <c r="G164" t="s">
        <v>51</v>
      </c>
      <c r="H164" s="17" t="s">
        <v>52</v>
      </c>
      <c r="I164" t="s">
        <v>53</v>
      </c>
      <c r="J164" t="s">
        <v>110</v>
      </c>
      <c r="L164" t="s">
        <v>55</v>
      </c>
      <c r="M164" t="s">
        <v>56</v>
      </c>
      <c r="N164" t="s">
        <v>57</v>
      </c>
      <c r="O164" s="18" t="s">
        <v>58</v>
      </c>
      <c r="P164" s="18" t="s">
        <v>99</v>
      </c>
      <c r="Q164" s="17" t="s">
        <v>100</v>
      </c>
      <c r="R164" s="18" t="s">
        <v>101</v>
      </c>
      <c r="S164" s="32">
        <v>1</v>
      </c>
      <c r="T164" s="19">
        <v>1</v>
      </c>
      <c r="U164" s="17" t="s">
        <v>62</v>
      </c>
      <c r="V164" s="17">
        <v>45708</v>
      </c>
      <c r="W164" s="18">
        <v>2</v>
      </c>
      <c r="X164" s="17">
        <v>45714</v>
      </c>
      <c r="Y164" s="17">
        <v>45726</v>
      </c>
      <c r="Z164" s="45">
        <v>3</v>
      </c>
      <c r="AA164">
        <v>2025</v>
      </c>
      <c r="AB164" s="42">
        <v>65000</v>
      </c>
      <c r="AC164" s="42">
        <v>65000</v>
      </c>
    </row>
    <row r="165" spans="1:29">
      <c r="A165" t="s">
        <v>45</v>
      </c>
      <c r="B165" t="s">
        <v>46</v>
      </c>
      <c r="C165" t="s">
        <v>47</v>
      </c>
      <c r="D165" t="s">
        <v>252</v>
      </c>
      <c r="E165" t="s">
        <v>49</v>
      </c>
      <c r="F165" t="s">
        <v>50</v>
      </c>
      <c r="G165" t="s">
        <v>51</v>
      </c>
      <c r="H165" s="17" t="s">
        <v>52</v>
      </c>
      <c r="I165" t="s">
        <v>53</v>
      </c>
      <c r="J165" t="s">
        <v>54</v>
      </c>
      <c r="L165" t="s">
        <v>55</v>
      </c>
      <c r="M165" t="s">
        <v>56</v>
      </c>
      <c r="N165" t="s">
        <v>57</v>
      </c>
      <c r="O165" s="18" t="s">
        <v>58</v>
      </c>
      <c r="P165" s="18" t="s">
        <v>99</v>
      </c>
      <c r="Q165" s="17" t="s">
        <v>253</v>
      </c>
      <c r="R165" s="18" t="s">
        <v>254</v>
      </c>
      <c r="S165" s="32">
        <v>5</v>
      </c>
      <c r="T165" s="19">
        <v>5</v>
      </c>
      <c r="U165" s="17" t="s">
        <v>62</v>
      </c>
      <c r="V165" s="17">
        <v>45687</v>
      </c>
      <c r="W165" s="18">
        <v>1</v>
      </c>
      <c r="X165" s="17">
        <v>45688</v>
      </c>
      <c r="Y165" s="17">
        <v>45722</v>
      </c>
      <c r="Z165" s="45">
        <v>3</v>
      </c>
      <c r="AA165">
        <v>2025</v>
      </c>
      <c r="AB165" s="42">
        <v>742385</v>
      </c>
      <c r="AC165" s="42">
        <v>742385</v>
      </c>
    </row>
    <row r="166" spans="1:29">
      <c r="A166" t="s">
        <v>45</v>
      </c>
      <c r="B166" t="s">
        <v>46</v>
      </c>
      <c r="C166" t="s">
        <v>47</v>
      </c>
      <c r="D166" t="s">
        <v>255</v>
      </c>
      <c r="E166" t="s">
        <v>49</v>
      </c>
      <c r="F166" t="s">
        <v>50</v>
      </c>
      <c r="G166" t="s">
        <v>51</v>
      </c>
      <c r="H166" s="17" t="s">
        <v>52</v>
      </c>
      <c r="I166" t="s">
        <v>53</v>
      </c>
      <c r="J166" t="s">
        <v>54</v>
      </c>
      <c r="L166" t="s">
        <v>55</v>
      </c>
      <c r="M166" t="s">
        <v>56</v>
      </c>
      <c r="N166" t="s">
        <v>57</v>
      </c>
      <c r="O166" s="18" t="s">
        <v>58</v>
      </c>
      <c r="P166" s="18" t="s">
        <v>99</v>
      </c>
      <c r="Q166" s="17" t="s">
        <v>256</v>
      </c>
      <c r="R166" s="18" t="s">
        <v>257</v>
      </c>
      <c r="S166" s="32">
        <v>287</v>
      </c>
      <c r="T166" s="19">
        <v>287</v>
      </c>
      <c r="U166" s="17" t="s">
        <v>62</v>
      </c>
      <c r="V166" s="17">
        <v>45687</v>
      </c>
      <c r="W166" s="18">
        <v>1</v>
      </c>
      <c r="X166" s="17">
        <v>45747</v>
      </c>
      <c r="Y166" s="17">
        <v>45722</v>
      </c>
      <c r="Z166" s="45">
        <v>3</v>
      </c>
      <c r="AA166">
        <v>2025</v>
      </c>
      <c r="AB166" s="42">
        <v>8861699</v>
      </c>
      <c r="AC166" s="42">
        <v>8861699</v>
      </c>
    </row>
    <row r="167" spans="1:29">
      <c r="A167" t="s">
        <v>45</v>
      </c>
      <c r="B167" t="s">
        <v>46</v>
      </c>
      <c r="C167" t="s">
        <v>47</v>
      </c>
      <c r="D167" t="s">
        <v>258</v>
      </c>
      <c r="E167" t="s">
        <v>49</v>
      </c>
      <c r="F167" t="s">
        <v>50</v>
      </c>
      <c r="G167" t="s">
        <v>51</v>
      </c>
      <c r="H167" s="17" t="s">
        <v>52</v>
      </c>
      <c r="I167" t="s">
        <v>53</v>
      </c>
      <c r="J167" t="s">
        <v>54</v>
      </c>
      <c r="L167" t="s">
        <v>55</v>
      </c>
      <c r="M167" t="s">
        <v>56</v>
      </c>
      <c r="N167" t="s">
        <v>57</v>
      </c>
      <c r="O167" s="18" t="s">
        <v>58</v>
      </c>
      <c r="P167" s="18" t="s">
        <v>72</v>
      </c>
      <c r="Q167" s="17" t="s">
        <v>151</v>
      </c>
      <c r="R167" s="18" t="s">
        <v>152</v>
      </c>
      <c r="S167" s="32">
        <v>20</v>
      </c>
      <c r="T167" s="19">
        <v>20</v>
      </c>
      <c r="U167" s="17" t="s">
        <v>62</v>
      </c>
      <c r="V167" s="17">
        <v>45720</v>
      </c>
      <c r="W167" s="18">
        <v>3</v>
      </c>
      <c r="X167" s="17">
        <v>45812</v>
      </c>
      <c r="Y167" s="17">
        <v>45728</v>
      </c>
      <c r="Z167" s="45">
        <v>3</v>
      </c>
      <c r="AA167">
        <v>2025</v>
      </c>
      <c r="AB167" s="42">
        <v>674260</v>
      </c>
      <c r="AC167" s="42">
        <v>674260</v>
      </c>
    </row>
    <row r="168" spans="1:29">
      <c r="A168" t="s">
        <v>45</v>
      </c>
      <c r="B168" t="s">
        <v>46</v>
      </c>
      <c r="C168" t="s">
        <v>47</v>
      </c>
      <c r="D168" t="s">
        <v>258</v>
      </c>
      <c r="E168" t="s">
        <v>49</v>
      </c>
      <c r="F168" t="s">
        <v>63</v>
      </c>
      <c r="G168" t="s">
        <v>51</v>
      </c>
      <c r="H168" s="17" t="s">
        <v>52</v>
      </c>
      <c r="I168" t="s">
        <v>53</v>
      </c>
      <c r="J168" t="s">
        <v>54</v>
      </c>
      <c r="L168" t="s">
        <v>55</v>
      </c>
      <c r="M168" t="s">
        <v>56</v>
      </c>
      <c r="N168" t="s">
        <v>57</v>
      </c>
      <c r="O168" s="18" t="s">
        <v>58</v>
      </c>
      <c r="P168" s="18" t="s">
        <v>99</v>
      </c>
      <c r="Q168" s="17" t="s">
        <v>100</v>
      </c>
      <c r="R168" s="18" t="s">
        <v>101</v>
      </c>
      <c r="S168" s="32">
        <v>1</v>
      </c>
      <c r="T168" s="19">
        <v>1</v>
      </c>
      <c r="U168" s="17" t="s">
        <v>62</v>
      </c>
      <c r="V168" s="17">
        <v>45720</v>
      </c>
      <c r="W168" s="18">
        <v>3</v>
      </c>
      <c r="X168" s="17">
        <v>45812</v>
      </c>
      <c r="Y168" s="17">
        <v>45728</v>
      </c>
      <c r="Z168" s="45">
        <v>3</v>
      </c>
      <c r="AA168">
        <v>2025</v>
      </c>
      <c r="AB168" s="42">
        <v>58000</v>
      </c>
      <c r="AC168" s="42">
        <v>58000</v>
      </c>
    </row>
    <row r="169" spans="1:29">
      <c r="A169" t="s">
        <v>45</v>
      </c>
      <c r="B169" t="s">
        <v>46</v>
      </c>
      <c r="C169" t="s">
        <v>47</v>
      </c>
      <c r="D169" t="s">
        <v>259</v>
      </c>
      <c r="E169" t="s">
        <v>49</v>
      </c>
      <c r="F169" t="s">
        <v>50</v>
      </c>
      <c r="G169" t="s">
        <v>51</v>
      </c>
      <c r="H169" s="17" t="s">
        <v>52</v>
      </c>
      <c r="I169" t="s">
        <v>53</v>
      </c>
      <c r="J169" t="s">
        <v>167</v>
      </c>
      <c r="L169" t="s">
        <v>55</v>
      </c>
      <c r="M169" t="s">
        <v>56</v>
      </c>
      <c r="N169" t="s">
        <v>57</v>
      </c>
      <c r="O169" s="18" t="s">
        <v>58</v>
      </c>
      <c r="P169" s="18" t="s">
        <v>132</v>
      </c>
      <c r="Q169" s="17" t="s">
        <v>133</v>
      </c>
      <c r="R169" s="18" t="s">
        <v>134</v>
      </c>
      <c r="S169" s="32">
        <v>42</v>
      </c>
      <c r="T169" s="19">
        <v>42</v>
      </c>
      <c r="U169" s="17" t="s">
        <v>62</v>
      </c>
      <c r="V169" s="17">
        <v>45719</v>
      </c>
      <c r="W169" s="18">
        <v>3</v>
      </c>
      <c r="X169" s="17">
        <v>45720</v>
      </c>
      <c r="Y169" s="17">
        <v>45734</v>
      </c>
      <c r="Z169" s="45">
        <v>3</v>
      </c>
      <c r="AA169">
        <v>2025</v>
      </c>
      <c r="AB169" s="42">
        <v>250152</v>
      </c>
      <c r="AC169" s="42">
        <v>250152</v>
      </c>
    </row>
    <row r="170" spans="1:29">
      <c r="A170" t="s">
        <v>45</v>
      </c>
      <c r="B170" t="s">
        <v>46</v>
      </c>
      <c r="C170" t="s">
        <v>47</v>
      </c>
      <c r="D170" t="s">
        <v>259</v>
      </c>
      <c r="E170" t="s">
        <v>49</v>
      </c>
      <c r="F170" t="s">
        <v>63</v>
      </c>
      <c r="G170" t="s">
        <v>51</v>
      </c>
      <c r="H170" s="17" t="s">
        <v>52</v>
      </c>
      <c r="I170" t="s">
        <v>53</v>
      </c>
      <c r="J170" t="s">
        <v>167</v>
      </c>
      <c r="L170" t="s">
        <v>55</v>
      </c>
      <c r="M170" t="s">
        <v>56</v>
      </c>
      <c r="N170" t="s">
        <v>57</v>
      </c>
      <c r="O170" s="18" t="s">
        <v>58</v>
      </c>
      <c r="P170" s="18" t="s">
        <v>172</v>
      </c>
      <c r="Q170" s="17" t="s">
        <v>173</v>
      </c>
      <c r="R170" s="18" t="s">
        <v>174</v>
      </c>
      <c r="S170" s="32">
        <v>3</v>
      </c>
      <c r="T170" s="19">
        <v>3</v>
      </c>
      <c r="U170" s="17" t="s">
        <v>62</v>
      </c>
      <c r="V170" s="17">
        <v>45719</v>
      </c>
      <c r="W170" s="18">
        <v>3</v>
      </c>
      <c r="X170" s="17">
        <v>45720</v>
      </c>
      <c r="Y170" s="17">
        <v>45734</v>
      </c>
      <c r="Z170" s="45">
        <v>3</v>
      </c>
      <c r="AA170">
        <v>2025</v>
      </c>
      <c r="AB170" s="42">
        <v>138165</v>
      </c>
      <c r="AC170" s="42">
        <v>138165</v>
      </c>
    </row>
    <row r="171" spans="1:29">
      <c r="A171" t="s">
        <v>45</v>
      </c>
      <c r="B171" t="s">
        <v>46</v>
      </c>
      <c r="C171" t="s">
        <v>47</v>
      </c>
      <c r="D171" t="s">
        <v>259</v>
      </c>
      <c r="E171" t="s">
        <v>49</v>
      </c>
      <c r="F171" t="s">
        <v>67</v>
      </c>
      <c r="G171" t="s">
        <v>51</v>
      </c>
      <c r="H171" s="17" t="s">
        <v>52</v>
      </c>
      <c r="I171" t="s">
        <v>53</v>
      </c>
      <c r="J171" t="s">
        <v>167</v>
      </c>
      <c r="L171" t="s">
        <v>55</v>
      </c>
      <c r="M171" t="s">
        <v>56</v>
      </c>
      <c r="N171" t="s">
        <v>57</v>
      </c>
      <c r="O171" s="18" t="s">
        <v>58</v>
      </c>
      <c r="P171" s="18" t="s">
        <v>99</v>
      </c>
      <c r="Q171" s="17" t="s">
        <v>100</v>
      </c>
      <c r="R171" s="18" t="s">
        <v>101</v>
      </c>
      <c r="S171" s="32">
        <v>1</v>
      </c>
      <c r="T171" s="19">
        <v>1</v>
      </c>
      <c r="U171" s="17" t="s">
        <v>62</v>
      </c>
      <c r="V171" s="17">
        <v>45719</v>
      </c>
      <c r="W171" s="18">
        <v>3</v>
      </c>
      <c r="X171" s="17">
        <v>45720</v>
      </c>
      <c r="Y171" s="17">
        <v>45734</v>
      </c>
      <c r="Z171" s="45">
        <v>3</v>
      </c>
      <c r="AA171">
        <v>2025</v>
      </c>
      <c r="AB171" s="42">
        <v>58000</v>
      </c>
      <c r="AC171" s="42">
        <v>58000</v>
      </c>
    </row>
    <row r="172" spans="1:29">
      <c r="A172" t="s">
        <v>45</v>
      </c>
      <c r="B172" t="s">
        <v>46</v>
      </c>
      <c r="C172" t="s">
        <v>47</v>
      </c>
      <c r="D172" t="s">
        <v>260</v>
      </c>
      <c r="E172" t="s">
        <v>49</v>
      </c>
      <c r="F172" t="s">
        <v>50</v>
      </c>
      <c r="G172" t="s">
        <v>51</v>
      </c>
      <c r="H172" s="17" t="s">
        <v>52</v>
      </c>
      <c r="I172" t="s">
        <v>53</v>
      </c>
      <c r="J172" t="s">
        <v>167</v>
      </c>
      <c r="L172" t="s">
        <v>55</v>
      </c>
      <c r="M172" t="s">
        <v>56</v>
      </c>
      <c r="N172" t="s">
        <v>57</v>
      </c>
      <c r="O172" s="18" t="s">
        <v>58</v>
      </c>
      <c r="P172" s="18" t="s">
        <v>132</v>
      </c>
      <c r="Q172" s="17" t="s">
        <v>133</v>
      </c>
      <c r="R172" s="18" t="s">
        <v>134</v>
      </c>
      <c r="S172" s="32">
        <v>1000</v>
      </c>
      <c r="T172" s="19">
        <v>1000</v>
      </c>
      <c r="U172" s="17" t="s">
        <v>62</v>
      </c>
      <c r="V172" s="17">
        <v>45721</v>
      </c>
      <c r="W172" s="18">
        <v>3</v>
      </c>
      <c r="X172" s="17">
        <v>45722</v>
      </c>
      <c r="Y172" s="17">
        <v>45734</v>
      </c>
      <c r="Z172" s="45">
        <v>3</v>
      </c>
      <c r="AA172">
        <v>2025</v>
      </c>
      <c r="AB172" s="42">
        <v>5956000</v>
      </c>
      <c r="AC172" s="42">
        <v>5956000</v>
      </c>
    </row>
    <row r="173" spans="1:29">
      <c r="A173" t="s">
        <v>45</v>
      </c>
      <c r="B173" t="s">
        <v>46</v>
      </c>
      <c r="C173" t="s">
        <v>47</v>
      </c>
      <c r="D173" t="s">
        <v>260</v>
      </c>
      <c r="E173" t="s">
        <v>49</v>
      </c>
      <c r="F173" t="s">
        <v>63</v>
      </c>
      <c r="G173" t="s">
        <v>51</v>
      </c>
      <c r="H173" s="17" t="s">
        <v>52</v>
      </c>
      <c r="I173" t="s">
        <v>53</v>
      </c>
      <c r="J173" t="s">
        <v>167</v>
      </c>
      <c r="L173" t="s">
        <v>55</v>
      </c>
      <c r="M173" t="s">
        <v>56</v>
      </c>
      <c r="N173" t="s">
        <v>57</v>
      </c>
      <c r="O173" s="18" t="s">
        <v>58</v>
      </c>
      <c r="P173" s="18" t="s">
        <v>99</v>
      </c>
      <c r="Q173" s="17" t="s">
        <v>100</v>
      </c>
      <c r="R173" s="18" t="s">
        <v>101</v>
      </c>
      <c r="S173" s="32">
        <v>1</v>
      </c>
      <c r="T173" s="19">
        <v>1</v>
      </c>
      <c r="U173" s="17" t="s">
        <v>62</v>
      </c>
      <c r="V173" s="17">
        <v>45721</v>
      </c>
      <c r="W173" s="18">
        <v>3</v>
      </c>
      <c r="X173" s="17">
        <v>45722</v>
      </c>
      <c r="Y173" s="17">
        <v>45734</v>
      </c>
      <c r="Z173" s="45">
        <v>3</v>
      </c>
      <c r="AA173">
        <v>2025</v>
      </c>
      <c r="AB173" s="42">
        <v>1232500</v>
      </c>
      <c r="AC173" s="42">
        <v>1232500</v>
      </c>
    </row>
    <row r="174" spans="1:29">
      <c r="A174" t="s">
        <v>45</v>
      </c>
      <c r="B174" t="s">
        <v>46</v>
      </c>
      <c r="C174" t="s">
        <v>47</v>
      </c>
      <c r="D174" t="s">
        <v>261</v>
      </c>
      <c r="E174" t="s">
        <v>49</v>
      </c>
      <c r="F174" t="s">
        <v>50</v>
      </c>
      <c r="G174" t="s">
        <v>51</v>
      </c>
      <c r="H174" s="17" t="s">
        <v>52</v>
      </c>
      <c r="I174" t="s">
        <v>53</v>
      </c>
      <c r="J174" t="s">
        <v>224</v>
      </c>
      <c r="L174" t="s">
        <v>55</v>
      </c>
      <c r="M174" t="s">
        <v>56</v>
      </c>
      <c r="N174" t="s">
        <v>57</v>
      </c>
      <c r="O174" s="18" t="s">
        <v>58</v>
      </c>
      <c r="P174" s="18" t="s">
        <v>72</v>
      </c>
      <c r="Q174" s="17" t="s">
        <v>151</v>
      </c>
      <c r="R174" s="18" t="s">
        <v>152</v>
      </c>
      <c r="S174" s="32">
        <v>210</v>
      </c>
      <c r="T174" s="19">
        <v>210</v>
      </c>
      <c r="U174" s="17" t="s">
        <v>62</v>
      </c>
      <c r="V174" s="17">
        <v>45722</v>
      </c>
      <c r="W174" s="18">
        <v>3</v>
      </c>
      <c r="X174" s="17">
        <v>45723</v>
      </c>
      <c r="Y174" s="17">
        <v>45734</v>
      </c>
      <c r="Z174" s="45">
        <v>3</v>
      </c>
      <c r="AA174">
        <v>2025</v>
      </c>
      <c r="AB174" s="42">
        <v>6024480</v>
      </c>
      <c r="AC174" s="42">
        <v>6024480</v>
      </c>
    </row>
    <row r="175" spans="1:29">
      <c r="A175" t="s">
        <v>45</v>
      </c>
      <c r="B175" t="s">
        <v>46</v>
      </c>
      <c r="C175" t="s">
        <v>47</v>
      </c>
      <c r="D175" t="s">
        <v>261</v>
      </c>
      <c r="E175" t="s">
        <v>49</v>
      </c>
      <c r="F175" t="s">
        <v>63</v>
      </c>
      <c r="G175" t="s">
        <v>51</v>
      </c>
      <c r="H175" s="17" t="s">
        <v>52</v>
      </c>
      <c r="I175" t="s">
        <v>53</v>
      </c>
      <c r="J175" t="s">
        <v>224</v>
      </c>
      <c r="L175" t="s">
        <v>55</v>
      </c>
      <c r="M175" t="s">
        <v>56</v>
      </c>
      <c r="N175" t="s">
        <v>57</v>
      </c>
      <c r="O175" s="18" t="s">
        <v>58</v>
      </c>
      <c r="P175" s="18" t="s">
        <v>99</v>
      </c>
      <c r="Q175" s="17" t="s">
        <v>100</v>
      </c>
      <c r="R175" s="18" t="s">
        <v>101</v>
      </c>
      <c r="S175" s="32">
        <v>210</v>
      </c>
      <c r="T175" s="19">
        <v>210</v>
      </c>
      <c r="U175" s="17" t="s">
        <v>62</v>
      </c>
      <c r="V175" s="17">
        <v>45722</v>
      </c>
      <c r="W175" s="18">
        <v>3</v>
      </c>
      <c r="X175" s="17">
        <v>45723</v>
      </c>
      <c r="Y175" s="17">
        <v>45734</v>
      </c>
      <c r="Z175" s="45">
        <v>3</v>
      </c>
      <c r="AA175">
        <v>2025</v>
      </c>
      <c r="AB175" s="42">
        <v>38640</v>
      </c>
      <c r="AC175" s="42">
        <v>38640</v>
      </c>
    </row>
    <row r="176" spans="1:29">
      <c r="A176" t="s">
        <v>45</v>
      </c>
      <c r="B176" t="s">
        <v>46</v>
      </c>
      <c r="C176" t="s">
        <v>47</v>
      </c>
      <c r="D176" t="s">
        <v>262</v>
      </c>
      <c r="E176" t="s">
        <v>49</v>
      </c>
      <c r="F176" t="s">
        <v>50</v>
      </c>
      <c r="G176" t="s">
        <v>51</v>
      </c>
      <c r="H176" s="17" t="s">
        <v>52</v>
      </c>
      <c r="I176" t="s">
        <v>53</v>
      </c>
      <c r="J176" t="s">
        <v>224</v>
      </c>
      <c r="L176" t="s">
        <v>55</v>
      </c>
      <c r="M176" t="s">
        <v>56</v>
      </c>
      <c r="N176" t="s">
        <v>57</v>
      </c>
      <c r="O176" s="18" t="s">
        <v>58</v>
      </c>
      <c r="P176" s="18" t="s">
        <v>72</v>
      </c>
      <c r="Q176" s="17" t="s">
        <v>151</v>
      </c>
      <c r="R176" s="18" t="s">
        <v>152</v>
      </c>
      <c r="S176" s="32">
        <v>210</v>
      </c>
      <c r="T176" s="19">
        <v>210</v>
      </c>
      <c r="U176" s="17" t="s">
        <v>62</v>
      </c>
      <c r="V176" s="17">
        <v>45722</v>
      </c>
      <c r="W176" s="18">
        <v>3</v>
      </c>
      <c r="X176" s="17">
        <v>45723</v>
      </c>
      <c r="Y176" s="17">
        <v>45734</v>
      </c>
      <c r="Z176" s="45">
        <v>3</v>
      </c>
      <c r="AA176">
        <v>2025</v>
      </c>
      <c r="AB176" s="42">
        <v>6024270</v>
      </c>
      <c r="AC176" s="42">
        <v>6024270</v>
      </c>
    </row>
    <row r="177" spans="1:29">
      <c r="A177" t="s">
        <v>45</v>
      </c>
      <c r="B177" t="s">
        <v>46</v>
      </c>
      <c r="C177" t="s">
        <v>47</v>
      </c>
      <c r="D177" t="s">
        <v>262</v>
      </c>
      <c r="E177" t="s">
        <v>49</v>
      </c>
      <c r="F177" t="s">
        <v>63</v>
      </c>
      <c r="G177" t="s">
        <v>51</v>
      </c>
      <c r="H177" s="17" t="s">
        <v>52</v>
      </c>
      <c r="I177" t="s">
        <v>53</v>
      </c>
      <c r="J177" t="s">
        <v>224</v>
      </c>
      <c r="L177" t="s">
        <v>55</v>
      </c>
      <c r="M177" t="s">
        <v>56</v>
      </c>
      <c r="N177" t="s">
        <v>57</v>
      </c>
      <c r="O177" s="18" t="s">
        <v>58</v>
      </c>
      <c r="P177" s="18" t="s">
        <v>99</v>
      </c>
      <c r="Q177" s="17" t="s">
        <v>100</v>
      </c>
      <c r="R177" s="18" t="s">
        <v>101</v>
      </c>
      <c r="S177" s="32">
        <v>210</v>
      </c>
      <c r="T177" s="19">
        <v>210</v>
      </c>
      <c r="U177" s="17" t="s">
        <v>62</v>
      </c>
      <c r="V177" s="17">
        <v>45722</v>
      </c>
      <c r="W177" s="18">
        <v>3</v>
      </c>
      <c r="X177" s="17">
        <v>45723</v>
      </c>
      <c r="Y177" s="17">
        <v>45734</v>
      </c>
      <c r="Z177" s="45">
        <v>3</v>
      </c>
      <c r="AA177">
        <v>2025</v>
      </c>
      <c r="AB177" s="42">
        <v>38640</v>
      </c>
      <c r="AC177" s="42">
        <v>38640</v>
      </c>
    </row>
    <row r="178" spans="1:29">
      <c r="A178" t="s">
        <v>45</v>
      </c>
      <c r="B178" t="s">
        <v>46</v>
      </c>
      <c r="C178" t="s">
        <v>47</v>
      </c>
      <c r="D178" t="s">
        <v>263</v>
      </c>
      <c r="E178" t="s">
        <v>49</v>
      </c>
      <c r="F178" t="s">
        <v>50</v>
      </c>
      <c r="G178" t="s">
        <v>51</v>
      </c>
      <c r="H178" s="17" t="s">
        <v>52</v>
      </c>
      <c r="I178" t="s">
        <v>53</v>
      </c>
      <c r="J178" t="s">
        <v>224</v>
      </c>
      <c r="L178" t="s">
        <v>55</v>
      </c>
      <c r="M178" t="s">
        <v>56</v>
      </c>
      <c r="N178" t="s">
        <v>57</v>
      </c>
      <c r="O178" s="18" t="s">
        <v>58</v>
      </c>
      <c r="P178" s="18" t="s">
        <v>72</v>
      </c>
      <c r="Q178" s="17" t="s">
        <v>151</v>
      </c>
      <c r="R178" s="18" t="s">
        <v>152</v>
      </c>
      <c r="S178" s="32">
        <v>420</v>
      </c>
      <c r="T178" s="19">
        <v>420</v>
      </c>
      <c r="U178" s="17" t="s">
        <v>62</v>
      </c>
      <c r="V178" s="17">
        <v>45722</v>
      </c>
      <c r="W178" s="18">
        <v>3</v>
      </c>
      <c r="X178" s="17">
        <v>45723</v>
      </c>
      <c r="Y178" s="17">
        <v>45730</v>
      </c>
      <c r="Z178" s="45">
        <v>3</v>
      </c>
      <c r="AA178">
        <v>2025</v>
      </c>
      <c r="AB178" s="42">
        <v>12048960</v>
      </c>
      <c r="AC178" s="42">
        <v>12048960</v>
      </c>
    </row>
    <row r="179" spans="1:29">
      <c r="A179" t="s">
        <v>45</v>
      </c>
      <c r="B179" t="s">
        <v>46</v>
      </c>
      <c r="C179" t="s">
        <v>47</v>
      </c>
      <c r="D179" t="s">
        <v>263</v>
      </c>
      <c r="E179" t="s">
        <v>49</v>
      </c>
      <c r="F179" t="s">
        <v>63</v>
      </c>
      <c r="G179" t="s">
        <v>51</v>
      </c>
      <c r="H179" s="17" t="s">
        <v>52</v>
      </c>
      <c r="I179" t="s">
        <v>53</v>
      </c>
      <c r="J179" t="s">
        <v>224</v>
      </c>
      <c r="L179" t="s">
        <v>55</v>
      </c>
      <c r="M179" t="s">
        <v>56</v>
      </c>
      <c r="N179" t="s">
        <v>57</v>
      </c>
      <c r="O179" s="18" t="s">
        <v>58</v>
      </c>
      <c r="P179" s="18" t="s">
        <v>99</v>
      </c>
      <c r="Q179" s="17" t="s">
        <v>100</v>
      </c>
      <c r="R179" s="18" t="s">
        <v>101</v>
      </c>
      <c r="S179" s="32">
        <v>420</v>
      </c>
      <c r="T179" s="19">
        <v>420</v>
      </c>
      <c r="U179" s="17" t="s">
        <v>62</v>
      </c>
      <c r="V179" s="17">
        <v>45722</v>
      </c>
      <c r="W179" s="18">
        <v>3</v>
      </c>
      <c r="X179" s="17">
        <v>45723</v>
      </c>
      <c r="Y179" s="17">
        <v>45730</v>
      </c>
      <c r="Z179" s="45">
        <v>3</v>
      </c>
      <c r="AA179">
        <v>2025</v>
      </c>
      <c r="AB179" s="42">
        <v>77280</v>
      </c>
      <c r="AC179" s="42">
        <v>77280</v>
      </c>
    </row>
    <row r="180" spans="1:29">
      <c r="A180" t="s">
        <v>45</v>
      </c>
      <c r="B180" t="s">
        <v>46</v>
      </c>
      <c r="C180" t="s">
        <v>47</v>
      </c>
      <c r="D180" t="s">
        <v>264</v>
      </c>
      <c r="E180" t="s">
        <v>49</v>
      </c>
      <c r="F180" t="s">
        <v>50</v>
      </c>
      <c r="G180" t="s">
        <v>51</v>
      </c>
      <c r="H180" s="17" t="s">
        <v>52</v>
      </c>
      <c r="I180" t="s">
        <v>53</v>
      </c>
      <c r="J180" t="s">
        <v>224</v>
      </c>
      <c r="L180" t="s">
        <v>55</v>
      </c>
      <c r="M180" t="s">
        <v>56</v>
      </c>
      <c r="N180" t="s">
        <v>57</v>
      </c>
      <c r="O180" s="18" t="s">
        <v>58</v>
      </c>
      <c r="P180" s="18" t="s">
        <v>72</v>
      </c>
      <c r="Q180" s="17" t="s">
        <v>151</v>
      </c>
      <c r="R180" s="18" t="s">
        <v>152</v>
      </c>
      <c r="S180" s="32">
        <v>210</v>
      </c>
      <c r="T180" s="19">
        <v>210</v>
      </c>
      <c r="U180" s="17" t="s">
        <v>62</v>
      </c>
      <c r="V180" s="17">
        <v>45722</v>
      </c>
      <c r="W180" s="18">
        <v>3</v>
      </c>
      <c r="X180" s="17">
        <v>45723</v>
      </c>
      <c r="Y180" s="17">
        <v>45734</v>
      </c>
      <c r="Z180" s="45">
        <v>3</v>
      </c>
      <c r="AA180">
        <v>2025</v>
      </c>
      <c r="AB180" s="42">
        <v>6024480</v>
      </c>
      <c r="AC180" s="42">
        <v>6024480</v>
      </c>
    </row>
    <row r="181" spans="1:29">
      <c r="A181" t="s">
        <v>45</v>
      </c>
      <c r="B181" t="s">
        <v>46</v>
      </c>
      <c r="C181" t="s">
        <v>47</v>
      </c>
      <c r="D181" t="s">
        <v>264</v>
      </c>
      <c r="E181" t="s">
        <v>49</v>
      </c>
      <c r="F181" t="s">
        <v>63</v>
      </c>
      <c r="G181" t="s">
        <v>51</v>
      </c>
      <c r="H181" s="17" t="s">
        <v>52</v>
      </c>
      <c r="I181" t="s">
        <v>53</v>
      </c>
      <c r="J181" t="s">
        <v>224</v>
      </c>
      <c r="L181" t="s">
        <v>55</v>
      </c>
      <c r="M181" t="s">
        <v>56</v>
      </c>
      <c r="N181" t="s">
        <v>57</v>
      </c>
      <c r="O181" s="18" t="s">
        <v>58</v>
      </c>
      <c r="P181" s="18" t="s">
        <v>99</v>
      </c>
      <c r="Q181" s="17" t="s">
        <v>100</v>
      </c>
      <c r="R181" s="18" t="s">
        <v>101</v>
      </c>
      <c r="S181" s="32">
        <v>210</v>
      </c>
      <c r="T181" s="19">
        <v>210</v>
      </c>
      <c r="U181" s="17" t="s">
        <v>62</v>
      </c>
      <c r="V181" s="17">
        <v>45722</v>
      </c>
      <c r="W181" s="18">
        <v>3</v>
      </c>
      <c r="X181" s="17">
        <v>45723</v>
      </c>
      <c r="Y181" s="17">
        <v>45734</v>
      </c>
      <c r="Z181" s="45">
        <v>3</v>
      </c>
      <c r="AA181">
        <v>2025</v>
      </c>
      <c r="AB181" s="42">
        <v>38640</v>
      </c>
      <c r="AC181" s="42">
        <v>38640</v>
      </c>
    </row>
    <row r="182" spans="1:29">
      <c r="A182" t="s">
        <v>45</v>
      </c>
      <c r="B182" t="s">
        <v>46</v>
      </c>
      <c r="C182" t="s">
        <v>47</v>
      </c>
      <c r="D182" t="s">
        <v>265</v>
      </c>
      <c r="E182" t="s">
        <v>49</v>
      </c>
      <c r="F182" t="s">
        <v>50</v>
      </c>
      <c r="G182" t="s">
        <v>51</v>
      </c>
      <c r="H182" s="17" t="s">
        <v>52</v>
      </c>
      <c r="I182" t="s">
        <v>53</v>
      </c>
      <c r="J182" t="s">
        <v>54</v>
      </c>
      <c r="L182" t="s">
        <v>55</v>
      </c>
      <c r="M182" t="s">
        <v>56</v>
      </c>
      <c r="N182" t="s">
        <v>57</v>
      </c>
      <c r="O182" s="18" t="s">
        <v>58</v>
      </c>
      <c r="P182" s="18" t="s">
        <v>172</v>
      </c>
      <c r="Q182" s="17" t="s">
        <v>173</v>
      </c>
      <c r="R182" s="18" t="s">
        <v>174</v>
      </c>
      <c r="S182" s="32">
        <v>53</v>
      </c>
      <c r="T182" s="19">
        <v>4</v>
      </c>
      <c r="U182" s="17" t="s">
        <v>62</v>
      </c>
      <c r="V182" s="17">
        <v>45722</v>
      </c>
      <c r="W182" s="18">
        <v>3</v>
      </c>
      <c r="X182" s="17">
        <v>46088</v>
      </c>
      <c r="Y182" s="17">
        <v>45722</v>
      </c>
      <c r="Z182" s="45">
        <v>3</v>
      </c>
      <c r="AA182">
        <v>2025</v>
      </c>
      <c r="AB182" s="42">
        <v>2464659</v>
      </c>
      <c r="AC182" s="42">
        <v>186012</v>
      </c>
    </row>
    <row r="183" spans="1:29">
      <c r="A183" t="s">
        <v>45</v>
      </c>
      <c r="B183" t="s">
        <v>46</v>
      </c>
      <c r="C183" t="s">
        <v>47</v>
      </c>
      <c r="D183" t="s">
        <v>266</v>
      </c>
      <c r="E183" t="s">
        <v>49</v>
      </c>
      <c r="F183" t="s">
        <v>50</v>
      </c>
      <c r="G183" t="s">
        <v>51</v>
      </c>
      <c r="H183" s="17" t="s">
        <v>52</v>
      </c>
      <c r="I183" t="s">
        <v>53</v>
      </c>
      <c r="J183" t="s">
        <v>167</v>
      </c>
      <c r="L183" t="s">
        <v>55</v>
      </c>
      <c r="M183" t="s">
        <v>56</v>
      </c>
      <c r="N183" t="s">
        <v>57</v>
      </c>
      <c r="O183" s="18" t="s">
        <v>58</v>
      </c>
      <c r="P183" s="18" t="s">
        <v>72</v>
      </c>
      <c r="Q183" s="17" t="s">
        <v>267</v>
      </c>
      <c r="R183" s="18" t="s">
        <v>268</v>
      </c>
      <c r="S183" s="32">
        <v>492</v>
      </c>
      <c r="T183" s="19">
        <v>492</v>
      </c>
      <c r="U183" s="17" t="s">
        <v>62</v>
      </c>
      <c r="V183" s="17">
        <v>45722</v>
      </c>
      <c r="W183" s="18">
        <v>3</v>
      </c>
      <c r="X183" s="17">
        <v>45723</v>
      </c>
      <c r="Y183" s="17">
        <v>45726</v>
      </c>
      <c r="Z183" s="45">
        <v>3</v>
      </c>
      <c r="AA183">
        <v>2025</v>
      </c>
      <c r="AB183" s="42">
        <v>12229152</v>
      </c>
      <c r="AC183" s="42">
        <v>12229152</v>
      </c>
    </row>
    <row r="184" spans="1:29">
      <c r="A184" t="s">
        <v>45</v>
      </c>
      <c r="B184" t="s">
        <v>46</v>
      </c>
      <c r="C184" t="s">
        <v>47</v>
      </c>
      <c r="D184" t="s">
        <v>269</v>
      </c>
      <c r="E184" t="s">
        <v>49</v>
      </c>
      <c r="F184" t="s">
        <v>50</v>
      </c>
      <c r="G184" t="s">
        <v>51</v>
      </c>
      <c r="H184" s="17" t="s">
        <v>52</v>
      </c>
      <c r="I184" t="s">
        <v>53</v>
      </c>
      <c r="J184" t="s">
        <v>224</v>
      </c>
      <c r="L184" t="s">
        <v>55</v>
      </c>
      <c r="M184" t="s">
        <v>56</v>
      </c>
      <c r="N184" t="s">
        <v>57</v>
      </c>
      <c r="O184" s="18" t="s">
        <v>58</v>
      </c>
      <c r="P184" s="18" t="s">
        <v>72</v>
      </c>
      <c r="Q184" s="17" t="s">
        <v>151</v>
      </c>
      <c r="R184" s="18" t="s">
        <v>152</v>
      </c>
      <c r="S184" s="32">
        <v>210</v>
      </c>
      <c r="T184" s="19">
        <v>210</v>
      </c>
      <c r="U184" s="17" t="s">
        <v>62</v>
      </c>
      <c r="V184" s="17">
        <v>45722</v>
      </c>
      <c r="W184" s="18">
        <v>3</v>
      </c>
      <c r="X184" s="17">
        <v>45723</v>
      </c>
      <c r="Y184" s="17">
        <v>45730</v>
      </c>
      <c r="Z184" s="45">
        <v>3</v>
      </c>
      <c r="AA184">
        <v>2025</v>
      </c>
      <c r="AB184" s="42">
        <v>6024480</v>
      </c>
      <c r="AC184" s="42">
        <v>6024480</v>
      </c>
    </row>
    <row r="185" spans="1:29">
      <c r="A185" t="s">
        <v>45</v>
      </c>
      <c r="B185" t="s">
        <v>46</v>
      </c>
      <c r="C185" t="s">
        <v>47</v>
      </c>
      <c r="D185" t="s">
        <v>269</v>
      </c>
      <c r="E185" t="s">
        <v>49</v>
      </c>
      <c r="F185" t="s">
        <v>63</v>
      </c>
      <c r="G185" t="s">
        <v>51</v>
      </c>
      <c r="H185" s="17" t="s">
        <v>52</v>
      </c>
      <c r="I185" t="s">
        <v>53</v>
      </c>
      <c r="J185" t="s">
        <v>224</v>
      </c>
      <c r="L185" t="s">
        <v>55</v>
      </c>
      <c r="M185" t="s">
        <v>56</v>
      </c>
      <c r="N185" t="s">
        <v>57</v>
      </c>
      <c r="O185" s="18" t="s">
        <v>58</v>
      </c>
      <c r="P185" s="18" t="s">
        <v>99</v>
      </c>
      <c r="Q185" s="17" t="s">
        <v>100</v>
      </c>
      <c r="R185" s="18" t="s">
        <v>101</v>
      </c>
      <c r="S185" s="32">
        <v>210</v>
      </c>
      <c r="T185" s="19">
        <v>210</v>
      </c>
      <c r="U185" s="17" t="s">
        <v>62</v>
      </c>
      <c r="V185" s="17">
        <v>45722</v>
      </c>
      <c r="W185" s="18">
        <v>3</v>
      </c>
      <c r="X185" s="17">
        <v>45723</v>
      </c>
      <c r="Y185" s="17">
        <v>45730</v>
      </c>
      <c r="Z185" s="45">
        <v>3</v>
      </c>
      <c r="AA185">
        <v>2025</v>
      </c>
      <c r="AB185" s="42">
        <v>38640</v>
      </c>
      <c r="AC185" s="42">
        <v>38640</v>
      </c>
    </row>
    <row r="186" spans="1:29">
      <c r="A186" t="s">
        <v>45</v>
      </c>
      <c r="B186" t="s">
        <v>46</v>
      </c>
      <c r="C186" t="s">
        <v>47</v>
      </c>
      <c r="D186" t="s">
        <v>270</v>
      </c>
      <c r="E186" t="s">
        <v>49</v>
      </c>
      <c r="F186" t="s">
        <v>50</v>
      </c>
      <c r="G186" t="s">
        <v>51</v>
      </c>
      <c r="H186" s="17" t="s">
        <v>52</v>
      </c>
      <c r="I186" t="s">
        <v>53</v>
      </c>
      <c r="J186" t="s">
        <v>224</v>
      </c>
      <c r="L186" t="s">
        <v>55</v>
      </c>
      <c r="M186" t="s">
        <v>56</v>
      </c>
      <c r="N186" t="s">
        <v>57</v>
      </c>
      <c r="O186" s="18" t="s">
        <v>58</v>
      </c>
      <c r="P186" s="18" t="s">
        <v>72</v>
      </c>
      <c r="Q186" s="17" t="s">
        <v>151</v>
      </c>
      <c r="R186" s="18" t="s">
        <v>152</v>
      </c>
      <c r="S186" s="32">
        <v>210</v>
      </c>
      <c r="T186" s="19">
        <v>210</v>
      </c>
      <c r="U186" s="17" t="s">
        <v>62</v>
      </c>
      <c r="V186" s="17">
        <v>45730</v>
      </c>
      <c r="W186" s="18">
        <v>3</v>
      </c>
      <c r="X186" s="17">
        <v>45730</v>
      </c>
      <c r="Y186" s="17">
        <v>45744</v>
      </c>
      <c r="Z186" s="45">
        <v>3</v>
      </c>
      <c r="AA186">
        <v>2025</v>
      </c>
      <c r="AB186" s="42">
        <v>6024480</v>
      </c>
      <c r="AC186" s="42">
        <v>6024480</v>
      </c>
    </row>
    <row r="187" spans="1:29">
      <c r="A187" t="s">
        <v>45</v>
      </c>
      <c r="B187" t="s">
        <v>46</v>
      </c>
      <c r="C187" t="s">
        <v>47</v>
      </c>
      <c r="D187" t="s">
        <v>270</v>
      </c>
      <c r="E187" t="s">
        <v>49</v>
      </c>
      <c r="F187" t="s">
        <v>63</v>
      </c>
      <c r="G187" t="s">
        <v>51</v>
      </c>
      <c r="H187" s="17" t="s">
        <v>52</v>
      </c>
      <c r="I187" t="s">
        <v>53</v>
      </c>
      <c r="J187" t="s">
        <v>224</v>
      </c>
      <c r="L187" t="s">
        <v>55</v>
      </c>
      <c r="M187" t="s">
        <v>56</v>
      </c>
      <c r="N187" t="s">
        <v>57</v>
      </c>
      <c r="O187" s="18" t="s">
        <v>58</v>
      </c>
      <c r="P187" s="18" t="s">
        <v>99</v>
      </c>
      <c r="Q187" s="17" t="s">
        <v>100</v>
      </c>
      <c r="R187" s="18" t="s">
        <v>101</v>
      </c>
      <c r="S187" s="32">
        <v>210</v>
      </c>
      <c r="T187" s="19">
        <v>210</v>
      </c>
      <c r="U187" s="17" t="s">
        <v>62</v>
      </c>
      <c r="V187" s="17">
        <v>45730</v>
      </c>
      <c r="W187" s="18">
        <v>3</v>
      </c>
      <c r="X187" s="17">
        <v>45730</v>
      </c>
      <c r="Y187" s="17">
        <v>45744</v>
      </c>
      <c r="Z187" s="45">
        <v>3</v>
      </c>
      <c r="AA187">
        <v>2025</v>
      </c>
      <c r="AB187" s="42">
        <v>38640</v>
      </c>
      <c r="AC187" s="42">
        <v>38640</v>
      </c>
    </row>
    <row r="188" spans="1:29">
      <c r="A188" t="s">
        <v>45</v>
      </c>
      <c r="B188" t="s">
        <v>46</v>
      </c>
      <c r="C188" t="s">
        <v>47</v>
      </c>
      <c r="D188" t="s">
        <v>271</v>
      </c>
      <c r="E188" t="s">
        <v>49</v>
      </c>
      <c r="F188" t="s">
        <v>50</v>
      </c>
      <c r="G188" t="s">
        <v>51</v>
      </c>
      <c r="H188" s="17" t="s">
        <v>52</v>
      </c>
      <c r="I188" t="s">
        <v>53</v>
      </c>
      <c r="J188" t="s">
        <v>224</v>
      </c>
      <c r="L188" t="s">
        <v>55</v>
      </c>
      <c r="M188" t="s">
        <v>56</v>
      </c>
      <c r="N188" t="s">
        <v>57</v>
      </c>
      <c r="O188" s="18" t="s">
        <v>58</v>
      </c>
      <c r="P188" s="18" t="s">
        <v>72</v>
      </c>
      <c r="Q188" s="17" t="s">
        <v>151</v>
      </c>
      <c r="R188" s="18" t="s">
        <v>152</v>
      </c>
      <c r="S188" s="32">
        <v>595</v>
      </c>
      <c r="T188" s="19">
        <v>595</v>
      </c>
      <c r="U188" s="17" t="s">
        <v>62</v>
      </c>
      <c r="V188" s="17">
        <v>45729</v>
      </c>
      <c r="W188" s="18">
        <v>3</v>
      </c>
      <c r="X188" s="17">
        <v>45730</v>
      </c>
      <c r="Y188" s="17">
        <v>45743</v>
      </c>
      <c r="Z188" s="45">
        <v>3</v>
      </c>
      <c r="AA188">
        <v>2025</v>
      </c>
      <c r="AB188" s="42">
        <v>17069360</v>
      </c>
      <c r="AC188" s="42">
        <v>17069360</v>
      </c>
    </row>
    <row r="189" spans="1:29">
      <c r="A189" t="s">
        <v>45</v>
      </c>
      <c r="B189" t="s">
        <v>46</v>
      </c>
      <c r="C189" t="s">
        <v>47</v>
      </c>
      <c r="D189" t="s">
        <v>271</v>
      </c>
      <c r="E189" t="s">
        <v>49</v>
      </c>
      <c r="F189" t="s">
        <v>63</v>
      </c>
      <c r="G189" t="s">
        <v>51</v>
      </c>
      <c r="H189" s="17" t="s">
        <v>52</v>
      </c>
      <c r="I189" t="s">
        <v>53</v>
      </c>
      <c r="J189" t="s">
        <v>224</v>
      </c>
      <c r="L189" t="s">
        <v>55</v>
      </c>
      <c r="M189" t="s">
        <v>56</v>
      </c>
      <c r="N189" t="s">
        <v>57</v>
      </c>
      <c r="O189" s="18" t="s">
        <v>58</v>
      </c>
      <c r="P189" s="18" t="s">
        <v>99</v>
      </c>
      <c r="Q189" s="17" t="s">
        <v>100</v>
      </c>
      <c r="R189" s="18" t="s">
        <v>101</v>
      </c>
      <c r="S189" s="32">
        <v>595</v>
      </c>
      <c r="T189" s="19">
        <v>595</v>
      </c>
      <c r="U189" s="17" t="s">
        <v>62</v>
      </c>
      <c r="V189" s="17">
        <v>45729</v>
      </c>
      <c r="W189" s="18">
        <v>3</v>
      </c>
      <c r="X189" s="17">
        <v>45730</v>
      </c>
      <c r="Y189" s="17">
        <v>45743</v>
      </c>
      <c r="Z189" s="45">
        <v>3</v>
      </c>
      <c r="AA189">
        <v>2025</v>
      </c>
      <c r="AB189" s="42">
        <v>109480</v>
      </c>
      <c r="AC189" s="42">
        <v>109480</v>
      </c>
    </row>
    <row r="190" spans="1:29">
      <c r="A190" t="s">
        <v>45</v>
      </c>
      <c r="B190" t="s">
        <v>46</v>
      </c>
      <c r="C190" t="s">
        <v>47</v>
      </c>
      <c r="D190" t="s">
        <v>271</v>
      </c>
      <c r="E190" t="s">
        <v>49</v>
      </c>
      <c r="F190" t="s">
        <v>67</v>
      </c>
      <c r="G190" t="s">
        <v>51</v>
      </c>
      <c r="H190" s="17" t="s">
        <v>52</v>
      </c>
      <c r="I190" t="s">
        <v>53</v>
      </c>
      <c r="J190" t="s">
        <v>224</v>
      </c>
      <c r="L190" t="s">
        <v>55</v>
      </c>
      <c r="M190" t="s">
        <v>56</v>
      </c>
      <c r="N190" t="s">
        <v>57</v>
      </c>
      <c r="O190" s="18" t="s">
        <v>58</v>
      </c>
      <c r="P190" s="18" t="s">
        <v>72</v>
      </c>
      <c r="Q190" s="17" t="s">
        <v>221</v>
      </c>
      <c r="R190" s="18" t="s">
        <v>222</v>
      </c>
      <c r="S190" s="32">
        <v>600</v>
      </c>
      <c r="T190" s="19">
        <v>300</v>
      </c>
      <c r="U190" s="17" t="s">
        <v>62</v>
      </c>
      <c r="V190" s="17">
        <v>45729</v>
      </c>
      <c r="W190" s="18">
        <v>3</v>
      </c>
      <c r="X190" s="17">
        <v>45730</v>
      </c>
      <c r="Y190" s="17">
        <v>45743</v>
      </c>
      <c r="Z190" s="45">
        <v>3</v>
      </c>
      <c r="AA190">
        <v>2025</v>
      </c>
      <c r="AB190" s="42">
        <v>5385000</v>
      </c>
      <c r="AC190" s="42">
        <v>2692500</v>
      </c>
    </row>
    <row r="191" spans="1:29">
      <c r="A191" t="s">
        <v>45</v>
      </c>
      <c r="B191" t="s">
        <v>46</v>
      </c>
      <c r="C191" t="s">
        <v>47</v>
      </c>
      <c r="D191" t="s">
        <v>271</v>
      </c>
      <c r="E191" t="s">
        <v>49</v>
      </c>
      <c r="F191" t="s">
        <v>71</v>
      </c>
      <c r="G191" t="s">
        <v>51</v>
      </c>
      <c r="H191" s="17" t="s">
        <v>52</v>
      </c>
      <c r="I191" t="s">
        <v>53</v>
      </c>
      <c r="J191" t="s">
        <v>224</v>
      </c>
      <c r="L191" t="s">
        <v>55</v>
      </c>
      <c r="M191" t="s">
        <v>56</v>
      </c>
      <c r="N191" t="s">
        <v>57</v>
      </c>
      <c r="O191" s="18" t="s">
        <v>58</v>
      </c>
      <c r="P191" s="18" t="s">
        <v>99</v>
      </c>
      <c r="Q191" s="17" t="s">
        <v>100</v>
      </c>
      <c r="R191" s="18" t="s">
        <v>101</v>
      </c>
      <c r="S191" s="32">
        <v>600</v>
      </c>
      <c r="T191" s="19">
        <v>300</v>
      </c>
      <c r="U191" s="17" t="s">
        <v>62</v>
      </c>
      <c r="V191" s="17">
        <v>45729</v>
      </c>
      <c r="W191" s="18">
        <v>3</v>
      </c>
      <c r="X191" s="17">
        <v>45730</v>
      </c>
      <c r="Y191" s="17">
        <v>45743</v>
      </c>
      <c r="Z191" s="45">
        <v>3</v>
      </c>
      <c r="AA191">
        <v>2025</v>
      </c>
      <c r="AB191" s="42">
        <v>103800</v>
      </c>
      <c r="AC191" s="42">
        <v>51900</v>
      </c>
    </row>
    <row r="192" spans="1:29">
      <c r="A192" t="s">
        <v>45</v>
      </c>
      <c r="B192" t="s">
        <v>46</v>
      </c>
      <c r="C192" t="s">
        <v>47</v>
      </c>
      <c r="D192" t="s">
        <v>272</v>
      </c>
      <c r="E192" t="s">
        <v>49</v>
      </c>
      <c r="F192" t="s">
        <v>50</v>
      </c>
      <c r="G192" t="s">
        <v>51</v>
      </c>
      <c r="H192" s="17" t="s">
        <v>52</v>
      </c>
      <c r="I192" t="s">
        <v>53</v>
      </c>
      <c r="J192" t="s">
        <v>110</v>
      </c>
      <c r="L192" t="s">
        <v>55</v>
      </c>
      <c r="M192" t="s">
        <v>56</v>
      </c>
      <c r="N192" t="s">
        <v>57</v>
      </c>
      <c r="O192" s="18" t="s">
        <v>58</v>
      </c>
      <c r="P192" s="18" t="s">
        <v>86</v>
      </c>
      <c r="Q192" s="17" t="s">
        <v>111</v>
      </c>
      <c r="R192" s="18" t="s">
        <v>112</v>
      </c>
      <c r="S192" s="32">
        <v>16.8</v>
      </c>
      <c r="T192" s="19">
        <v>16.8</v>
      </c>
      <c r="U192" s="17" t="s">
        <v>113</v>
      </c>
      <c r="V192" s="17">
        <v>45730</v>
      </c>
      <c r="W192" s="18">
        <v>3</v>
      </c>
      <c r="X192" s="17">
        <v>45734</v>
      </c>
      <c r="Y192" s="17">
        <v>45741</v>
      </c>
      <c r="Z192" s="45">
        <v>3</v>
      </c>
      <c r="AA192">
        <v>2025</v>
      </c>
      <c r="AB192" s="42">
        <v>353254</v>
      </c>
      <c r="AC192" s="42">
        <v>353254</v>
      </c>
    </row>
    <row r="193" spans="1:29">
      <c r="A193" t="s">
        <v>45</v>
      </c>
      <c r="B193" t="s">
        <v>46</v>
      </c>
      <c r="C193" t="s">
        <v>47</v>
      </c>
      <c r="D193" t="s">
        <v>273</v>
      </c>
      <c r="E193" t="s">
        <v>115</v>
      </c>
      <c r="F193" t="s">
        <v>50</v>
      </c>
      <c r="G193" t="s">
        <v>116</v>
      </c>
      <c r="H193" s="17" t="s">
        <v>52</v>
      </c>
      <c r="I193" t="s">
        <v>53</v>
      </c>
      <c r="J193" t="s">
        <v>110</v>
      </c>
      <c r="L193" t="s">
        <v>55</v>
      </c>
      <c r="M193" t="s">
        <v>56</v>
      </c>
      <c r="N193" t="s">
        <v>57</v>
      </c>
      <c r="O193" s="18" t="s">
        <v>58</v>
      </c>
      <c r="P193" s="18" t="s">
        <v>72</v>
      </c>
      <c r="Q193" s="17" t="s">
        <v>122</v>
      </c>
      <c r="R193" s="18" t="s">
        <v>123</v>
      </c>
      <c r="S193" s="32">
        <v>6</v>
      </c>
      <c r="T193" s="19">
        <v>6</v>
      </c>
      <c r="U193" s="17" t="s">
        <v>119</v>
      </c>
      <c r="V193" s="17">
        <v>45709</v>
      </c>
      <c r="W193" s="18">
        <v>2</v>
      </c>
      <c r="X193" s="17">
        <v>45721</v>
      </c>
      <c r="Y193" s="17">
        <v>45721</v>
      </c>
      <c r="Z193" s="45">
        <v>3</v>
      </c>
      <c r="AA193">
        <v>2025</v>
      </c>
      <c r="AB193" s="42">
        <v>2107980</v>
      </c>
      <c r="AC193" s="42">
        <v>2107980</v>
      </c>
    </row>
    <row r="194" spans="1:29">
      <c r="A194" t="s">
        <v>45</v>
      </c>
      <c r="B194" t="s">
        <v>46</v>
      </c>
      <c r="C194" t="s">
        <v>47</v>
      </c>
      <c r="D194" t="s">
        <v>273</v>
      </c>
      <c r="E194" t="s">
        <v>115</v>
      </c>
      <c r="F194" t="s">
        <v>63</v>
      </c>
      <c r="G194" t="s">
        <v>116</v>
      </c>
      <c r="H194" s="17" t="s">
        <v>52</v>
      </c>
      <c r="I194" t="s">
        <v>53</v>
      </c>
      <c r="J194" t="s">
        <v>110</v>
      </c>
      <c r="L194" t="s">
        <v>55</v>
      </c>
      <c r="M194" t="s">
        <v>56</v>
      </c>
      <c r="N194" t="s">
        <v>57</v>
      </c>
      <c r="O194" s="18" t="s">
        <v>58</v>
      </c>
      <c r="P194" s="18" t="s">
        <v>72</v>
      </c>
      <c r="Q194" s="17" t="s">
        <v>117</v>
      </c>
      <c r="R194" s="18" t="s">
        <v>118</v>
      </c>
      <c r="S194" s="32">
        <v>2</v>
      </c>
      <c r="T194" s="19">
        <v>2</v>
      </c>
      <c r="U194" s="17" t="s">
        <v>119</v>
      </c>
      <c r="V194" s="17">
        <v>45709</v>
      </c>
      <c r="W194" s="18">
        <v>2</v>
      </c>
      <c r="X194" s="17">
        <v>45721</v>
      </c>
      <c r="Y194" s="17">
        <v>45721</v>
      </c>
      <c r="Z194" s="45">
        <v>3</v>
      </c>
      <c r="AA194">
        <v>2025</v>
      </c>
      <c r="AB194" s="42">
        <v>703000</v>
      </c>
      <c r="AC194" s="42">
        <v>703000</v>
      </c>
    </row>
    <row r="195" spans="1:29">
      <c r="A195" t="s">
        <v>45</v>
      </c>
      <c r="B195" t="s">
        <v>46</v>
      </c>
      <c r="C195" t="s">
        <v>47</v>
      </c>
      <c r="D195" t="s">
        <v>274</v>
      </c>
      <c r="E195" t="s">
        <v>115</v>
      </c>
      <c r="F195" t="s">
        <v>50</v>
      </c>
      <c r="G195" t="s">
        <v>116</v>
      </c>
      <c r="H195" s="17" t="s">
        <v>58</v>
      </c>
      <c r="I195" t="s">
        <v>53</v>
      </c>
      <c r="J195" t="s">
        <v>150</v>
      </c>
      <c r="L195" t="s">
        <v>55</v>
      </c>
      <c r="M195" t="s">
        <v>56</v>
      </c>
      <c r="N195" t="s">
        <v>57</v>
      </c>
      <c r="O195" s="18" t="s">
        <v>58</v>
      </c>
      <c r="P195" s="18" t="s">
        <v>76</v>
      </c>
      <c r="Q195" s="17" t="s">
        <v>77</v>
      </c>
      <c r="R195" s="18" t="s">
        <v>78</v>
      </c>
      <c r="S195" s="32">
        <v>200</v>
      </c>
      <c r="T195" s="19">
        <v>0</v>
      </c>
      <c r="U195" s="17" t="s">
        <v>62</v>
      </c>
      <c r="V195" s="17">
        <v>45709</v>
      </c>
      <c r="W195" s="18">
        <v>2</v>
      </c>
      <c r="X195" s="17">
        <v>45721</v>
      </c>
      <c r="Z195" s="45">
        <v>3</v>
      </c>
      <c r="AA195">
        <v>2025</v>
      </c>
      <c r="AB195" s="42">
        <v>1739200</v>
      </c>
      <c r="AC195" s="42">
        <v>0</v>
      </c>
    </row>
    <row r="196" spans="1:29">
      <c r="A196" t="s">
        <v>45</v>
      </c>
      <c r="B196" t="s">
        <v>46</v>
      </c>
      <c r="C196" t="s">
        <v>47</v>
      </c>
      <c r="D196" t="s">
        <v>275</v>
      </c>
      <c r="E196" t="s">
        <v>49</v>
      </c>
      <c r="F196" t="s">
        <v>50</v>
      </c>
      <c r="G196" t="s">
        <v>51</v>
      </c>
      <c r="H196" s="17" t="s">
        <v>58</v>
      </c>
      <c r="I196" t="s">
        <v>53</v>
      </c>
      <c r="J196" t="s">
        <v>54</v>
      </c>
      <c r="L196" t="s">
        <v>55</v>
      </c>
      <c r="M196" t="s">
        <v>56</v>
      </c>
      <c r="N196" t="s">
        <v>57</v>
      </c>
      <c r="O196" s="18" t="s">
        <v>58</v>
      </c>
      <c r="P196" s="18" t="s">
        <v>99</v>
      </c>
      <c r="Q196" s="17" t="s">
        <v>276</v>
      </c>
      <c r="R196" s="18" t="s">
        <v>277</v>
      </c>
      <c r="S196" s="32">
        <v>35</v>
      </c>
      <c r="T196" s="19">
        <v>0</v>
      </c>
      <c r="U196" s="17" t="s">
        <v>62</v>
      </c>
      <c r="V196" s="17">
        <v>45664</v>
      </c>
      <c r="W196" s="18">
        <v>1</v>
      </c>
      <c r="X196" s="17">
        <v>45754</v>
      </c>
      <c r="Z196" s="45">
        <v>4</v>
      </c>
      <c r="AA196">
        <v>2025</v>
      </c>
      <c r="AB196" s="42">
        <v>1480395</v>
      </c>
      <c r="AC196" s="42">
        <v>0</v>
      </c>
    </row>
    <row r="197" spans="1:29">
      <c r="A197" t="s">
        <v>45</v>
      </c>
      <c r="B197" t="s">
        <v>46</v>
      </c>
      <c r="C197" t="s">
        <v>47</v>
      </c>
      <c r="D197" t="s">
        <v>275</v>
      </c>
      <c r="E197" t="s">
        <v>49</v>
      </c>
      <c r="F197" t="s">
        <v>63</v>
      </c>
      <c r="G197" t="s">
        <v>51</v>
      </c>
      <c r="H197" s="17" t="s">
        <v>58</v>
      </c>
      <c r="I197" t="s">
        <v>53</v>
      </c>
      <c r="J197" t="s">
        <v>54</v>
      </c>
      <c r="L197" t="s">
        <v>55</v>
      </c>
      <c r="M197" t="s">
        <v>56</v>
      </c>
      <c r="N197" t="s">
        <v>57</v>
      </c>
      <c r="O197" s="18" t="s">
        <v>58</v>
      </c>
      <c r="P197" s="18" t="s">
        <v>99</v>
      </c>
      <c r="Q197" s="17" t="s">
        <v>278</v>
      </c>
      <c r="R197" s="18" t="s">
        <v>279</v>
      </c>
      <c r="S197" s="32">
        <v>5</v>
      </c>
      <c r="T197" s="19">
        <v>0</v>
      </c>
      <c r="U197" s="17" t="s">
        <v>62</v>
      </c>
      <c r="V197" s="17">
        <v>45664</v>
      </c>
      <c r="W197" s="18">
        <v>1</v>
      </c>
      <c r="X197" s="17">
        <v>45754</v>
      </c>
      <c r="Z197" s="45">
        <v>4</v>
      </c>
      <c r="AA197">
        <v>2025</v>
      </c>
      <c r="AB197" s="42">
        <v>357795</v>
      </c>
      <c r="AC197" s="42">
        <v>0</v>
      </c>
    </row>
    <row r="198" spans="1:29">
      <c r="A198" t="s">
        <v>45</v>
      </c>
      <c r="B198" t="s">
        <v>46</v>
      </c>
      <c r="C198" t="s">
        <v>47</v>
      </c>
      <c r="D198" t="s">
        <v>275</v>
      </c>
      <c r="E198" t="s">
        <v>49</v>
      </c>
      <c r="F198" t="s">
        <v>67</v>
      </c>
      <c r="G198" t="s">
        <v>51</v>
      </c>
      <c r="H198" s="17" t="s">
        <v>58</v>
      </c>
      <c r="I198" t="s">
        <v>53</v>
      </c>
      <c r="J198" t="s">
        <v>54</v>
      </c>
      <c r="L198" t="s">
        <v>55</v>
      </c>
      <c r="M198" t="s">
        <v>56</v>
      </c>
      <c r="N198" t="s">
        <v>57</v>
      </c>
      <c r="O198" s="18" t="s">
        <v>58</v>
      </c>
      <c r="P198" s="18" t="s">
        <v>99</v>
      </c>
      <c r="Q198" s="17" t="s">
        <v>280</v>
      </c>
      <c r="R198" s="18" t="s">
        <v>281</v>
      </c>
      <c r="S198" s="32">
        <v>14</v>
      </c>
      <c r="T198" s="19">
        <v>0</v>
      </c>
      <c r="U198" s="17" t="s">
        <v>62</v>
      </c>
      <c r="V198" s="17">
        <v>45664</v>
      </c>
      <c r="W198" s="18">
        <v>1</v>
      </c>
      <c r="X198" s="17">
        <v>45754</v>
      </c>
      <c r="Z198" s="45">
        <v>4</v>
      </c>
      <c r="AA198">
        <v>2025</v>
      </c>
      <c r="AB198" s="42">
        <v>732032</v>
      </c>
      <c r="AC198" s="42">
        <v>0</v>
      </c>
    </row>
    <row r="199" spans="1:29">
      <c r="A199" t="s">
        <v>45</v>
      </c>
      <c r="B199" t="s">
        <v>46</v>
      </c>
      <c r="C199" t="s">
        <v>47</v>
      </c>
      <c r="D199" t="s">
        <v>275</v>
      </c>
      <c r="E199" t="s">
        <v>49</v>
      </c>
      <c r="F199" t="s">
        <v>71</v>
      </c>
      <c r="G199" t="s">
        <v>51</v>
      </c>
      <c r="H199" s="17" t="s">
        <v>58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18" t="s">
        <v>58</v>
      </c>
      <c r="P199" s="18" t="s">
        <v>99</v>
      </c>
      <c r="Q199" s="17" t="s">
        <v>282</v>
      </c>
      <c r="R199" s="18" t="s">
        <v>283</v>
      </c>
      <c r="S199" s="32">
        <v>14</v>
      </c>
      <c r="T199" s="19">
        <v>0</v>
      </c>
      <c r="U199" s="17" t="s">
        <v>62</v>
      </c>
      <c r="V199" s="17">
        <v>45664</v>
      </c>
      <c r="W199" s="18">
        <v>1</v>
      </c>
      <c r="X199" s="17">
        <v>45754</v>
      </c>
      <c r="Z199" s="45">
        <v>4</v>
      </c>
      <c r="AA199">
        <v>2025</v>
      </c>
      <c r="AB199" s="42">
        <v>353248</v>
      </c>
      <c r="AC199" s="42">
        <v>0</v>
      </c>
    </row>
    <row r="200" spans="1:29">
      <c r="A200" t="s">
        <v>45</v>
      </c>
      <c r="B200" t="s">
        <v>46</v>
      </c>
      <c r="C200" t="s">
        <v>47</v>
      </c>
      <c r="D200" t="s">
        <v>275</v>
      </c>
      <c r="E200" t="s">
        <v>49</v>
      </c>
      <c r="F200" t="s">
        <v>75</v>
      </c>
      <c r="G200" t="s">
        <v>51</v>
      </c>
      <c r="H200" s="17" t="s">
        <v>58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18" t="s">
        <v>58</v>
      </c>
      <c r="P200" s="18" t="s">
        <v>99</v>
      </c>
      <c r="Q200" s="17" t="s">
        <v>284</v>
      </c>
      <c r="R200" s="18" t="s">
        <v>285</v>
      </c>
      <c r="S200" s="32">
        <v>3</v>
      </c>
      <c r="T200" s="19">
        <v>0</v>
      </c>
      <c r="U200" s="17" t="s">
        <v>62</v>
      </c>
      <c r="V200" s="17">
        <v>45664</v>
      </c>
      <c r="W200" s="18">
        <v>1</v>
      </c>
      <c r="X200" s="17">
        <v>45754</v>
      </c>
      <c r="Z200" s="45">
        <v>4</v>
      </c>
      <c r="AA200">
        <v>2025</v>
      </c>
      <c r="AB200" s="42">
        <v>257097</v>
      </c>
      <c r="AC200" s="42">
        <v>0</v>
      </c>
    </row>
    <row r="201" spans="1:29">
      <c r="A201" t="s">
        <v>45</v>
      </c>
      <c r="B201" t="s">
        <v>46</v>
      </c>
      <c r="C201" t="s">
        <v>47</v>
      </c>
      <c r="D201" t="s">
        <v>275</v>
      </c>
      <c r="E201" t="s">
        <v>49</v>
      </c>
      <c r="F201" t="s">
        <v>79</v>
      </c>
      <c r="G201" t="s">
        <v>51</v>
      </c>
      <c r="H201" s="17" t="s">
        <v>58</v>
      </c>
      <c r="I201" t="s">
        <v>53</v>
      </c>
      <c r="J201" t="s">
        <v>54</v>
      </c>
      <c r="L201" t="s">
        <v>55</v>
      </c>
      <c r="M201" t="s">
        <v>56</v>
      </c>
      <c r="N201" t="s">
        <v>57</v>
      </c>
      <c r="O201" s="18" t="s">
        <v>58</v>
      </c>
      <c r="P201" s="18" t="s">
        <v>99</v>
      </c>
      <c r="Q201" s="17" t="s">
        <v>286</v>
      </c>
      <c r="R201" s="18" t="s">
        <v>287</v>
      </c>
      <c r="S201" s="32">
        <v>60</v>
      </c>
      <c r="T201" s="19">
        <v>0</v>
      </c>
      <c r="U201" s="17" t="s">
        <v>62</v>
      </c>
      <c r="V201" s="17">
        <v>45664</v>
      </c>
      <c r="W201" s="18">
        <v>1</v>
      </c>
      <c r="X201" s="17">
        <v>45754</v>
      </c>
      <c r="Z201" s="45">
        <v>4</v>
      </c>
      <c r="AA201">
        <v>2025</v>
      </c>
      <c r="AB201" s="42">
        <v>3987960</v>
      </c>
      <c r="AC201" s="42">
        <v>0</v>
      </c>
    </row>
    <row r="202" spans="1:29">
      <c r="A202" t="s">
        <v>45</v>
      </c>
      <c r="B202" t="s">
        <v>46</v>
      </c>
      <c r="C202" t="s">
        <v>47</v>
      </c>
      <c r="D202" t="s">
        <v>275</v>
      </c>
      <c r="E202" t="s">
        <v>49</v>
      </c>
      <c r="F202" t="s">
        <v>98</v>
      </c>
      <c r="G202" t="s">
        <v>51</v>
      </c>
      <c r="H202" s="17" t="s">
        <v>58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18" t="s">
        <v>58</v>
      </c>
      <c r="P202" s="18" t="s">
        <v>99</v>
      </c>
      <c r="Q202" s="17" t="s">
        <v>100</v>
      </c>
      <c r="R202" s="18" t="s">
        <v>101</v>
      </c>
      <c r="S202" s="32">
        <v>2</v>
      </c>
      <c r="T202" s="19">
        <v>0</v>
      </c>
      <c r="U202" s="17" t="s">
        <v>62</v>
      </c>
      <c r="V202" s="17">
        <v>45664</v>
      </c>
      <c r="W202" s="18">
        <v>1</v>
      </c>
      <c r="X202" s="17">
        <v>45754</v>
      </c>
      <c r="Z202" s="45">
        <v>4</v>
      </c>
      <c r="AA202">
        <v>2025</v>
      </c>
      <c r="AB202" s="42">
        <v>116000</v>
      </c>
      <c r="AC202" s="42">
        <v>0</v>
      </c>
    </row>
    <row r="203" spans="1:29">
      <c r="A203" t="s">
        <v>45</v>
      </c>
      <c r="B203" t="s">
        <v>46</v>
      </c>
      <c r="C203" t="s">
        <v>47</v>
      </c>
      <c r="D203" t="s">
        <v>288</v>
      </c>
      <c r="E203" t="s">
        <v>49</v>
      </c>
      <c r="F203" t="s">
        <v>50</v>
      </c>
      <c r="G203" t="s">
        <v>51</v>
      </c>
      <c r="H203" s="17" t="s">
        <v>52</v>
      </c>
      <c r="I203" t="s">
        <v>53</v>
      </c>
      <c r="J203" t="s">
        <v>136</v>
      </c>
      <c r="L203" t="s">
        <v>55</v>
      </c>
      <c r="M203" t="s">
        <v>56</v>
      </c>
      <c r="N203" t="s">
        <v>57</v>
      </c>
      <c r="O203" s="18" t="s">
        <v>58</v>
      </c>
      <c r="P203" s="18" t="s">
        <v>86</v>
      </c>
      <c r="Q203" s="17" t="s">
        <v>289</v>
      </c>
      <c r="R203" s="18" t="s">
        <v>290</v>
      </c>
      <c r="S203" s="32">
        <v>15</v>
      </c>
      <c r="T203" s="19">
        <v>15</v>
      </c>
      <c r="U203" s="17" t="s">
        <v>62</v>
      </c>
      <c r="V203" s="17">
        <v>45741</v>
      </c>
      <c r="W203" s="18">
        <v>3</v>
      </c>
      <c r="X203" s="17">
        <v>45751</v>
      </c>
      <c r="Y203" s="17">
        <v>45750</v>
      </c>
      <c r="Z203" s="45">
        <v>4</v>
      </c>
      <c r="AA203">
        <v>2025</v>
      </c>
      <c r="AB203" s="42">
        <v>221400</v>
      </c>
      <c r="AC203" s="42">
        <v>221400</v>
      </c>
    </row>
    <row r="204" spans="1:29">
      <c r="A204" t="s">
        <v>45</v>
      </c>
      <c r="B204" t="s">
        <v>46</v>
      </c>
      <c r="C204" t="s">
        <v>47</v>
      </c>
      <c r="D204" t="s">
        <v>288</v>
      </c>
      <c r="E204" t="s">
        <v>49</v>
      </c>
      <c r="F204" t="s">
        <v>63</v>
      </c>
      <c r="G204" t="s">
        <v>51</v>
      </c>
      <c r="H204" s="17" t="s">
        <v>52</v>
      </c>
      <c r="I204" t="s">
        <v>53</v>
      </c>
      <c r="J204" t="s">
        <v>136</v>
      </c>
      <c r="L204" t="s">
        <v>55</v>
      </c>
      <c r="M204" t="s">
        <v>56</v>
      </c>
      <c r="N204" t="s">
        <v>57</v>
      </c>
      <c r="O204" s="18" t="s">
        <v>58</v>
      </c>
      <c r="P204" s="18" t="s">
        <v>132</v>
      </c>
      <c r="Q204" s="17" t="s">
        <v>291</v>
      </c>
      <c r="R204" s="18" t="s">
        <v>292</v>
      </c>
      <c r="S204" s="32">
        <v>8</v>
      </c>
      <c r="T204" s="19">
        <v>8</v>
      </c>
      <c r="U204" s="17" t="s">
        <v>62</v>
      </c>
      <c r="V204" s="17">
        <v>45741</v>
      </c>
      <c r="W204" s="18">
        <v>3</v>
      </c>
      <c r="X204" s="17">
        <v>45751</v>
      </c>
      <c r="Y204" s="17">
        <v>45750</v>
      </c>
      <c r="Z204" s="45">
        <v>4</v>
      </c>
      <c r="AA204">
        <v>2025</v>
      </c>
      <c r="AB204" s="42">
        <v>93768</v>
      </c>
      <c r="AC204" s="42">
        <v>93768</v>
      </c>
    </row>
    <row r="205" spans="1:29">
      <c r="A205" t="s">
        <v>45</v>
      </c>
      <c r="B205" t="s">
        <v>46</v>
      </c>
      <c r="C205" t="s">
        <v>47</v>
      </c>
      <c r="D205" t="s">
        <v>293</v>
      </c>
      <c r="E205" t="s">
        <v>49</v>
      </c>
      <c r="F205" t="s">
        <v>50</v>
      </c>
      <c r="G205" t="s">
        <v>51</v>
      </c>
      <c r="H205" s="17" t="s">
        <v>52</v>
      </c>
      <c r="I205" t="s">
        <v>53</v>
      </c>
      <c r="J205" t="s">
        <v>125</v>
      </c>
      <c r="L205" t="s">
        <v>55</v>
      </c>
      <c r="M205" t="s">
        <v>56</v>
      </c>
      <c r="N205" t="s">
        <v>57</v>
      </c>
      <c r="O205" s="18" t="s">
        <v>58</v>
      </c>
      <c r="P205" s="18" t="s">
        <v>72</v>
      </c>
      <c r="Q205" s="17" t="s">
        <v>151</v>
      </c>
      <c r="R205" s="18" t="s">
        <v>152</v>
      </c>
      <c r="S205" s="32">
        <v>70</v>
      </c>
      <c r="T205" s="19">
        <v>70</v>
      </c>
      <c r="U205" s="17" t="s">
        <v>62</v>
      </c>
      <c r="V205" s="17">
        <v>45737</v>
      </c>
      <c r="W205" s="18">
        <v>3</v>
      </c>
      <c r="X205" s="17">
        <v>45742</v>
      </c>
      <c r="Y205" s="17">
        <v>45748</v>
      </c>
      <c r="Z205" s="45">
        <v>4</v>
      </c>
      <c r="AA205">
        <v>2025</v>
      </c>
      <c r="AB205" s="42">
        <v>2065000</v>
      </c>
      <c r="AC205" s="42">
        <v>2065000</v>
      </c>
    </row>
    <row r="206" spans="1:29">
      <c r="A206" t="s">
        <v>45</v>
      </c>
      <c r="B206" t="s">
        <v>46</v>
      </c>
      <c r="C206" t="s">
        <v>47</v>
      </c>
      <c r="D206" t="s">
        <v>293</v>
      </c>
      <c r="E206" t="s">
        <v>49</v>
      </c>
      <c r="F206" t="s">
        <v>63</v>
      </c>
      <c r="G206" t="s">
        <v>51</v>
      </c>
      <c r="H206" s="17" t="s">
        <v>52</v>
      </c>
      <c r="I206" t="s">
        <v>53</v>
      </c>
      <c r="J206" t="s">
        <v>125</v>
      </c>
      <c r="L206" t="s">
        <v>55</v>
      </c>
      <c r="M206" t="s">
        <v>56</v>
      </c>
      <c r="N206" t="s">
        <v>57</v>
      </c>
      <c r="O206" s="18" t="s">
        <v>58</v>
      </c>
      <c r="P206" s="18" t="s">
        <v>99</v>
      </c>
      <c r="Q206" s="17" t="s">
        <v>100</v>
      </c>
      <c r="R206" s="18" t="s">
        <v>101</v>
      </c>
      <c r="S206" s="32">
        <v>70</v>
      </c>
      <c r="T206" s="19">
        <v>70</v>
      </c>
      <c r="U206" s="17" t="s">
        <v>62</v>
      </c>
      <c r="V206" s="17">
        <v>45737</v>
      </c>
      <c r="W206" s="18">
        <v>3</v>
      </c>
      <c r="X206" s="17">
        <v>45742</v>
      </c>
      <c r="Y206" s="17">
        <v>45748</v>
      </c>
      <c r="Z206" s="45">
        <v>4</v>
      </c>
      <c r="AA206">
        <v>2025</v>
      </c>
      <c r="AB206" s="42">
        <v>74970</v>
      </c>
      <c r="AC206" s="42">
        <v>74970</v>
      </c>
    </row>
    <row r="207" spans="1:29">
      <c r="A207" t="s">
        <v>45</v>
      </c>
      <c r="B207" t="s">
        <v>46</v>
      </c>
      <c r="C207" t="s">
        <v>47</v>
      </c>
      <c r="D207" t="s">
        <v>294</v>
      </c>
      <c r="E207" t="s">
        <v>49</v>
      </c>
      <c r="F207" t="s">
        <v>50</v>
      </c>
      <c r="G207" t="s">
        <v>51</v>
      </c>
      <c r="H207" s="17" t="s">
        <v>52</v>
      </c>
      <c r="I207" t="s">
        <v>53</v>
      </c>
      <c r="J207" t="s">
        <v>54</v>
      </c>
      <c r="K207">
        <v>1</v>
      </c>
      <c r="L207" t="s">
        <v>55</v>
      </c>
      <c r="M207" t="s">
        <v>56</v>
      </c>
      <c r="N207" t="s">
        <v>57</v>
      </c>
      <c r="O207" s="18" t="s">
        <v>58</v>
      </c>
      <c r="P207" s="18" t="s">
        <v>86</v>
      </c>
      <c r="Q207" s="17" t="s">
        <v>295</v>
      </c>
      <c r="R207" s="18" t="s">
        <v>296</v>
      </c>
      <c r="S207" s="32">
        <v>5</v>
      </c>
      <c r="T207" s="19">
        <v>5</v>
      </c>
      <c r="U207" s="17" t="s">
        <v>62</v>
      </c>
      <c r="V207" s="17">
        <v>45751</v>
      </c>
      <c r="W207" s="18">
        <v>4</v>
      </c>
      <c r="X207" s="17">
        <v>45842</v>
      </c>
      <c r="Y207" s="17">
        <v>45770</v>
      </c>
      <c r="Z207" s="45">
        <v>4</v>
      </c>
      <c r="AA207">
        <v>2025</v>
      </c>
      <c r="AB207" s="42">
        <v>391675</v>
      </c>
      <c r="AC207" s="42">
        <v>391675</v>
      </c>
    </row>
    <row r="208" spans="1:29">
      <c r="A208" t="s">
        <v>45</v>
      </c>
      <c r="B208" t="s">
        <v>46</v>
      </c>
      <c r="C208" t="s">
        <v>47</v>
      </c>
      <c r="D208" t="s">
        <v>294</v>
      </c>
      <c r="E208" t="s">
        <v>49</v>
      </c>
      <c r="F208" t="s">
        <v>63</v>
      </c>
      <c r="G208" t="s">
        <v>51</v>
      </c>
      <c r="H208" s="17" t="s">
        <v>52</v>
      </c>
      <c r="I208" t="s">
        <v>53</v>
      </c>
      <c r="J208" t="s">
        <v>54</v>
      </c>
      <c r="K208">
        <v>1</v>
      </c>
      <c r="L208" t="s">
        <v>55</v>
      </c>
      <c r="M208" t="s">
        <v>56</v>
      </c>
      <c r="N208" t="s">
        <v>57</v>
      </c>
      <c r="O208" s="18" t="s">
        <v>58</v>
      </c>
      <c r="P208" s="18" t="s">
        <v>297</v>
      </c>
      <c r="Q208" s="17" t="s">
        <v>298</v>
      </c>
      <c r="R208" s="18" t="s">
        <v>299</v>
      </c>
      <c r="S208" s="32">
        <v>1</v>
      </c>
      <c r="T208" s="19">
        <v>1</v>
      </c>
      <c r="U208" s="17" t="s">
        <v>62</v>
      </c>
      <c r="V208" s="17">
        <v>45751</v>
      </c>
      <c r="W208" s="18">
        <v>4</v>
      </c>
      <c r="X208" s="17">
        <v>45842</v>
      </c>
      <c r="Y208" s="17">
        <v>45770</v>
      </c>
      <c r="Z208" s="45">
        <v>4</v>
      </c>
      <c r="AA208">
        <v>2025</v>
      </c>
      <c r="AB208" s="42">
        <v>101023</v>
      </c>
      <c r="AC208" s="42">
        <v>101023</v>
      </c>
    </row>
    <row r="209" spans="1:29">
      <c r="A209" t="s">
        <v>45</v>
      </c>
      <c r="B209" t="s">
        <v>46</v>
      </c>
      <c r="C209" t="s">
        <v>47</v>
      </c>
      <c r="D209" t="s">
        <v>294</v>
      </c>
      <c r="E209" t="s">
        <v>49</v>
      </c>
      <c r="F209" t="s">
        <v>67</v>
      </c>
      <c r="G209" t="s">
        <v>51</v>
      </c>
      <c r="H209" s="17" t="s">
        <v>52</v>
      </c>
      <c r="I209" t="s">
        <v>53</v>
      </c>
      <c r="J209" t="s">
        <v>54</v>
      </c>
      <c r="K209">
        <v>1</v>
      </c>
      <c r="L209" t="s">
        <v>55</v>
      </c>
      <c r="M209" t="s">
        <v>56</v>
      </c>
      <c r="N209" t="s">
        <v>57</v>
      </c>
      <c r="O209" s="18" t="s">
        <v>58</v>
      </c>
      <c r="P209" s="18" t="s">
        <v>297</v>
      </c>
      <c r="Q209" s="17" t="s">
        <v>300</v>
      </c>
      <c r="R209" s="18" t="s">
        <v>301</v>
      </c>
      <c r="S209" s="32">
        <v>1</v>
      </c>
      <c r="T209" s="19">
        <v>1</v>
      </c>
      <c r="U209" s="17" t="s">
        <v>62</v>
      </c>
      <c r="V209" s="17">
        <v>45751</v>
      </c>
      <c r="W209" s="18">
        <v>4</v>
      </c>
      <c r="X209" s="17">
        <v>45842</v>
      </c>
      <c r="Y209" s="17">
        <v>45770</v>
      </c>
      <c r="Z209" s="45">
        <v>4</v>
      </c>
      <c r="AA209">
        <v>2025</v>
      </c>
      <c r="AB209" s="42">
        <v>74149</v>
      </c>
      <c r="AC209" s="42">
        <v>74149</v>
      </c>
    </row>
    <row r="210" spans="1:29">
      <c r="A210" t="s">
        <v>45</v>
      </c>
      <c r="B210" t="s">
        <v>46</v>
      </c>
      <c r="C210" t="s">
        <v>47</v>
      </c>
      <c r="D210" t="s">
        <v>294</v>
      </c>
      <c r="E210" t="s">
        <v>49</v>
      </c>
      <c r="F210" t="s">
        <v>75</v>
      </c>
      <c r="G210" t="s">
        <v>51</v>
      </c>
      <c r="H210" s="17" t="s">
        <v>52</v>
      </c>
      <c r="I210" t="s">
        <v>53</v>
      </c>
      <c r="J210" t="s">
        <v>54</v>
      </c>
      <c r="K210">
        <v>1</v>
      </c>
      <c r="L210" t="s">
        <v>55</v>
      </c>
      <c r="M210" t="s">
        <v>56</v>
      </c>
      <c r="N210" t="s">
        <v>57</v>
      </c>
      <c r="O210" s="18" t="s">
        <v>58</v>
      </c>
      <c r="P210" s="18" t="s">
        <v>297</v>
      </c>
      <c r="Q210" s="17" t="s">
        <v>302</v>
      </c>
      <c r="R210" s="18" t="s">
        <v>303</v>
      </c>
      <c r="S210" s="32">
        <v>1</v>
      </c>
      <c r="T210" s="19">
        <v>1</v>
      </c>
      <c r="U210" s="17" t="s">
        <v>62</v>
      </c>
      <c r="V210" s="17">
        <v>45751</v>
      </c>
      <c r="W210" s="18">
        <v>4</v>
      </c>
      <c r="X210" s="17">
        <v>45842</v>
      </c>
      <c r="Y210" s="17">
        <v>45770</v>
      </c>
      <c r="Z210" s="45">
        <v>4</v>
      </c>
      <c r="AA210">
        <v>2025</v>
      </c>
      <c r="AB210" s="42">
        <v>97587</v>
      </c>
      <c r="AC210" s="42">
        <v>97587</v>
      </c>
    </row>
    <row r="211" spans="1:29">
      <c r="A211" t="s">
        <v>45</v>
      </c>
      <c r="B211" t="s">
        <v>46</v>
      </c>
      <c r="C211" t="s">
        <v>47</v>
      </c>
      <c r="D211" t="s">
        <v>304</v>
      </c>
      <c r="E211" t="s">
        <v>49</v>
      </c>
      <c r="F211" t="s">
        <v>50</v>
      </c>
      <c r="G211" t="s">
        <v>51</v>
      </c>
      <c r="H211" s="17" t="s">
        <v>52</v>
      </c>
      <c r="I211" t="s">
        <v>53</v>
      </c>
      <c r="J211" t="s">
        <v>167</v>
      </c>
      <c r="K211">
        <v>1</v>
      </c>
      <c r="L211" t="s">
        <v>55</v>
      </c>
      <c r="M211" t="s">
        <v>56</v>
      </c>
      <c r="N211" t="s">
        <v>57</v>
      </c>
      <c r="O211" s="18" t="s">
        <v>58</v>
      </c>
      <c r="P211" s="18" t="s">
        <v>72</v>
      </c>
      <c r="Q211" s="17" t="s">
        <v>73</v>
      </c>
      <c r="R211" s="18" t="s">
        <v>74</v>
      </c>
      <c r="S211" s="32">
        <v>720</v>
      </c>
      <c r="T211" s="19">
        <v>720</v>
      </c>
      <c r="U211" s="17" t="s">
        <v>62</v>
      </c>
      <c r="V211" s="17">
        <v>45751</v>
      </c>
      <c r="W211" s="18">
        <v>4</v>
      </c>
      <c r="X211" s="17">
        <v>45751</v>
      </c>
      <c r="Y211" s="17">
        <v>45777</v>
      </c>
      <c r="Z211" s="45">
        <v>4</v>
      </c>
      <c r="AA211">
        <v>2025</v>
      </c>
      <c r="AB211" s="42">
        <v>14312160</v>
      </c>
      <c r="AC211" s="42">
        <v>14312160</v>
      </c>
    </row>
    <row r="212" spans="1:29">
      <c r="A212" t="s">
        <v>45</v>
      </c>
      <c r="B212" t="s">
        <v>46</v>
      </c>
      <c r="C212" t="s">
        <v>47</v>
      </c>
      <c r="D212" t="s">
        <v>305</v>
      </c>
      <c r="E212" t="s">
        <v>49</v>
      </c>
      <c r="F212" t="s">
        <v>50</v>
      </c>
      <c r="G212" t="s">
        <v>51</v>
      </c>
      <c r="H212" s="17" t="s">
        <v>52</v>
      </c>
      <c r="I212" t="s">
        <v>53</v>
      </c>
      <c r="J212" t="s">
        <v>54</v>
      </c>
      <c r="L212" t="s">
        <v>55</v>
      </c>
      <c r="M212" t="s">
        <v>56</v>
      </c>
      <c r="N212" t="s">
        <v>57</v>
      </c>
      <c r="O212" s="18" t="s">
        <v>58</v>
      </c>
      <c r="P212" s="18" t="s">
        <v>64</v>
      </c>
      <c r="Q212" s="17" t="s">
        <v>65</v>
      </c>
      <c r="R212" s="18" t="s">
        <v>66</v>
      </c>
      <c r="S212" s="32">
        <v>14</v>
      </c>
      <c r="T212" s="19">
        <v>14</v>
      </c>
      <c r="U212" s="17" t="s">
        <v>62</v>
      </c>
      <c r="V212" s="17">
        <v>45743</v>
      </c>
      <c r="W212" s="18">
        <v>3</v>
      </c>
      <c r="X212" s="17">
        <v>45751</v>
      </c>
      <c r="Y212" s="17">
        <v>45750</v>
      </c>
      <c r="Z212" s="45">
        <v>4</v>
      </c>
      <c r="AA212">
        <v>2025</v>
      </c>
      <c r="AB212" s="42">
        <v>189140</v>
      </c>
      <c r="AC212" s="42">
        <v>189140</v>
      </c>
    </row>
    <row r="213" spans="1:29">
      <c r="A213" t="s">
        <v>45</v>
      </c>
      <c r="B213" t="s">
        <v>46</v>
      </c>
      <c r="C213" t="s">
        <v>47</v>
      </c>
      <c r="D213" t="s">
        <v>305</v>
      </c>
      <c r="E213" t="s">
        <v>49</v>
      </c>
      <c r="F213" t="s">
        <v>63</v>
      </c>
      <c r="G213" t="s">
        <v>51</v>
      </c>
      <c r="H213" s="17" t="s">
        <v>52</v>
      </c>
      <c r="I213" t="s">
        <v>53</v>
      </c>
      <c r="J213" t="s">
        <v>54</v>
      </c>
      <c r="L213" t="s">
        <v>55</v>
      </c>
      <c r="M213" t="s">
        <v>56</v>
      </c>
      <c r="N213" t="s">
        <v>57</v>
      </c>
      <c r="O213" s="18" t="s">
        <v>58</v>
      </c>
      <c r="P213" s="18" t="s">
        <v>59</v>
      </c>
      <c r="Q213" s="17" t="s">
        <v>60</v>
      </c>
      <c r="R213" s="18" t="s">
        <v>61</v>
      </c>
      <c r="S213" s="32">
        <v>16</v>
      </c>
      <c r="T213" s="19">
        <v>16</v>
      </c>
      <c r="U213" s="17" t="s">
        <v>62</v>
      </c>
      <c r="V213" s="17">
        <v>45743</v>
      </c>
      <c r="W213" s="18">
        <v>3</v>
      </c>
      <c r="X213" s="17">
        <v>45751</v>
      </c>
      <c r="Y213" s="17">
        <v>45750</v>
      </c>
      <c r="Z213" s="45">
        <v>4</v>
      </c>
      <c r="AA213">
        <v>2025</v>
      </c>
      <c r="AB213" s="42">
        <v>250560</v>
      </c>
      <c r="AC213" s="42">
        <v>250560</v>
      </c>
    </row>
    <row r="214" spans="1:29">
      <c r="A214" t="s">
        <v>45</v>
      </c>
      <c r="B214" t="s">
        <v>46</v>
      </c>
      <c r="C214" t="s">
        <v>47</v>
      </c>
      <c r="D214" t="s">
        <v>305</v>
      </c>
      <c r="E214" t="s">
        <v>49</v>
      </c>
      <c r="F214" t="s">
        <v>67</v>
      </c>
      <c r="G214" t="s">
        <v>51</v>
      </c>
      <c r="H214" s="17" t="s">
        <v>52</v>
      </c>
      <c r="I214" t="s">
        <v>53</v>
      </c>
      <c r="J214" t="s">
        <v>54</v>
      </c>
      <c r="L214" t="s">
        <v>55</v>
      </c>
      <c r="M214" t="s">
        <v>56</v>
      </c>
      <c r="N214" t="s">
        <v>57</v>
      </c>
      <c r="O214" s="18" t="s">
        <v>58</v>
      </c>
      <c r="P214" s="18" t="s">
        <v>72</v>
      </c>
      <c r="Q214" s="17" t="s">
        <v>306</v>
      </c>
      <c r="R214" s="18" t="s">
        <v>307</v>
      </c>
      <c r="S214" s="32">
        <v>399</v>
      </c>
      <c r="T214" s="19">
        <v>399</v>
      </c>
      <c r="U214" s="17" t="s">
        <v>62</v>
      </c>
      <c r="V214" s="17">
        <v>45743</v>
      </c>
      <c r="W214" s="18">
        <v>3</v>
      </c>
      <c r="X214" s="17">
        <v>45751</v>
      </c>
      <c r="Y214" s="17">
        <v>45750</v>
      </c>
      <c r="Z214" s="45">
        <v>4</v>
      </c>
      <c r="AA214">
        <v>2025</v>
      </c>
      <c r="AB214" s="42">
        <v>4300023</v>
      </c>
      <c r="AC214" s="42">
        <v>4300023</v>
      </c>
    </row>
    <row r="215" spans="1:29">
      <c r="A215" t="s">
        <v>45</v>
      </c>
      <c r="B215" t="s">
        <v>46</v>
      </c>
      <c r="C215" t="s">
        <v>47</v>
      </c>
      <c r="D215" t="s">
        <v>308</v>
      </c>
      <c r="E215" t="s">
        <v>49</v>
      </c>
      <c r="F215" t="s">
        <v>50</v>
      </c>
      <c r="G215" t="s">
        <v>51</v>
      </c>
      <c r="H215" s="17" t="s">
        <v>58</v>
      </c>
      <c r="I215" t="s">
        <v>53</v>
      </c>
      <c r="J215" t="s">
        <v>224</v>
      </c>
      <c r="L215" t="s">
        <v>55</v>
      </c>
      <c r="M215" t="s">
        <v>56</v>
      </c>
      <c r="N215" t="s">
        <v>57</v>
      </c>
      <c r="O215" s="18" t="s">
        <v>58</v>
      </c>
      <c r="P215" s="18" t="s">
        <v>68</v>
      </c>
      <c r="Q215" s="17" t="s">
        <v>225</v>
      </c>
      <c r="R215" s="18" t="s">
        <v>226</v>
      </c>
      <c r="S215" s="32">
        <v>300</v>
      </c>
      <c r="T215" s="19">
        <v>0</v>
      </c>
      <c r="U215" s="17" t="s">
        <v>227</v>
      </c>
      <c r="V215" s="17">
        <v>45747</v>
      </c>
      <c r="W215" s="18">
        <v>3</v>
      </c>
      <c r="X215" s="17">
        <v>45748</v>
      </c>
      <c r="Z215" s="45">
        <v>4</v>
      </c>
      <c r="AA215">
        <v>2025</v>
      </c>
      <c r="AB215" s="42">
        <v>3628800</v>
      </c>
      <c r="AC215" s="42">
        <v>0</v>
      </c>
    </row>
    <row r="216" spans="1:29">
      <c r="A216" t="s">
        <v>45</v>
      </c>
      <c r="B216" t="s">
        <v>46</v>
      </c>
      <c r="C216" t="s">
        <v>47</v>
      </c>
      <c r="D216" t="s">
        <v>308</v>
      </c>
      <c r="E216" t="s">
        <v>49</v>
      </c>
      <c r="F216" t="s">
        <v>63</v>
      </c>
      <c r="G216" t="s">
        <v>51</v>
      </c>
      <c r="H216" s="17" t="s">
        <v>58</v>
      </c>
      <c r="I216" t="s">
        <v>53</v>
      </c>
      <c r="J216" t="s">
        <v>224</v>
      </c>
      <c r="L216" t="s">
        <v>55</v>
      </c>
      <c r="M216" t="s">
        <v>56</v>
      </c>
      <c r="N216" t="s">
        <v>57</v>
      </c>
      <c r="O216" s="18" t="s">
        <v>58</v>
      </c>
      <c r="P216" s="18" t="s">
        <v>99</v>
      </c>
      <c r="Q216" s="17" t="s">
        <v>100</v>
      </c>
      <c r="R216" s="18" t="s">
        <v>101</v>
      </c>
      <c r="S216" s="32">
        <v>300</v>
      </c>
      <c r="T216" s="19">
        <v>0</v>
      </c>
      <c r="U216" s="17" t="s">
        <v>62</v>
      </c>
      <c r="V216" s="17">
        <v>45747</v>
      </c>
      <c r="W216" s="18">
        <v>3</v>
      </c>
      <c r="X216" s="17">
        <v>45748</v>
      </c>
      <c r="Z216" s="45">
        <v>4</v>
      </c>
      <c r="AA216">
        <v>2025</v>
      </c>
      <c r="AB216" s="42">
        <v>1200</v>
      </c>
      <c r="AC216" s="42">
        <v>0</v>
      </c>
    </row>
    <row r="217" spans="1:29">
      <c r="A217" t="s">
        <v>45</v>
      </c>
      <c r="B217" t="s">
        <v>46</v>
      </c>
      <c r="C217" t="s">
        <v>47</v>
      </c>
      <c r="D217" t="s">
        <v>308</v>
      </c>
      <c r="E217" t="s">
        <v>49</v>
      </c>
      <c r="F217" t="s">
        <v>67</v>
      </c>
      <c r="G217" t="s">
        <v>51</v>
      </c>
      <c r="H217" s="17" t="s">
        <v>58</v>
      </c>
      <c r="I217" t="s">
        <v>53</v>
      </c>
      <c r="J217" t="s">
        <v>224</v>
      </c>
      <c r="L217" t="s">
        <v>55</v>
      </c>
      <c r="M217" t="s">
        <v>56</v>
      </c>
      <c r="N217" t="s">
        <v>57</v>
      </c>
      <c r="O217" s="18" t="s">
        <v>58</v>
      </c>
      <c r="P217" s="18" t="s">
        <v>76</v>
      </c>
      <c r="Q217" s="17" t="s">
        <v>228</v>
      </c>
      <c r="R217" s="18" t="s">
        <v>229</v>
      </c>
      <c r="S217" s="32">
        <v>305</v>
      </c>
      <c r="T217" s="19">
        <v>0</v>
      </c>
      <c r="U217" s="17" t="s">
        <v>62</v>
      </c>
      <c r="V217" s="17">
        <v>45747</v>
      </c>
      <c r="W217" s="18">
        <v>3</v>
      </c>
      <c r="X217" s="17">
        <v>45748</v>
      </c>
      <c r="Z217" s="45">
        <v>4</v>
      </c>
      <c r="AA217">
        <v>2025</v>
      </c>
      <c r="AB217" s="42">
        <v>3908270</v>
      </c>
      <c r="AC217" s="42">
        <v>0</v>
      </c>
    </row>
    <row r="218" spans="1:29">
      <c r="A218" t="s">
        <v>45</v>
      </c>
      <c r="B218" t="s">
        <v>46</v>
      </c>
      <c r="C218" t="s">
        <v>47</v>
      </c>
      <c r="D218" t="s">
        <v>308</v>
      </c>
      <c r="E218" t="s">
        <v>49</v>
      </c>
      <c r="F218" t="s">
        <v>71</v>
      </c>
      <c r="G218" t="s">
        <v>51</v>
      </c>
      <c r="H218" s="17" t="s">
        <v>58</v>
      </c>
      <c r="I218" t="s">
        <v>53</v>
      </c>
      <c r="J218" t="s">
        <v>224</v>
      </c>
      <c r="L218" t="s">
        <v>55</v>
      </c>
      <c r="M218" t="s">
        <v>56</v>
      </c>
      <c r="N218" t="s">
        <v>57</v>
      </c>
      <c r="O218" s="18" t="s">
        <v>58</v>
      </c>
      <c r="P218" s="18" t="s">
        <v>99</v>
      </c>
      <c r="Q218" s="17" t="s">
        <v>100</v>
      </c>
      <c r="R218" s="18" t="s">
        <v>101</v>
      </c>
      <c r="S218" s="32">
        <v>305</v>
      </c>
      <c r="T218" s="19">
        <v>0</v>
      </c>
      <c r="U218" s="17" t="s">
        <v>62</v>
      </c>
      <c r="V218" s="17">
        <v>45747</v>
      </c>
      <c r="W218" s="18">
        <v>3</v>
      </c>
      <c r="X218" s="17">
        <v>45748</v>
      </c>
      <c r="Z218" s="45">
        <v>4</v>
      </c>
      <c r="AA218">
        <v>2025</v>
      </c>
      <c r="AB218" s="42">
        <v>2440</v>
      </c>
      <c r="AC218" s="42">
        <v>0</v>
      </c>
    </row>
    <row r="219" spans="1:29">
      <c r="A219" t="s">
        <v>45</v>
      </c>
      <c r="B219" t="s">
        <v>46</v>
      </c>
      <c r="C219" t="s">
        <v>47</v>
      </c>
      <c r="D219" t="s">
        <v>308</v>
      </c>
      <c r="E219" t="s">
        <v>49</v>
      </c>
      <c r="F219" t="s">
        <v>75</v>
      </c>
      <c r="G219" t="s">
        <v>51</v>
      </c>
      <c r="H219" s="17" t="s">
        <v>58</v>
      </c>
      <c r="I219" t="s">
        <v>53</v>
      </c>
      <c r="J219" t="s">
        <v>224</v>
      </c>
      <c r="L219" t="s">
        <v>55</v>
      </c>
      <c r="M219" t="s">
        <v>56</v>
      </c>
      <c r="N219" t="s">
        <v>57</v>
      </c>
      <c r="O219" s="18" t="s">
        <v>58</v>
      </c>
      <c r="P219" s="18" t="s">
        <v>59</v>
      </c>
      <c r="Q219" s="17" t="s">
        <v>60</v>
      </c>
      <c r="R219" s="18" t="s">
        <v>61</v>
      </c>
      <c r="S219" s="32">
        <v>534</v>
      </c>
      <c r="T219" s="19">
        <v>0</v>
      </c>
      <c r="U219" s="17" t="s">
        <v>62</v>
      </c>
      <c r="V219" s="17">
        <v>45747</v>
      </c>
      <c r="W219" s="18">
        <v>3</v>
      </c>
      <c r="X219" s="17">
        <v>45748</v>
      </c>
      <c r="Z219" s="45">
        <v>4</v>
      </c>
      <c r="AA219">
        <v>2025</v>
      </c>
      <c r="AB219" s="42">
        <v>7930968</v>
      </c>
      <c r="AC219" s="42">
        <v>0</v>
      </c>
    </row>
    <row r="220" spans="1:29">
      <c r="A220" t="s">
        <v>45</v>
      </c>
      <c r="B220" t="s">
        <v>46</v>
      </c>
      <c r="C220" t="s">
        <v>47</v>
      </c>
      <c r="D220" t="s">
        <v>308</v>
      </c>
      <c r="E220" t="s">
        <v>49</v>
      </c>
      <c r="F220" t="s">
        <v>79</v>
      </c>
      <c r="G220" t="s">
        <v>51</v>
      </c>
      <c r="H220" s="17" t="s">
        <v>58</v>
      </c>
      <c r="I220" t="s">
        <v>53</v>
      </c>
      <c r="J220" t="s">
        <v>224</v>
      </c>
      <c r="L220" t="s">
        <v>55</v>
      </c>
      <c r="M220" t="s">
        <v>56</v>
      </c>
      <c r="N220" t="s">
        <v>57</v>
      </c>
      <c r="O220" s="18" t="s">
        <v>58</v>
      </c>
      <c r="P220" s="18" t="s">
        <v>99</v>
      </c>
      <c r="Q220" s="17" t="s">
        <v>100</v>
      </c>
      <c r="R220" s="18" t="s">
        <v>101</v>
      </c>
      <c r="S220" s="32">
        <v>534</v>
      </c>
      <c r="T220" s="19">
        <v>0</v>
      </c>
      <c r="U220" s="17" t="s">
        <v>62</v>
      </c>
      <c r="V220" s="17">
        <v>45747</v>
      </c>
      <c r="W220" s="18">
        <v>3</v>
      </c>
      <c r="X220" s="17">
        <v>45748</v>
      </c>
      <c r="Z220" s="45">
        <v>4</v>
      </c>
      <c r="AA220">
        <v>2025</v>
      </c>
      <c r="AB220" s="42">
        <v>53400</v>
      </c>
      <c r="AC220" s="42">
        <v>0</v>
      </c>
    </row>
    <row r="221" spans="1:29">
      <c r="A221" t="s">
        <v>45</v>
      </c>
      <c r="B221" t="s">
        <v>46</v>
      </c>
      <c r="C221" t="s">
        <v>47</v>
      </c>
      <c r="D221" t="s">
        <v>309</v>
      </c>
      <c r="E221" t="s">
        <v>115</v>
      </c>
      <c r="F221" t="s">
        <v>50</v>
      </c>
      <c r="G221" t="s">
        <v>116</v>
      </c>
      <c r="H221" s="17" t="s">
        <v>52</v>
      </c>
      <c r="I221" t="s">
        <v>53</v>
      </c>
      <c r="J221" t="s">
        <v>110</v>
      </c>
      <c r="K221">
        <v>1</v>
      </c>
      <c r="L221" t="s">
        <v>55</v>
      </c>
      <c r="M221" t="s">
        <v>56</v>
      </c>
      <c r="N221" t="s">
        <v>57</v>
      </c>
      <c r="O221" s="18" t="s">
        <v>58</v>
      </c>
      <c r="P221" s="18" t="s">
        <v>72</v>
      </c>
      <c r="Q221" s="17" t="s">
        <v>122</v>
      </c>
      <c r="R221" s="18" t="s">
        <v>123</v>
      </c>
      <c r="S221" s="32">
        <v>6</v>
      </c>
      <c r="T221" s="19">
        <v>6</v>
      </c>
      <c r="U221" s="17" t="s">
        <v>119</v>
      </c>
      <c r="V221" s="17">
        <v>45751</v>
      </c>
      <c r="W221" s="18">
        <v>4</v>
      </c>
      <c r="X221" s="17">
        <v>45764</v>
      </c>
      <c r="Y221" s="17">
        <v>45758</v>
      </c>
      <c r="Z221" s="45">
        <v>4</v>
      </c>
      <c r="AA221">
        <v>2025</v>
      </c>
      <c r="AB221" s="42">
        <v>2107980</v>
      </c>
      <c r="AC221" s="42">
        <v>2107980</v>
      </c>
    </row>
    <row r="222" spans="1:29">
      <c r="A222" t="s">
        <v>45</v>
      </c>
      <c r="B222" t="s">
        <v>46</v>
      </c>
      <c r="C222" t="s">
        <v>47</v>
      </c>
      <c r="D222" t="s">
        <v>309</v>
      </c>
      <c r="E222" t="s">
        <v>115</v>
      </c>
      <c r="F222" t="s">
        <v>63</v>
      </c>
      <c r="G222" t="s">
        <v>116</v>
      </c>
      <c r="H222" s="17" t="s">
        <v>52</v>
      </c>
      <c r="I222" t="s">
        <v>53</v>
      </c>
      <c r="J222" t="s">
        <v>110</v>
      </c>
      <c r="K222">
        <v>1</v>
      </c>
      <c r="L222" t="s">
        <v>55</v>
      </c>
      <c r="M222" t="s">
        <v>56</v>
      </c>
      <c r="N222" t="s">
        <v>57</v>
      </c>
      <c r="O222" s="18" t="s">
        <v>58</v>
      </c>
      <c r="P222" s="18" t="s">
        <v>72</v>
      </c>
      <c r="Q222" s="17" t="s">
        <v>117</v>
      </c>
      <c r="R222" s="18" t="s">
        <v>118</v>
      </c>
      <c r="S222" s="32">
        <v>2</v>
      </c>
      <c r="T222" s="19">
        <v>2</v>
      </c>
      <c r="U222" s="17" t="s">
        <v>119</v>
      </c>
      <c r="V222" s="17">
        <v>45751</v>
      </c>
      <c r="W222" s="18">
        <v>4</v>
      </c>
      <c r="X222" s="17">
        <v>45764</v>
      </c>
      <c r="Y222" s="17">
        <v>45758</v>
      </c>
      <c r="Z222" s="45">
        <v>4</v>
      </c>
      <c r="AA222">
        <v>2025</v>
      </c>
      <c r="AB222" s="42">
        <v>703000</v>
      </c>
      <c r="AC222" s="42">
        <v>703000</v>
      </c>
    </row>
    <row r="223" spans="1:29">
      <c r="A223" t="s">
        <v>45</v>
      </c>
      <c r="B223" t="s">
        <v>46</v>
      </c>
      <c r="C223" t="s">
        <v>47</v>
      </c>
      <c r="D223" t="s">
        <v>310</v>
      </c>
      <c r="E223" t="s">
        <v>115</v>
      </c>
      <c r="F223" t="s">
        <v>50</v>
      </c>
      <c r="G223" t="s">
        <v>116</v>
      </c>
      <c r="H223" s="17" t="s">
        <v>58</v>
      </c>
      <c r="I223" t="s">
        <v>53</v>
      </c>
      <c r="J223" t="s">
        <v>121</v>
      </c>
      <c r="K223">
        <v>1</v>
      </c>
      <c r="L223" t="s">
        <v>55</v>
      </c>
      <c r="M223" t="s">
        <v>56</v>
      </c>
      <c r="N223" t="s">
        <v>57</v>
      </c>
      <c r="O223" s="18" t="s">
        <v>58</v>
      </c>
      <c r="P223" s="18" t="s">
        <v>72</v>
      </c>
      <c r="Q223" s="17" t="s">
        <v>147</v>
      </c>
      <c r="R223" s="18" t="s">
        <v>148</v>
      </c>
      <c r="S223" s="32">
        <v>1</v>
      </c>
      <c r="T223" s="19">
        <v>0</v>
      </c>
      <c r="U223" s="17" t="s">
        <v>119</v>
      </c>
      <c r="V223" s="17">
        <v>45751</v>
      </c>
      <c r="W223" s="18">
        <v>4</v>
      </c>
      <c r="X223" s="17">
        <v>45764</v>
      </c>
      <c r="Z223" s="45">
        <v>4</v>
      </c>
      <c r="AA223">
        <v>2025</v>
      </c>
      <c r="AB223" s="42">
        <v>418720</v>
      </c>
      <c r="AC223" s="42">
        <v>0</v>
      </c>
    </row>
    <row r="224" spans="1:29">
      <c r="A224" t="s">
        <v>45</v>
      </c>
      <c r="B224" t="s">
        <v>46</v>
      </c>
      <c r="C224" t="s">
        <v>47</v>
      </c>
      <c r="D224" t="s">
        <v>310</v>
      </c>
      <c r="E224" t="s">
        <v>115</v>
      </c>
      <c r="F224" t="s">
        <v>63</v>
      </c>
      <c r="G224" t="s">
        <v>116</v>
      </c>
      <c r="H224" s="17" t="s">
        <v>52</v>
      </c>
      <c r="I224" t="s">
        <v>53</v>
      </c>
      <c r="J224" t="s">
        <v>121</v>
      </c>
      <c r="K224">
        <v>1</v>
      </c>
      <c r="L224" t="s">
        <v>55</v>
      </c>
      <c r="M224" t="s">
        <v>56</v>
      </c>
      <c r="N224" t="s">
        <v>57</v>
      </c>
      <c r="O224" s="18" t="s">
        <v>58</v>
      </c>
      <c r="P224" s="18" t="s">
        <v>72</v>
      </c>
      <c r="Q224" s="17" t="s">
        <v>247</v>
      </c>
      <c r="R224" s="18" t="s">
        <v>248</v>
      </c>
      <c r="S224" s="32">
        <v>3</v>
      </c>
      <c r="T224" s="19">
        <v>3</v>
      </c>
      <c r="U224" s="17" t="s">
        <v>119</v>
      </c>
      <c r="V224" s="17">
        <v>45751</v>
      </c>
      <c r="W224" s="18">
        <v>4</v>
      </c>
      <c r="X224" s="17">
        <v>45764</v>
      </c>
      <c r="Y224" s="17">
        <v>45757</v>
      </c>
      <c r="Z224" s="45">
        <v>4</v>
      </c>
      <c r="AA224">
        <v>2025</v>
      </c>
      <c r="AB224" s="42">
        <v>1553580</v>
      </c>
      <c r="AC224" s="42">
        <v>1553580</v>
      </c>
    </row>
    <row r="225" spans="1:29">
      <c r="A225" t="s">
        <v>45</v>
      </c>
      <c r="B225" t="s">
        <v>46</v>
      </c>
      <c r="C225" t="s">
        <v>47</v>
      </c>
      <c r="D225" t="s">
        <v>310</v>
      </c>
      <c r="E225" t="s">
        <v>115</v>
      </c>
      <c r="F225" t="s">
        <v>67</v>
      </c>
      <c r="G225" t="s">
        <v>116</v>
      </c>
      <c r="H225" s="17" t="s">
        <v>52</v>
      </c>
      <c r="I225" t="s">
        <v>53</v>
      </c>
      <c r="J225" t="s">
        <v>121</v>
      </c>
      <c r="K225">
        <v>1</v>
      </c>
      <c r="L225" t="s">
        <v>55</v>
      </c>
      <c r="M225" t="s">
        <v>56</v>
      </c>
      <c r="N225" t="s">
        <v>57</v>
      </c>
      <c r="O225" s="18" t="s">
        <v>58</v>
      </c>
      <c r="P225" s="18" t="s">
        <v>72</v>
      </c>
      <c r="Q225" s="17" t="s">
        <v>122</v>
      </c>
      <c r="R225" s="18" t="s">
        <v>123</v>
      </c>
      <c r="S225" s="32">
        <v>6</v>
      </c>
      <c r="T225" s="19">
        <v>6</v>
      </c>
      <c r="U225" s="17" t="s">
        <v>119</v>
      </c>
      <c r="V225" s="17">
        <v>45751</v>
      </c>
      <c r="W225" s="18">
        <v>4</v>
      </c>
      <c r="X225" s="17">
        <v>45764</v>
      </c>
      <c r="Y225" s="17">
        <v>45757</v>
      </c>
      <c r="Z225" s="45">
        <v>4</v>
      </c>
      <c r="AA225">
        <v>2025</v>
      </c>
      <c r="AB225" s="42">
        <v>2107980</v>
      </c>
      <c r="AC225" s="42">
        <v>2107980</v>
      </c>
    </row>
    <row r="226" spans="1:29">
      <c r="A226" t="s">
        <v>45</v>
      </c>
      <c r="B226" t="s">
        <v>46</v>
      </c>
      <c r="C226" t="s">
        <v>47</v>
      </c>
      <c r="D226" t="s">
        <v>310</v>
      </c>
      <c r="E226" t="s">
        <v>115</v>
      </c>
      <c r="F226" t="s">
        <v>71</v>
      </c>
      <c r="G226" t="s">
        <v>116</v>
      </c>
      <c r="H226" s="17" t="s">
        <v>52</v>
      </c>
      <c r="I226" t="s">
        <v>53</v>
      </c>
      <c r="J226" t="s">
        <v>121</v>
      </c>
      <c r="K226">
        <v>1</v>
      </c>
      <c r="L226" t="s">
        <v>55</v>
      </c>
      <c r="M226" t="s">
        <v>56</v>
      </c>
      <c r="N226" t="s">
        <v>57</v>
      </c>
      <c r="O226" s="18" t="s">
        <v>58</v>
      </c>
      <c r="P226" s="18" t="s">
        <v>72</v>
      </c>
      <c r="Q226" s="17" t="s">
        <v>117</v>
      </c>
      <c r="R226" s="18" t="s">
        <v>118</v>
      </c>
      <c r="S226" s="32">
        <v>2</v>
      </c>
      <c r="T226" s="19">
        <v>2</v>
      </c>
      <c r="U226" s="17" t="s">
        <v>119</v>
      </c>
      <c r="V226" s="17">
        <v>45751</v>
      </c>
      <c r="W226" s="18">
        <v>4</v>
      </c>
      <c r="X226" s="17">
        <v>45764</v>
      </c>
      <c r="Y226" s="17">
        <v>45757</v>
      </c>
      <c r="Z226" s="45">
        <v>4</v>
      </c>
      <c r="AA226">
        <v>2025</v>
      </c>
      <c r="AB226" s="42">
        <v>703000</v>
      </c>
      <c r="AC226" s="42">
        <v>703000</v>
      </c>
    </row>
    <row r="227" spans="1:29">
      <c r="A227" t="s">
        <v>45</v>
      </c>
      <c r="B227" t="s">
        <v>46</v>
      </c>
      <c r="C227" t="s">
        <v>47</v>
      </c>
      <c r="D227" t="s">
        <v>311</v>
      </c>
      <c r="E227" t="s">
        <v>115</v>
      </c>
      <c r="F227" t="s">
        <v>50</v>
      </c>
      <c r="G227" t="s">
        <v>116</v>
      </c>
      <c r="H227" s="17" t="s">
        <v>52</v>
      </c>
      <c r="I227" t="s">
        <v>53</v>
      </c>
      <c r="J227" t="s">
        <v>190</v>
      </c>
      <c r="K227">
        <v>1</v>
      </c>
      <c r="L227" t="s">
        <v>55</v>
      </c>
      <c r="M227" t="s">
        <v>56</v>
      </c>
      <c r="N227" t="s">
        <v>57</v>
      </c>
      <c r="O227" s="18" t="s">
        <v>58</v>
      </c>
      <c r="P227" s="18" t="s">
        <v>72</v>
      </c>
      <c r="Q227" s="17" t="s">
        <v>247</v>
      </c>
      <c r="R227" s="18" t="s">
        <v>248</v>
      </c>
      <c r="S227" s="32">
        <v>1</v>
      </c>
      <c r="T227" s="19">
        <v>1</v>
      </c>
      <c r="U227" s="17" t="s">
        <v>119</v>
      </c>
      <c r="V227" s="17">
        <v>45751</v>
      </c>
      <c r="W227" s="18">
        <v>4</v>
      </c>
      <c r="X227" s="17">
        <v>45764</v>
      </c>
      <c r="Y227" s="17">
        <v>45757</v>
      </c>
      <c r="Z227" s="45">
        <v>4</v>
      </c>
      <c r="AA227">
        <v>2025</v>
      </c>
      <c r="AB227" s="42">
        <v>517860</v>
      </c>
      <c r="AC227" s="42">
        <v>517860</v>
      </c>
    </row>
    <row r="228" spans="1:29">
      <c r="A228" t="s">
        <v>45</v>
      </c>
      <c r="B228" t="s">
        <v>46</v>
      </c>
      <c r="C228" t="s">
        <v>47</v>
      </c>
      <c r="D228" t="s">
        <v>311</v>
      </c>
      <c r="E228" t="s">
        <v>115</v>
      </c>
      <c r="F228" t="s">
        <v>63</v>
      </c>
      <c r="G228" t="s">
        <v>116</v>
      </c>
      <c r="H228" s="17" t="s">
        <v>52</v>
      </c>
      <c r="I228" t="s">
        <v>53</v>
      </c>
      <c r="J228" t="s">
        <v>190</v>
      </c>
      <c r="K228">
        <v>1</v>
      </c>
      <c r="L228" t="s">
        <v>55</v>
      </c>
      <c r="M228" t="s">
        <v>56</v>
      </c>
      <c r="N228" t="s">
        <v>57</v>
      </c>
      <c r="O228" s="18" t="s">
        <v>58</v>
      </c>
      <c r="P228" s="18" t="s">
        <v>72</v>
      </c>
      <c r="Q228" s="17" t="s">
        <v>122</v>
      </c>
      <c r="R228" s="18" t="s">
        <v>123</v>
      </c>
      <c r="S228" s="32">
        <v>4</v>
      </c>
      <c r="T228" s="19">
        <v>4</v>
      </c>
      <c r="U228" s="17" t="s">
        <v>119</v>
      </c>
      <c r="V228" s="17">
        <v>45751</v>
      </c>
      <c r="W228" s="18">
        <v>4</v>
      </c>
      <c r="X228" s="17">
        <v>45764</v>
      </c>
      <c r="Y228" s="17">
        <v>45757</v>
      </c>
      <c r="Z228" s="45">
        <v>4</v>
      </c>
      <c r="AA228">
        <v>2025</v>
      </c>
      <c r="AB228" s="42">
        <v>1405320</v>
      </c>
      <c r="AC228" s="42">
        <v>1405320</v>
      </c>
    </row>
    <row r="229" spans="1:29">
      <c r="A229" t="s">
        <v>45</v>
      </c>
      <c r="B229" t="s">
        <v>46</v>
      </c>
      <c r="C229" t="s">
        <v>47</v>
      </c>
      <c r="D229" t="s">
        <v>312</v>
      </c>
      <c r="E229" t="s">
        <v>115</v>
      </c>
      <c r="F229" t="s">
        <v>50</v>
      </c>
      <c r="G229" t="s">
        <v>116</v>
      </c>
      <c r="H229" s="17" t="s">
        <v>52</v>
      </c>
      <c r="I229" t="s">
        <v>53</v>
      </c>
      <c r="J229" t="s">
        <v>125</v>
      </c>
      <c r="K229">
        <v>1</v>
      </c>
      <c r="L229" t="s">
        <v>55</v>
      </c>
      <c r="M229" t="s">
        <v>56</v>
      </c>
      <c r="N229" t="s">
        <v>57</v>
      </c>
      <c r="O229" s="18" t="s">
        <v>58</v>
      </c>
      <c r="P229" s="18" t="s">
        <v>72</v>
      </c>
      <c r="Q229" s="17" t="s">
        <v>122</v>
      </c>
      <c r="R229" s="18" t="s">
        <v>123</v>
      </c>
      <c r="S229" s="32">
        <v>4</v>
      </c>
      <c r="T229" s="19">
        <v>4</v>
      </c>
      <c r="U229" s="17" t="s">
        <v>119</v>
      </c>
      <c r="V229" s="17">
        <v>45751</v>
      </c>
      <c r="W229" s="18">
        <v>4</v>
      </c>
      <c r="X229" s="17">
        <v>45764</v>
      </c>
      <c r="Y229" s="17">
        <v>45758</v>
      </c>
      <c r="Z229" s="45">
        <v>4</v>
      </c>
      <c r="AA229">
        <v>2025</v>
      </c>
      <c r="AB229" s="42">
        <v>1405320</v>
      </c>
      <c r="AC229" s="42">
        <v>1405320</v>
      </c>
    </row>
    <row r="230" spans="1:29">
      <c r="A230" t="s">
        <v>45</v>
      </c>
      <c r="B230" t="s">
        <v>46</v>
      </c>
      <c r="C230" t="s">
        <v>47</v>
      </c>
      <c r="D230" t="s">
        <v>312</v>
      </c>
      <c r="E230" t="s">
        <v>115</v>
      </c>
      <c r="F230" t="s">
        <v>63</v>
      </c>
      <c r="G230" t="s">
        <v>116</v>
      </c>
      <c r="H230" s="17" t="s">
        <v>52</v>
      </c>
      <c r="I230" t="s">
        <v>53</v>
      </c>
      <c r="J230" t="s">
        <v>125</v>
      </c>
      <c r="K230">
        <v>1</v>
      </c>
      <c r="L230" t="s">
        <v>55</v>
      </c>
      <c r="M230" t="s">
        <v>56</v>
      </c>
      <c r="N230" t="s">
        <v>57</v>
      </c>
      <c r="O230" s="18" t="s">
        <v>58</v>
      </c>
      <c r="P230" s="18" t="s">
        <v>72</v>
      </c>
      <c r="Q230" s="17" t="s">
        <v>117</v>
      </c>
      <c r="R230" s="18" t="s">
        <v>118</v>
      </c>
      <c r="S230" s="32">
        <v>2</v>
      </c>
      <c r="T230" s="19">
        <v>2</v>
      </c>
      <c r="U230" s="17" t="s">
        <v>119</v>
      </c>
      <c r="V230" s="17">
        <v>45751</v>
      </c>
      <c r="W230" s="18">
        <v>4</v>
      </c>
      <c r="X230" s="17">
        <v>45764</v>
      </c>
      <c r="Y230" s="17">
        <v>45758</v>
      </c>
      <c r="Z230" s="45">
        <v>4</v>
      </c>
      <c r="AA230">
        <v>2025</v>
      </c>
      <c r="AB230" s="42">
        <v>703000</v>
      </c>
      <c r="AC230" s="42">
        <v>703000</v>
      </c>
    </row>
    <row r="231" spans="1:29">
      <c r="A231" t="s">
        <v>45</v>
      </c>
      <c r="B231" t="s">
        <v>46</v>
      </c>
      <c r="C231" t="s">
        <v>47</v>
      </c>
      <c r="D231" t="s">
        <v>313</v>
      </c>
      <c r="E231" t="s">
        <v>115</v>
      </c>
      <c r="F231" t="s">
        <v>50</v>
      </c>
      <c r="G231" t="s">
        <v>116</v>
      </c>
      <c r="H231" s="17" t="s">
        <v>52</v>
      </c>
      <c r="I231" t="s">
        <v>53</v>
      </c>
      <c r="J231" t="s">
        <v>110</v>
      </c>
      <c r="K231">
        <v>1</v>
      </c>
      <c r="L231" t="s">
        <v>55</v>
      </c>
      <c r="M231" t="s">
        <v>56</v>
      </c>
      <c r="N231" t="s">
        <v>57</v>
      </c>
      <c r="O231" s="18" t="s">
        <v>58</v>
      </c>
      <c r="P231" s="18" t="s">
        <v>72</v>
      </c>
      <c r="Q231" s="17" t="s">
        <v>122</v>
      </c>
      <c r="R231" s="18" t="s">
        <v>123</v>
      </c>
      <c r="S231" s="32">
        <v>4</v>
      </c>
      <c r="T231" s="19">
        <v>4</v>
      </c>
      <c r="U231" s="17" t="s">
        <v>119</v>
      </c>
      <c r="V231" s="17">
        <v>45758</v>
      </c>
      <c r="W231" s="18">
        <v>4</v>
      </c>
      <c r="X231" s="17">
        <v>45771</v>
      </c>
      <c r="Y231" s="17">
        <v>45770</v>
      </c>
      <c r="Z231" s="45">
        <v>4</v>
      </c>
      <c r="AA231">
        <v>2025</v>
      </c>
      <c r="AB231" s="42">
        <v>1405320</v>
      </c>
      <c r="AC231" s="42">
        <v>1405320</v>
      </c>
    </row>
    <row r="232" spans="1:29">
      <c r="A232" t="s">
        <v>45</v>
      </c>
      <c r="B232" t="s">
        <v>46</v>
      </c>
      <c r="C232" t="s">
        <v>47</v>
      </c>
      <c r="D232" t="s">
        <v>313</v>
      </c>
      <c r="E232" t="s">
        <v>115</v>
      </c>
      <c r="F232" t="s">
        <v>63</v>
      </c>
      <c r="G232" t="s">
        <v>116</v>
      </c>
      <c r="H232" s="17" t="s">
        <v>52</v>
      </c>
      <c r="I232" t="s">
        <v>53</v>
      </c>
      <c r="J232" t="s">
        <v>110</v>
      </c>
      <c r="K232">
        <v>1</v>
      </c>
      <c r="L232" t="s">
        <v>55</v>
      </c>
      <c r="M232" t="s">
        <v>56</v>
      </c>
      <c r="N232" t="s">
        <v>57</v>
      </c>
      <c r="O232" s="18" t="s">
        <v>58</v>
      </c>
      <c r="P232" s="18" t="s">
        <v>72</v>
      </c>
      <c r="Q232" s="17" t="s">
        <v>117</v>
      </c>
      <c r="R232" s="18" t="s">
        <v>118</v>
      </c>
      <c r="S232" s="32">
        <v>4</v>
      </c>
      <c r="T232" s="19">
        <v>4</v>
      </c>
      <c r="U232" s="17" t="s">
        <v>119</v>
      </c>
      <c r="V232" s="17">
        <v>45758</v>
      </c>
      <c r="W232" s="18">
        <v>4</v>
      </c>
      <c r="X232" s="17">
        <v>45771</v>
      </c>
      <c r="Y232" s="17">
        <v>45770</v>
      </c>
      <c r="Z232" s="45">
        <v>4</v>
      </c>
      <c r="AA232">
        <v>2025</v>
      </c>
      <c r="AB232" s="42">
        <v>1406000</v>
      </c>
      <c r="AC232" s="42">
        <v>1406000</v>
      </c>
    </row>
    <row r="233" spans="1:29">
      <c r="A233" t="s">
        <v>45</v>
      </c>
      <c r="B233" t="s">
        <v>46</v>
      </c>
      <c r="C233" t="s">
        <v>47</v>
      </c>
      <c r="D233" t="s">
        <v>314</v>
      </c>
      <c r="E233" t="s">
        <v>115</v>
      </c>
      <c r="F233" t="s">
        <v>50</v>
      </c>
      <c r="G233" t="s">
        <v>116</v>
      </c>
      <c r="H233" s="17" t="s">
        <v>52</v>
      </c>
      <c r="I233" t="s">
        <v>53</v>
      </c>
      <c r="J233" t="s">
        <v>125</v>
      </c>
      <c r="K233">
        <v>1</v>
      </c>
      <c r="L233" t="s">
        <v>55</v>
      </c>
      <c r="M233" t="s">
        <v>56</v>
      </c>
      <c r="N233" t="s">
        <v>57</v>
      </c>
      <c r="O233" s="18" t="s">
        <v>58</v>
      </c>
      <c r="P233" s="18" t="s">
        <v>72</v>
      </c>
      <c r="Q233" s="17" t="s">
        <v>122</v>
      </c>
      <c r="R233" s="18" t="s">
        <v>123</v>
      </c>
      <c r="S233" s="32">
        <v>4</v>
      </c>
      <c r="T233" s="19">
        <v>4</v>
      </c>
      <c r="U233" s="17" t="s">
        <v>119</v>
      </c>
      <c r="V233" s="17">
        <v>45758</v>
      </c>
      <c r="W233" s="18">
        <v>4</v>
      </c>
      <c r="X233" s="17">
        <v>45771</v>
      </c>
      <c r="Y233" s="17">
        <v>45771</v>
      </c>
      <c r="Z233" s="45">
        <v>4</v>
      </c>
      <c r="AA233">
        <v>2025</v>
      </c>
      <c r="AB233" s="42">
        <v>1405320</v>
      </c>
      <c r="AC233" s="42">
        <v>1405320</v>
      </c>
    </row>
    <row r="234" spans="1:29">
      <c r="A234" t="s">
        <v>45</v>
      </c>
      <c r="B234" t="s">
        <v>46</v>
      </c>
      <c r="C234" t="s">
        <v>47</v>
      </c>
      <c r="D234" t="s">
        <v>314</v>
      </c>
      <c r="E234" t="s">
        <v>115</v>
      </c>
      <c r="F234" t="s">
        <v>63</v>
      </c>
      <c r="G234" t="s">
        <v>116</v>
      </c>
      <c r="H234" s="17" t="s">
        <v>52</v>
      </c>
      <c r="I234" t="s">
        <v>53</v>
      </c>
      <c r="J234" t="s">
        <v>125</v>
      </c>
      <c r="K234">
        <v>1</v>
      </c>
      <c r="L234" t="s">
        <v>55</v>
      </c>
      <c r="M234" t="s">
        <v>56</v>
      </c>
      <c r="N234" t="s">
        <v>57</v>
      </c>
      <c r="O234" s="18" t="s">
        <v>58</v>
      </c>
      <c r="P234" s="18" t="s">
        <v>72</v>
      </c>
      <c r="Q234" s="17" t="s">
        <v>117</v>
      </c>
      <c r="R234" s="18" t="s">
        <v>118</v>
      </c>
      <c r="S234" s="32">
        <v>2</v>
      </c>
      <c r="T234" s="19">
        <v>2</v>
      </c>
      <c r="U234" s="17" t="s">
        <v>119</v>
      </c>
      <c r="V234" s="17">
        <v>45758</v>
      </c>
      <c r="W234" s="18">
        <v>4</v>
      </c>
      <c r="X234" s="17">
        <v>45771</v>
      </c>
      <c r="Y234" s="17">
        <v>45771</v>
      </c>
      <c r="Z234" s="45">
        <v>4</v>
      </c>
      <c r="AA234">
        <v>2025</v>
      </c>
      <c r="AB234" s="42">
        <v>703000</v>
      </c>
      <c r="AC234" s="42">
        <v>703000</v>
      </c>
    </row>
    <row r="235" spans="1:29">
      <c r="A235" t="s">
        <v>45</v>
      </c>
      <c r="B235" t="s">
        <v>46</v>
      </c>
      <c r="C235" t="s">
        <v>47</v>
      </c>
      <c r="D235" t="s">
        <v>315</v>
      </c>
      <c r="E235" t="s">
        <v>49</v>
      </c>
      <c r="F235" t="s">
        <v>50</v>
      </c>
      <c r="G235" t="s">
        <v>51</v>
      </c>
      <c r="H235" s="17" t="s">
        <v>58</v>
      </c>
      <c r="I235" t="s">
        <v>53</v>
      </c>
      <c r="J235" t="s">
        <v>316</v>
      </c>
      <c r="K235">
        <v>1</v>
      </c>
      <c r="L235" t="s">
        <v>55</v>
      </c>
      <c r="M235" t="s">
        <v>56</v>
      </c>
      <c r="N235" t="s">
        <v>57</v>
      </c>
      <c r="O235" s="18" t="s">
        <v>58</v>
      </c>
      <c r="P235" s="18" t="s">
        <v>72</v>
      </c>
      <c r="Q235" s="17" t="s">
        <v>317</v>
      </c>
      <c r="R235" s="18" t="s">
        <v>318</v>
      </c>
      <c r="S235" s="32">
        <v>1120</v>
      </c>
      <c r="T235" s="19">
        <v>0</v>
      </c>
      <c r="U235" s="17" t="s">
        <v>62</v>
      </c>
      <c r="V235" s="17">
        <v>45748</v>
      </c>
      <c r="W235" s="18">
        <v>4</v>
      </c>
      <c r="X235" s="17">
        <v>45749</v>
      </c>
      <c r="Z235" s="45">
        <v>4</v>
      </c>
      <c r="AA235">
        <v>2025</v>
      </c>
      <c r="AB235" s="42">
        <v>4857440</v>
      </c>
      <c r="AC235" s="42">
        <v>0</v>
      </c>
    </row>
    <row r="236" spans="1:29">
      <c r="A236" t="s">
        <v>45</v>
      </c>
      <c r="B236" t="s">
        <v>46</v>
      </c>
      <c r="C236" t="s">
        <v>47</v>
      </c>
      <c r="D236" t="s">
        <v>319</v>
      </c>
      <c r="E236" t="s">
        <v>115</v>
      </c>
      <c r="F236" t="s">
        <v>50</v>
      </c>
      <c r="G236" t="s">
        <v>116</v>
      </c>
      <c r="H236" s="17" t="s">
        <v>52</v>
      </c>
      <c r="I236" t="s">
        <v>53</v>
      </c>
      <c r="J236" t="s">
        <v>121</v>
      </c>
      <c r="L236" t="s">
        <v>55</v>
      </c>
      <c r="M236" t="s">
        <v>56</v>
      </c>
      <c r="N236" t="s">
        <v>57</v>
      </c>
      <c r="O236" s="18" t="s">
        <v>58</v>
      </c>
      <c r="P236" s="18" t="s">
        <v>72</v>
      </c>
      <c r="Q236" s="17" t="s">
        <v>122</v>
      </c>
      <c r="R236" s="18" t="s">
        <v>123</v>
      </c>
      <c r="S236" s="32">
        <v>5</v>
      </c>
      <c r="T236" s="19">
        <v>5</v>
      </c>
      <c r="U236" s="17" t="s">
        <v>119</v>
      </c>
      <c r="V236" s="17">
        <v>45737</v>
      </c>
      <c r="W236" s="18">
        <v>3</v>
      </c>
      <c r="X236" s="17">
        <v>45749</v>
      </c>
      <c r="Y236" s="17">
        <v>45749</v>
      </c>
      <c r="Z236" s="45">
        <v>4</v>
      </c>
      <c r="AA236">
        <v>2025</v>
      </c>
      <c r="AB236" s="42">
        <v>1756650</v>
      </c>
      <c r="AC236" s="42">
        <v>1756650</v>
      </c>
    </row>
    <row r="237" spans="1:29">
      <c r="A237" t="s">
        <v>45</v>
      </c>
      <c r="B237" t="s">
        <v>46</v>
      </c>
      <c r="C237" t="s">
        <v>47</v>
      </c>
      <c r="D237" t="s">
        <v>319</v>
      </c>
      <c r="E237" t="s">
        <v>115</v>
      </c>
      <c r="F237" t="s">
        <v>63</v>
      </c>
      <c r="G237" t="s">
        <v>116</v>
      </c>
      <c r="H237" s="17" t="s">
        <v>52</v>
      </c>
      <c r="I237" t="s">
        <v>53</v>
      </c>
      <c r="J237" t="s">
        <v>121</v>
      </c>
      <c r="L237" t="s">
        <v>55</v>
      </c>
      <c r="M237" t="s">
        <v>56</v>
      </c>
      <c r="N237" t="s">
        <v>57</v>
      </c>
      <c r="O237" s="18" t="s">
        <v>58</v>
      </c>
      <c r="P237" s="18" t="s">
        <v>72</v>
      </c>
      <c r="Q237" s="17" t="s">
        <v>117</v>
      </c>
      <c r="R237" s="18" t="s">
        <v>118</v>
      </c>
      <c r="S237" s="32">
        <v>1</v>
      </c>
      <c r="T237" s="19">
        <v>1</v>
      </c>
      <c r="U237" s="17" t="s">
        <v>119</v>
      </c>
      <c r="V237" s="17">
        <v>45737</v>
      </c>
      <c r="W237" s="18">
        <v>3</v>
      </c>
      <c r="X237" s="17">
        <v>45749</v>
      </c>
      <c r="Y237" s="17">
        <v>45749</v>
      </c>
      <c r="Z237" s="45">
        <v>4</v>
      </c>
      <c r="AA237">
        <v>2025</v>
      </c>
      <c r="AB237" s="42">
        <v>351500</v>
      </c>
      <c r="AC237" s="42">
        <v>351500</v>
      </c>
    </row>
    <row r="238" spans="1:29">
      <c r="A238" t="s">
        <v>45</v>
      </c>
      <c r="B238" t="s">
        <v>46</v>
      </c>
      <c r="C238" t="s">
        <v>47</v>
      </c>
      <c r="D238" t="s">
        <v>320</v>
      </c>
      <c r="E238" t="s">
        <v>115</v>
      </c>
      <c r="F238" t="s">
        <v>50</v>
      </c>
      <c r="G238" t="s">
        <v>116</v>
      </c>
      <c r="H238" s="17" t="s">
        <v>52</v>
      </c>
      <c r="I238" t="s">
        <v>53</v>
      </c>
      <c r="J238" t="s">
        <v>110</v>
      </c>
      <c r="L238" t="s">
        <v>55</v>
      </c>
      <c r="M238" t="s">
        <v>56</v>
      </c>
      <c r="N238" t="s">
        <v>57</v>
      </c>
      <c r="O238" s="18" t="s">
        <v>58</v>
      </c>
      <c r="P238" s="18" t="s">
        <v>72</v>
      </c>
      <c r="Q238" s="17" t="s">
        <v>122</v>
      </c>
      <c r="R238" s="18" t="s">
        <v>123</v>
      </c>
      <c r="S238" s="32">
        <v>4</v>
      </c>
      <c r="T238" s="19">
        <v>4</v>
      </c>
      <c r="U238" s="17" t="s">
        <v>119</v>
      </c>
      <c r="V238" s="17">
        <v>45744</v>
      </c>
      <c r="W238" s="18">
        <v>3</v>
      </c>
      <c r="X238" s="17">
        <v>45757</v>
      </c>
      <c r="Y238" s="17">
        <v>45755</v>
      </c>
      <c r="Z238" s="45">
        <v>4</v>
      </c>
      <c r="AA238">
        <v>2025</v>
      </c>
      <c r="AB238" s="42">
        <v>1405320</v>
      </c>
      <c r="AC238" s="42">
        <v>1405320</v>
      </c>
    </row>
    <row r="239" spans="1:29">
      <c r="A239" t="s">
        <v>45</v>
      </c>
      <c r="B239" t="s">
        <v>46</v>
      </c>
      <c r="C239" t="s">
        <v>47</v>
      </c>
      <c r="D239" t="s">
        <v>320</v>
      </c>
      <c r="E239" t="s">
        <v>115</v>
      </c>
      <c r="F239" t="s">
        <v>63</v>
      </c>
      <c r="G239" t="s">
        <v>116</v>
      </c>
      <c r="H239" s="17" t="s">
        <v>52</v>
      </c>
      <c r="I239" t="s">
        <v>53</v>
      </c>
      <c r="J239" t="s">
        <v>110</v>
      </c>
      <c r="L239" t="s">
        <v>55</v>
      </c>
      <c r="M239" t="s">
        <v>56</v>
      </c>
      <c r="N239" t="s">
        <v>57</v>
      </c>
      <c r="O239" s="18" t="s">
        <v>58</v>
      </c>
      <c r="P239" s="18" t="s">
        <v>72</v>
      </c>
      <c r="Q239" s="17" t="s">
        <v>117</v>
      </c>
      <c r="R239" s="18" t="s">
        <v>118</v>
      </c>
      <c r="S239" s="32">
        <v>2</v>
      </c>
      <c r="T239" s="19">
        <v>2</v>
      </c>
      <c r="U239" s="17" t="s">
        <v>119</v>
      </c>
      <c r="V239" s="17">
        <v>45744</v>
      </c>
      <c r="W239" s="18">
        <v>3</v>
      </c>
      <c r="X239" s="17">
        <v>45757</v>
      </c>
      <c r="Y239" s="17">
        <v>45755</v>
      </c>
      <c r="Z239" s="45">
        <v>4</v>
      </c>
      <c r="AA239">
        <v>2025</v>
      </c>
      <c r="AB239" s="42">
        <v>703000</v>
      </c>
      <c r="AC239" s="42">
        <v>703000</v>
      </c>
    </row>
    <row r="240" spans="1:29">
      <c r="A240" t="s">
        <v>45</v>
      </c>
      <c r="B240" t="s">
        <v>46</v>
      </c>
      <c r="C240" t="s">
        <v>47</v>
      </c>
      <c r="D240" t="s">
        <v>321</v>
      </c>
      <c r="E240" t="s">
        <v>115</v>
      </c>
      <c r="F240" t="s">
        <v>50</v>
      </c>
      <c r="G240" t="s">
        <v>116</v>
      </c>
      <c r="H240" s="17" t="s">
        <v>52</v>
      </c>
      <c r="I240" t="s">
        <v>53</v>
      </c>
      <c r="J240" t="s">
        <v>150</v>
      </c>
      <c r="L240" t="s">
        <v>55</v>
      </c>
      <c r="M240" t="s">
        <v>56</v>
      </c>
      <c r="N240" t="s">
        <v>57</v>
      </c>
      <c r="O240" s="18" t="s">
        <v>58</v>
      </c>
      <c r="P240" s="18" t="s">
        <v>76</v>
      </c>
      <c r="Q240" s="17" t="s">
        <v>77</v>
      </c>
      <c r="R240" s="18" t="s">
        <v>78</v>
      </c>
      <c r="S240" s="32">
        <v>200</v>
      </c>
      <c r="T240" s="19">
        <v>200</v>
      </c>
      <c r="U240" s="17" t="s">
        <v>62</v>
      </c>
      <c r="V240" s="17">
        <v>45744</v>
      </c>
      <c r="W240" s="18">
        <v>3</v>
      </c>
      <c r="X240" s="17">
        <v>45757</v>
      </c>
      <c r="Y240" s="17">
        <v>45755</v>
      </c>
      <c r="Z240" s="45">
        <v>4</v>
      </c>
      <c r="AA240">
        <v>2025</v>
      </c>
      <c r="AB240" s="42">
        <v>1739200</v>
      </c>
      <c r="AC240" s="42">
        <v>1739200</v>
      </c>
    </row>
    <row r="241" spans="1:29">
      <c r="A241" t="s">
        <v>45</v>
      </c>
      <c r="B241" t="s">
        <v>46</v>
      </c>
      <c r="C241" t="s">
        <v>47</v>
      </c>
      <c r="D241" t="s">
        <v>322</v>
      </c>
      <c r="E241" t="s">
        <v>115</v>
      </c>
      <c r="F241" t="s">
        <v>50</v>
      </c>
      <c r="G241" t="s">
        <v>116</v>
      </c>
      <c r="H241" s="17" t="s">
        <v>52</v>
      </c>
      <c r="I241" t="s">
        <v>53</v>
      </c>
      <c r="J241" t="s">
        <v>190</v>
      </c>
      <c r="L241" t="s">
        <v>55</v>
      </c>
      <c r="M241" t="s">
        <v>56</v>
      </c>
      <c r="N241" t="s">
        <v>57</v>
      </c>
      <c r="O241" s="18" t="s">
        <v>58</v>
      </c>
      <c r="P241" s="18" t="s">
        <v>72</v>
      </c>
      <c r="Q241" s="17" t="s">
        <v>122</v>
      </c>
      <c r="R241" s="18" t="s">
        <v>123</v>
      </c>
      <c r="S241" s="32">
        <v>4</v>
      </c>
      <c r="T241" s="19">
        <v>4</v>
      </c>
      <c r="U241" s="17" t="s">
        <v>119</v>
      </c>
      <c r="V241" s="17">
        <v>45744</v>
      </c>
      <c r="W241" s="18">
        <v>3</v>
      </c>
      <c r="X241" s="17">
        <v>45757</v>
      </c>
      <c r="Y241" s="17">
        <v>45755</v>
      </c>
      <c r="Z241" s="45">
        <v>4</v>
      </c>
      <c r="AA241">
        <v>2025</v>
      </c>
      <c r="AB241" s="42">
        <v>1405320</v>
      </c>
      <c r="AC241" s="42">
        <v>1405320</v>
      </c>
    </row>
    <row r="242" spans="1:29">
      <c r="A242" t="s">
        <v>45</v>
      </c>
      <c r="B242" t="s">
        <v>46</v>
      </c>
      <c r="C242" t="s">
        <v>47</v>
      </c>
      <c r="D242" t="s">
        <v>323</v>
      </c>
      <c r="E242" t="s">
        <v>49</v>
      </c>
      <c r="F242" t="s">
        <v>50</v>
      </c>
      <c r="G242" t="s">
        <v>51</v>
      </c>
      <c r="H242" s="17" t="s">
        <v>52</v>
      </c>
      <c r="I242" t="s">
        <v>53</v>
      </c>
      <c r="J242" t="s">
        <v>54</v>
      </c>
      <c r="K242">
        <v>1</v>
      </c>
      <c r="L242" t="s">
        <v>55</v>
      </c>
      <c r="M242" t="s">
        <v>56</v>
      </c>
      <c r="N242" t="s">
        <v>57</v>
      </c>
      <c r="O242" s="18" t="s">
        <v>58</v>
      </c>
      <c r="P242" s="18" t="s">
        <v>68</v>
      </c>
      <c r="Q242" s="17" t="s">
        <v>69</v>
      </c>
      <c r="R242" s="18" t="s">
        <v>70</v>
      </c>
      <c r="S242" s="32">
        <v>5</v>
      </c>
      <c r="T242" s="19">
        <v>5</v>
      </c>
      <c r="U242" s="17" t="s">
        <v>62</v>
      </c>
      <c r="V242" s="17">
        <v>45757</v>
      </c>
      <c r="W242" s="18">
        <v>4</v>
      </c>
      <c r="X242" s="17">
        <v>45758</v>
      </c>
      <c r="Y242" s="17">
        <v>45769</v>
      </c>
      <c r="Z242" s="45">
        <v>4</v>
      </c>
      <c r="AA242">
        <v>2025</v>
      </c>
      <c r="AB242" s="42">
        <v>380450</v>
      </c>
      <c r="AC242" s="42">
        <v>380450</v>
      </c>
    </row>
    <row r="243" spans="1:29">
      <c r="A243" t="s">
        <v>45</v>
      </c>
      <c r="B243" t="s">
        <v>46</v>
      </c>
      <c r="C243" t="s">
        <v>47</v>
      </c>
      <c r="D243" t="s">
        <v>324</v>
      </c>
      <c r="E243" t="s">
        <v>49</v>
      </c>
      <c r="F243" t="s">
        <v>50</v>
      </c>
      <c r="G243" t="s">
        <v>51</v>
      </c>
      <c r="H243" s="17" t="s">
        <v>52</v>
      </c>
      <c r="I243" t="s">
        <v>53</v>
      </c>
      <c r="J243" t="s">
        <v>54</v>
      </c>
      <c r="K243">
        <v>1</v>
      </c>
      <c r="L243" t="s">
        <v>55</v>
      </c>
      <c r="M243" t="s">
        <v>56</v>
      </c>
      <c r="N243" t="s">
        <v>57</v>
      </c>
      <c r="O243" s="18" t="s">
        <v>58</v>
      </c>
      <c r="P243" s="18" t="s">
        <v>72</v>
      </c>
      <c r="Q243" s="17" t="s">
        <v>151</v>
      </c>
      <c r="R243" s="18" t="s">
        <v>152</v>
      </c>
      <c r="S243" s="32">
        <v>10</v>
      </c>
      <c r="T243" s="19">
        <v>10</v>
      </c>
      <c r="U243" s="17" t="s">
        <v>62</v>
      </c>
      <c r="V243" s="17">
        <v>45757</v>
      </c>
      <c r="W243" s="18">
        <v>4</v>
      </c>
      <c r="X243" s="17">
        <v>45757</v>
      </c>
      <c r="Y243" s="17">
        <v>45769</v>
      </c>
      <c r="Z243" s="45">
        <v>4</v>
      </c>
      <c r="AA243">
        <v>2025</v>
      </c>
      <c r="AB243" s="42">
        <v>324170</v>
      </c>
      <c r="AC243" s="42">
        <v>324170</v>
      </c>
    </row>
    <row r="244" spans="1:29">
      <c r="A244" t="s">
        <v>45</v>
      </c>
      <c r="B244" t="s">
        <v>46</v>
      </c>
      <c r="C244" t="s">
        <v>47</v>
      </c>
      <c r="D244" t="s">
        <v>325</v>
      </c>
      <c r="E244" t="s">
        <v>49</v>
      </c>
      <c r="F244" t="s">
        <v>50</v>
      </c>
      <c r="G244" t="s">
        <v>51</v>
      </c>
      <c r="H244" s="17" t="s">
        <v>52</v>
      </c>
      <c r="I244" t="s">
        <v>53</v>
      </c>
      <c r="J244" t="s">
        <v>167</v>
      </c>
      <c r="K244">
        <v>1</v>
      </c>
      <c r="L244" t="s">
        <v>55</v>
      </c>
      <c r="M244" t="s">
        <v>56</v>
      </c>
      <c r="N244" t="s">
        <v>57</v>
      </c>
      <c r="O244" s="18" t="s">
        <v>58</v>
      </c>
      <c r="P244" s="18" t="s">
        <v>59</v>
      </c>
      <c r="Q244" s="17" t="s">
        <v>60</v>
      </c>
      <c r="R244" s="18" t="s">
        <v>61</v>
      </c>
      <c r="S244" s="32">
        <v>3</v>
      </c>
      <c r="T244" s="19">
        <v>3</v>
      </c>
      <c r="U244" s="17" t="s">
        <v>62</v>
      </c>
      <c r="V244" s="17">
        <v>45762</v>
      </c>
      <c r="W244" s="18">
        <v>4</v>
      </c>
      <c r="X244" s="17">
        <v>45763</v>
      </c>
      <c r="Y244" s="17">
        <v>45771</v>
      </c>
      <c r="Z244" s="45">
        <v>4</v>
      </c>
      <c r="AA244">
        <v>2025</v>
      </c>
      <c r="AB244" s="42">
        <v>49965</v>
      </c>
      <c r="AC244" s="42">
        <v>49965</v>
      </c>
    </row>
    <row r="245" spans="1:29">
      <c r="A245" t="s">
        <v>45</v>
      </c>
      <c r="B245" t="s">
        <v>46</v>
      </c>
      <c r="C245" t="s">
        <v>47</v>
      </c>
      <c r="D245" t="s">
        <v>304</v>
      </c>
      <c r="E245" t="s">
        <v>49</v>
      </c>
      <c r="F245" t="s">
        <v>71</v>
      </c>
      <c r="G245" t="s">
        <v>51</v>
      </c>
      <c r="H245" s="17" t="s">
        <v>52</v>
      </c>
      <c r="I245" t="s">
        <v>53</v>
      </c>
      <c r="J245" t="s">
        <v>167</v>
      </c>
      <c r="K245">
        <v>1</v>
      </c>
      <c r="L245" t="s">
        <v>55</v>
      </c>
      <c r="M245" t="s">
        <v>56</v>
      </c>
      <c r="N245" t="s">
        <v>57</v>
      </c>
      <c r="O245" s="18" t="s">
        <v>58</v>
      </c>
      <c r="P245" s="18" t="s">
        <v>99</v>
      </c>
      <c r="Q245" s="17" t="s">
        <v>100</v>
      </c>
      <c r="R245" s="18" t="s">
        <v>101</v>
      </c>
      <c r="S245" s="32">
        <v>1</v>
      </c>
      <c r="T245" s="19">
        <v>1</v>
      </c>
      <c r="U245" s="17" t="s">
        <v>62</v>
      </c>
      <c r="V245" s="17">
        <v>45751</v>
      </c>
      <c r="W245" s="18">
        <v>4</v>
      </c>
      <c r="X245" s="17">
        <v>45751</v>
      </c>
      <c r="Y245" s="17">
        <v>45777</v>
      </c>
      <c r="Z245" s="45">
        <v>4</v>
      </c>
      <c r="AA245">
        <v>2025</v>
      </c>
      <c r="AB245" s="42">
        <v>58000</v>
      </c>
      <c r="AC245" s="42">
        <v>58000</v>
      </c>
    </row>
    <row r="246" spans="1:29">
      <c r="A246" t="s">
        <v>45</v>
      </c>
      <c r="B246" t="s">
        <v>46</v>
      </c>
      <c r="C246" t="s">
        <v>47</v>
      </c>
      <c r="D246" t="s">
        <v>326</v>
      </c>
      <c r="E246" t="s">
        <v>115</v>
      </c>
      <c r="F246" t="s">
        <v>50</v>
      </c>
      <c r="G246" t="s">
        <v>116</v>
      </c>
      <c r="H246" s="17" t="s">
        <v>52</v>
      </c>
      <c r="I246" t="s">
        <v>53</v>
      </c>
      <c r="J246" t="s">
        <v>110</v>
      </c>
      <c r="K246">
        <v>1</v>
      </c>
      <c r="L246" t="s">
        <v>55</v>
      </c>
      <c r="M246" t="s">
        <v>56</v>
      </c>
      <c r="N246" t="s">
        <v>57</v>
      </c>
      <c r="O246" s="18" t="s">
        <v>58</v>
      </c>
      <c r="P246" s="18" t="s">
        <v>72</v>
      </c>
      <c r="Q246" s="17" t="s">
        <v>122</v>
      </c>
      <c r="R246" s="18" t="s">
        <v>123</v>
      </c>
      <c r="S246" s="32">
        <v>4</v>
      </c>
      <c r="T246" s="19">
        <v>4</v>
      </c>
      <c r="U246" s="17" t="s">
        <v>119</v>
      </c>
      <c r="V246" s="17">
        <v>45764</v>
      </c>
      <c r="W246" s="18">
        <v>4</v>
      </c>
      <c r="X246" s="17">
        <v>45777</v>
      </c>
      <c r="Y246" s="17">
        <v>45770</v>
      </c>
      <c r="Z246" s="45">
        <v>4</v>
      </c>
      <c r="AA246">
        <v>2025</v>
      </c>
      <c r="AB246" s="42">
        <v>1405320</v>
      </c>
      <c r="AC246" s="42">
        <v>1405320</v>
      </c>
    </row>
    <row r="247" spans="1:29">
      <c r="A247" t="s">
        <v>45</v>
      </c>
      <c r="B247" t="s">
        <v>46</v>
      </c>
      <c r="C247" t="s">
        <v>47</v>
      </c>
      <c r="D247" t="s">
        <v>326</v>
      </c>
      <c r="E247" t="s">
        <v>115</v>
      </c>
      <c r="F247" t="s">
        <v>63</v>
      </c>
      <c r="G247" t="s">
        <v>116</v>
      </c>
      <c r="H247" s="17" t="s">
        <v>52</v>
      </c>
      <c r="I247" t="s">
        <v>53</v>
      </c>
      <c r="J247" t="s">
        <v>110</v>
      </c>
      <c r="K247">
        <v>1</v>
      </c>
      <c r="L247" t="s">
        <v>55</v>
      </c>
      <c r="M247" t="s">
        <v>56</v>
      </c>
      <c r="N247" t="s">
        <v>57</v>
      </c>
      <c r="O247" s="18" t="s">
        <v>58</v>
      </c>
      <c r="P247" s="18" t="s">
        <v>72</v>
      </c>
      <c r="Q247" s="17" t="s">
        <v>117</v>
      </c>
      <c r="R247" s="18" t="s">
        <v>118</v>
      </c>
      <c r="S247" s="32">
        <v>2</v>
      </c>
      <c r="T247" s="19">
        <v>2</v>
      </c>
      <c r="U247" s="17" t="s">
        <v>119</v>
      </c>
      <c r="V247" s="17">
        <v>45764</v>
      </c>
      <c r="W247" s="18">
        <v>4</v>
      </c>
      <c r="X247" s="17">
        <v>45777</v>
      </c>
      <c r="Y247" s="17">
        <v>45770</v>
      </c>
      <c r="Z247" s="45">
        <v>4</v>
      </c>
      <c r="AA247">
        <v>2025</v>
      </c>
      <c r="AB247" s="42">
        <v>703000</v>
      </c>
      <c r="AC247" s="42">
        <v>703000</v>
      </c>
    </row>
    <row r="248" spans="1:29">
      <c r="A248" t="s">
        <v>45</v>
      </c>
      <c r="B248" t="s">
        <v>46</v>
      </c>
      <c r="C248" t="s">
        <v>47</v>
      </c>
      <c r="D248" t="s">
        <v>327</v>
      </c>
      <c r="E248" t="s">
        <v>115</v>
      </c>
      <c r="F248" t="s">
        <v>50</v>
      </c>
      <c r="G248" t="s">
        <v>116</v>
      </c>
      <c r="H248" s="17" t="s">
        <v>52</v>
      </c>
      <c r="I248" t="s">
        <v>53</v>
      </c>
      <c r="J248" t="s">
        <v>125</v>
      </c>
      <c r="K248">
        <v>1</v>
      </c>
      <c r="L248" t="s">
        <v>55</v>
      </c>
      <c r="M248" t="s">
        <v>56</v>
      </c>
      <c r="N248" t="s">
        <v>57</v>
      </c>
      <c r="O248" s="18" t="s">
        <v>58</v>
      </c>
      <c r="P248" s="18" t="s">
        <v>72</v>
      </c>
      <c r="Q248" s="17" t="s">
        <v>122</v>
      </c>
      <c r="R248" s="18" t="s">
        <v>123</v>
      </c>
      <c r="S248" s="32">
        <v>4</v>
      </c>
      <c r="T248" s="19">
        <v>4</v>
      </c>
      <c r="U248" s="17" t="s">
        <v>119</v>
      </c>
      <c r="V248" s="17">
        <v>45764</v>
      </c>
      <c r="W248" s="18">
        <v>4</v>
      </c>
      <c r="X248" s="17">
        <v>45777</v>
      </c>
      <c r="Y248" s="17">
        <v>45777</v>
      </c>
      <c r="Z248" s="45">
        <v>4</v>
      </c>
      <c r="AA248">
        <v>2025</v>
      </c>
      <c r="AB248" s="42">
        <v>1405320</v>
      </c>
      <c r="AC248" s="42">
        <v>1405320</v>
      </c>
    </row>
    <row r="249" spans="1:29">
      <c r="A249" t="s">
        <v>45</v>
      </c>
      <c r="B249" t="s">
        <v>46</v>
      </c>
      <c r="C249" t="s">
        <v>47</v>
      </c>
      <c r="D249" t="s">
        <v>327</v>
      </c>
      <c r="E249" t="s">
        <v>115</v>
      </c>
      <c r="F249" t="s">
        <v>63</v>
      </c>
      <c r="G249" t="s">
        <v>116</v>
      </c>
      <c r="H249" s="17" t="s">
        <v>52</v>
      </c>
      <c r="I249" t="s">
        <v>53</v>
      </c>
      <c r="J249" t="s">
        <v>125</v>
      </c>
      <c r="K249">
        <v>1</v>
      </c>
      <c r="L249" t="s">
        <v>55</v>
      </c>
      <c r="M249" t="s">
        <v>56</v>
      </c>
      <c r="N249" t="s">
        <v>57</v>
      </c>
      <c r="O249" s="18" t="s">
        <v>58</v>
      </c>
      <c r="P249" s="18" t="s">
        <v>72</v>
      </c>
      <c r="Q249" s="17" t="s">
        <v>117</v>
      </c>
      <c r="R249" s="18" t="s">
        <v>118</v>
      </c>
      <c r="S249" s="32">
        <v>2</v>
      </c>
      <c r="T249" s="19">
        <v>2</v>
      </c>
      <c r="U249" s="17" t="s">
        <v>119</v>
      </c>
      <c r="V249" s="17">
        <v>45764</v>
      </c>
      <c r="W249" s="18">
        <v>4</v>
      </c>
      <c r="X249" s="17">
        <v>45777</v>
      </c>
      <c r="Y249" s="17">
        <v>45777</v>
      </c>
      <c r="Z249" s="45">
        <v>4</v>
      </c>
      <c r="AA249">
        <v>2025</v>
      </c>
      <c r="AB249" s="42">
        <v>703000</v>
      </c>
      <c r="AC249" s="42">
        <v>703000</v>
      </c>
    </row>
    <row r="250" spans="1:29">
      <c r="A250" t="s">
        <v>45</v>
      </c>
      <c r="B250" t="s">
        <v>46</v>
      </c>
      <c r="C250" t="s">
        <v>47</v>
      </c>
      <c r="D250" t="s">
        <v>328</v>
      </c>
      <c r="E250" t="s">
        <v>49</v>
      </c>
      <c r="F250" t="s">
        <v>50</v>
      </c>
      <c r="G250" t="s">
        <v>51</v>
      </c>
      <c r="H250" s="17" t="s">
        <v>58</v>
      </c>
      <c r="I250" t="s">
        <v>53</v>
      </c>
      <c r="J250" t="s">
        <v>54</v>
      </c>
      <c r="K250">
        <v>1</v>
      </c>
      <c r="L250" t="s">
        <v>55</v>
      </c>
      <c r="M250" t="s">
        <v>56</v>
      </c>
      <c r="N250" t="s">
        <v>57</v>
      </c>
      <c r="O250" s="18" t="s">
        <v>58</v>
      </c>
      <c r="P250" s="18" t="s">
        <v>132</v>
      </c>
      <c r="Q250" s="17" t="s">
        <v>133</v>
      </c>
      <c r="R250" s="18" t="s">
        <v>134</v>
      </c>
      <c r="S250" s="32">
        <v>8650</v>
      </c>
      <c r="T250" s="19">
        <v>0</v>
      </c>
      <c r="U250" s="17" t="s">
        <v>62</v>
      </c>
      <c r="V250" s="17">
        <v>45764</v>
      </c>
      <c r="W250" s="18">
        <v>4</v>
      </c>
      <c r="X250" s="17">
        <v>45769</v>
      </c>
      <c r="Z250" s="45">
        <v>4</v>
      </c>
      <c r="AA250">
        <v>2025</v>
      </c>
      <c r="AB250" s="42">
        <v>48388100</v>
      </c>
      <c r="AC250" s="42">
        <v>0</v>
      </c>
    </row>
    <row r="251" spans="1:29">
      <c r="A251" t="s">
        <v>45</v>
      </c>
      <c r="B251" t="s">
        <v>46</v>
      </c>
      <c r="C251" t="s">
        <v>47</v>
      </c>
      <c r="D251" t="s">
        <v>328</v>
      </c>
      <c r="E251" t="s">
        <v>49</v>
      </c>
      <c r="F251" t="s">
        <v>63</v>
      </c>
      <c r="G251" t="s">
        <v>51</v>
      </c>
      <c r="H251" s="17" t="s">
        <v>58</v>
      </c>
      <c r="I251" t="s">
        <v>53</v>
      </c>
      <c r="J251" t="s">
        <v>54</v>
      </c>
      <c r="K251">
        <v>1</v>
      </c>
      <c r="L251" t="s">
        <v>55</v>
      </c>
      <c r="M251" t="s">
        <v>56</v>
      </c>
      <c r="N251" t="s">
        <v>57</v>
      </c>
      <c r="O251" s="18" t="s">
        <v>58</v>
      </c>
      <c r="P251" s="18" t="s">
        <v>99</v>
      </c>
      <c r="Q251" s="17" t="s">
        <v>100</v>
      </c>
      <c r="R251" s="18" t="s">
        <v>101</v>
      </c>
      <c r="S251" s="32">
        <v>8650</v>
      </c>
      <c r="T251" s="19">
        <v>0</v>
      </c>
      <c r="U251" s="17" t="s">
        <v>62</v>
      </c>
      <c r="V251" s="17">
        <v>45764</v>
      </c>
      <c r="W251" s="18">
        <v>4</v>
      </c>
      <c r="X251" s="17">
        <v>45769</v>
      </c>
      <c r="Z251" s="45">
        <v>4</v>
      </c>
      <c r="AA251">
        <v>2025</v>
      </c>
      <c r="AB251" s="42">
        <v>1626200</v>
      </c>
      <c r="AC251" s="42">
        <v>0</v>
      </c>
    </row>
    <row r="252" spans="1:29">
      <c r="A252" t="s">
        <v>45</v>
      </c>
      <c r="B252" t="s">
        <v>46</v>
      </c>
      <c r="C252" t="s">
        <v>47</v>
      </c>
      <c r="D252" t="s">
        <v>329</v>
      </c>
      <c r="E252" t="s">
        <v>49</v>
      </c>
      <c r="F252" t="s">
        <v>50</v>
      </c>
      <c r="G252" t="s">
        <v>51</v>
      </c>
      <c r="H252" s="17" t="s">
        <v>58</v>
      </c>
      <c r="I252" t="s">
        <v>53</v>
      </c>
      <c r="J252" t="s">
        <v>54</v>
      </c>
      <c r="K252">
        <v>1</v>
      </c>
      <c r="L252" t="s">
        <v>55</v>
      </c>
      <c r="M252" t="s">
        <v>56</v>
      </c>
      <c r="N252" t="s">
        <v>57</v>
      </c>
      <c r="O252" s="18" t="s">
        <v>58</v>
      </c>
      <c r="P252" s="18" t="s">
        <v>172</v>
      </c>
      <c r="Q252" s="17" t="s">
        <v>173</v>
      </c>
      <c r="R252" s="18" t="s">
        <v>174</v>
      </c>
      <c r="S252" s="32">
        <v>192</v>
      </c>
      <c r="T252" s="19">
        <v>0</v>
      </c>
      <c r="U252" s="17" t="s">
        <v>62</v>
      </c>
      <c r="V252" s="17">
        <v>45764</v>
      </c>
      <c r="W252" s="18">
        <v>4</v>
      </c>
      <c r="X252" s="17">
        <v>45769</v>
      </c>
      <c r="Z252" s="45">
        <v>4</v>
      </c>
      <c r="AA252">
        <v>2025</v>
      </c>
      <c r="AB252" s="42">
        <v>10379136</v>
      </c>
      <c r="AC252" s="42">
        <v>0</v>
      </c>
    </row>
    <row r="253" spans="1:29">
      <c r="A253" t="s">
        <v>45</v>
      </c>
      <c r="B253" t="s">
        <v>46</v>
      </c>
      <c r="C253" t="s">
        <v>47</v>
      </c>
      <c r="D253" t="s">
        <v>329</v>
      </c>
      <c r="E253" t="s">
        <v>49</v>
      </c>
      <c r="F253" t="s">
        <v>63</v>
      </c>
      <c r="G253" t="s">
        <v>51</v>
      </c>
      <c r="H253" s="17" t="s">
        <v>58</v>
      </c>
      <c r="I253" t="s">
        <v>53</v>
      </c>
      <c r="J253" t="s">
        <v>54</v>
      </c>
      <c r="K253">
        <v>1</v>
      </c>
      <c r="L253" t="s">
        <v>55</v>
      </c>
      <c r="M253" t="s">
        <v>56</v>
      </c>
      <c r="N253" t="s">
        <v>57</v>
      </c>
      <c r="O253" s="18" t="s">
        <v>58</v>
      </c>
      <c r="P253" s="18" t="s">
        <v>99</v>
      </c>
      <c r="Q253" s="17" t="s">
        <v>100</v>
      </c>
      <c r="R253" s="18" t="s">
        <v>101</v>
      </c>
      <c r="S253" s="32">
        <v>192</v>
      </c>
      <c r="T253" s="19">
        <v>0</v>
      </c>
      <c r="U253" s="17" t="s">
        <v>62</v>
      </c>
      <c r="V253" s="17">
        <v>45764</v>
      </c>
      <c r="W253" s="18">
        <v>4</v>
      </c>
      <c r="X253" s="17">
        <v>45769</v>
      </c>
      <c r="Z253" s="45">
        <v>4</v>
      </c>
      <c r="AA253">
        <v>2025</v>
      </c>
      <c r="AB253" s="42">
        <v>28800</v>
      </c>
      <c r="AC253" s="42">
        <v>0</v>
      </c>
    </row>
    <row r="254" spans="1:29">
      <c r="A254" t="s">
        <v>45</v>
      </c>
      <c r="B254" t="s">
        <v>46</v>
      </c>
      <c r="C254" t="s">
        <v>47</v>
      </c>
      <c r="D254" t="s">
        <v>330</v>
      </c>
      <c r="E254" t="s">
        <v>49</v>
      </c>
      <c r="F254" t="s">
        <v>50</v>
      </c>
      <c r="G254" t="s">
        <v>51</v>
      </c>
      <c r="H254" s="17" t="s">
        <v>58</v>
      </c>
      <c r="I254" t="s">
        <v>53</v>
      </c>
      <c r="J254" t="s">
        <v>54</v>
      </c>
      <c r="K254">
        <v>1</v>
      </c>
      <c r="L254" t="s">
        <v>55</v>
      </c>
      <c r="M254" t="s">
        <v>56</v>
      </c>
      <c r="N254" t="s">
        <v>57</v>
      </c>
      <c r="O254" s="18" t="s">
        <v>58</v>
      </c>
      <c r="P254" s="18" t="s">
        <v>172</v>
      </c>
      <c r="Q254" s="17" t="s">
        <v>173</v>
      </c>
      <c r="R254" s="18" t="s">
        <v>174</v>
      </c>
      <c r="S254" s="32">
        <v>192</v>
      </c>
      <c r="T254" s="19">
        <v>0</v>
      </c>
      <c r="U254" s="17" t="s">
        <v>62</v>
      </c>
      <c r="V254" s="17">
        <v>45769</v>
      </c>
      <c r="W254" s="18">
        <v>4</v>
      </c>
      <c r="X254" s="17">
        <v>45770</v>
      </c>
      <c r="Z254" s="45">
        <v>4</v>
      </c>
      <c r="AA254">
        <v>2025</v>
      </c>
      <c r="AB254" s="42">
        <v>11041536</v>
      </c>
      <c r="AC254" s="42">
        <v>0</v>
      </c>
    </row>
    <row r="255" spans="1:29">
      <c r="A255" t="s">
        <v>45</v>
      </c>
      <c r="B255" t="s">
        <v>46</v>
      </c>
      <c r="C255" t="s">
        <v>47</v>
      </c>
      <c r="D255" t="s">
        <v>330</v>
      </c>
      <c r="E255" t="s">
        <v>49</v>
      </c>
      <c r="F255" t="s">
        <v>63</v>
      </c>
      <c r="G255" t="s">
        <v>51</v>
      </c>
      <c r="H255" s="17" t="s">
        <v>58</v>
      </c>
      <c r="I255" t="s">
        <v>53</v>
      </c>
      <c r="J255" t="s">
        <v>54</v>
      </c>
      <c r="K255">
        <v>1</v>
      </c>
      <c r="L255" t="s">
        <v>55</v>
      </c>
      <c r="M255" t="s">
        <v>56</v>
      </c>
      <c r="N255" t="s">
        <v>57</v>
      </c>
      <c r="O255" s="18" t="s">
        <v>58</v>
      </c>
      <c r="P255" s="18" t="s">
        <v>99</v>
      </c>
      <c r="Q255" s="17" t="s">
        <v>100</v>
      </c>
      <c r="R255" s="18" t="s">
        <v>101</v>
      </c>
      <c r="S255" s="32">
        <v>192</v>
      </c>
      <c r="T255" s="19">
        <v>0</v>
      </c>
      <c r="U255" s="17" t="s">
        <v>62</v>
      </c>
      <c r="V255" s="17">
        <v>45769</v>
      </c>
      <c r="W255" s="18">
        <v>4</v>
      </c>
      <c r="X255" s="17">
        <v>45770</v>
      </c>
      <c r="Z255" s="45">
        <v>4</v>
      </c>
      <c r="AA255">
        <v>2025</v>
      </c>
      <c r="AB255" s="42">
        <v>28800</v>
      </c>
      <c r="AC255" s="42">
        <v>0</v>
      </c>
    </row>
    <row r="256" spans="1:29">
      <c r="A256" t="s">
        <v>45</v>
      </c>
      <c r="B256" t="s">
        <v>46</v>
      </c>
      <c r="C256" t="s">
        <v>47</v>
      </c>
      <c r="D256" t="s">
        <v>331</v>
      </c>
      <c r="E256" t="s">
        <v>49</v>
      </c>
      <c r="F256" t="s">
        <v>50</v>
      </c>
      <c r="G256" t="s">
        <v>51</v>
      </c>
      <c r="H256" s="17" t="s">
        <v>58</v>
      </c>
      <c r="I256" t="s">
        <v>53</v>
      </c>
      <c r="J256" t="s">
        <v>54</v>
      </c>
      <c r="K256">
        <v>1</v>
      </c>
      <c r="L256" t="s">
        <v>55</v>
      </c>
      <c r="M256" t="s">
        <v>56</v>
      </c>
      <c r="N256" t="s">
        <v>57</v>
      </c>
      <c r="O256" s="18" t="s">
        <v>58</v>
      </c>
      <c r="P256" s="18" t="s">
        <v>172</v>
      </c>
      <c r="Q256" s="17" t="s">
        <v>173</v>
      </c>
      <c r="R256" s="18" t="s">
        <v>174</v>
      </c>
      <c r="S256" s="32">
        <v>192</v>
      </c>
      <c r="T256" s="19">
        <v>0</v>
      </c>
      <c r="U256" s="17" t="s">
        <v>62</v>
      </c>
      <c r="V256" s="17">
        <v>45772</v>
      </c>
      <c r="W256" s="18">
        <v>4</v>
      </c>
      <c r="X256" s="17">
        <v>45772</v>
      </c>
      <c r="Z256" s="45">
        <v>4</v>
      </c>
      <c r="AA256">
        <v>2025</v>
      </c>
      <c r="AB256" s="42">
        <v>11041536</v>
      </c>
      <c r="AC256" s="42">
        <v>0</v>
      </c>
    </row>
    <row r="257" spans="1:29">
      <c r="A257" t="s">
        <v>45</v>
      </c>
      <c r="B257" t="s">
        <v>46</v>
      </c>
      <c r="C257" t="s">
        <v>47</v>
      </c>
      <c r="D257" t="s">
        <v>304</v>
      </c>
      <c r="E257" t="s">
        <v>49</v>
      </c>
      <c r="F257" t="s">
        <v>67</v>
      </c>
      <c r="G257" t="s">
        <v>51</v>
      </c>
      <c r="H257" s="17" t="s">
        <v>52</v>
      </c>
      <c r="I257" t="s">
        <v>53</v>
      </c>
      <c r="J257" t="s">
        <v>167</v>
      </c>
      <c r="K257">
        <v>1</v>
      </c>
      <c r="L257" t="s">
        <v>55</v>
      </c>
      <c r="M257" t="s">
        <v>56</v>
      </c>
      <c r="N257" t="s">
        <v>57</v>
      </c>
      <c r="O257" s="18" t="s">
        <v>58</v>
      </c>
      <c r="P257" s="18" t="s">
        <v>99</v>
      </c>
      <c r="Q257" s="17" t="s">
        <v>100</v>
      </c>
      <c r="R257" s="18" t="s">
        <v>101</v>
      </c>
      <c r="S257" s="32">
        <v>2</v>
      </c>
      <c r="T257" s="19">
        <v>2</v>
      </c>
      <c r="U257" s="17" t="s">
        <v>62</v>
      </c>
      <c r="V257" s="17">
        <v>45751</v>
      </c>
      <c r="W257" s="18">
        <v>4</v>
      </c>
      <c r="X257" s="17">
        <v>45751</v>
      </c>
      <c r="Y257" s="17">
        <v>45779</v>
      </c>
      <c r="Z257" s="45">
        <v>5</v>
      </c>
      <c r="AA257">
        <v>2025</v>
      </c>
      <c r="AB257" s="42">
        <v>150000</v>
      </c>
      <c r="AC257" s="42">
        <v>150000</v>
      </c>
    </row>
    <row r="258" spans="1:29">
      <c r="A258" t="s">
        <v>45</v>
      </c>
      <c r="B258" t="s">
        <v>46</v>
      </c>
      <c r="C258" t="s">
        <v>47</v>
      </c>
      <c r="D258" t="s">
        <v>332</v>
      </c>
      <c r="E258" t="s">
        <v>49</v>
      </c>
      <c r="F258" t="s">
        <v>67</v>
      </c>
      <c r="G258" t="s">
        <v>51</v>
      </c>
      <c r="H258" s="17" t="s">
        <v>52</v>
      </c>
      <c r="I258" t="s">
        <v>53</v>
      </c>
      <c r="J258" t="s">
        <v>54</v>
      </c>
      <c r="K258">
        <v>1</v>
      </c>
      <c r="L258" t="s">
        <v>55</v>
      </c>
      <c r="M258" t="s">
        <v>56</v>
      </c>
      <c r="N258" t="s">
        <v>57</v>
      </c>
      <c r="O258" s="18" t="s">
        <v>58</v>
      </c>
      <c r="P258" s="18" t="s">
        <v>72</v>
      </c>
      <c r="Q258" s="17" t="s">
        <v>145</v>
      </c>
      <c r="R258" s="18" t="s">
        <v>146</v>
      </c>
      <c r="S258" s="32">
        <v>1339</v>
      </c>
      <c r="T258" s="19">
        <v>1361</v>
      </c>
      <c r="U258" s="17" t="s">
        <v>62</v>
      </c>
      <c r="V258" s="17">
        <v>45776</v>
      </c>
      <c r="W258" s="18">
        <v>4</v>
      </c>
      <c r="X258" s="17">
        <v>45868</v>
      </c>
      <c r="Y258" s="17">
        <v>45800</v>
      </c>
      <c r="Z258" s="45">
        <v>5</v>
      </c>
      <c r="AA258">
        <v>2025</v>
      </c>
      <c r="AB258" s="42">
        <v>10698610</v>
      </c>
      <c r="AC258" s="42">
        <v>10874390</v>
      </c>
    </row>
    <row r="259" spans="1:29">
      <c r="A259" t="s">
        <v>45</v>
      </c>
      <c r="B259" t="s">
        <v>46</v>
      </c>
      <c r="C259" t="s">
        <v>47</v>
      </c>
      <c r="D259" t="s">
        <v>333</v>
      </c>
      <c r="E259" t="s">
        <v>49</v>
      </c>
      <c r="F259" t="s">
        <v>50</v>
      </c>
      <c r="G259" t="s">
        <v>51</v>
      </c>
      <c r="H259" s="17" t="s">
        <v>52</v>
      </c>
      <c r="I259" t="s">
        <v>53</v>
      </c>
      <c r="J259" t="s">
        <v>167</v>
      </c>
      <c r="K259">
        <v>1</v>
      </c>
      <c r="L259" t="s">
        <v>55</v>
      </c>
      <c r="M259" t="s">
        <v>56</v>
      </c>
      <c r="N259" t="s">
        <v>57</v>
      </c>
      <c r="O259" s="18" t="s">
        <v>58</v>
      </c>
      <c r="P259" s="18" t="s">
        <v>132</v>
      </c>
      <c r="Q259" s="17" t="s">
        <v>133</v>
      </c>
      <c r="R259" s="18" t="s">
        <v>134</v>
      </c>
      <c r="S259" s="32">
        <v>1098</v>
      </c>
      <c r="T259" s="19">
        <v>730</v>
      </c>
      <c r="U259" s="17" t="s">
        <v>62</v>
      </c>
      <c r="V259" s="17">
        <v>45772</v>
      </c>
      <c r="W259" s="18">
        <v>4</v>
      </c>
      <c r="X259" s="17">
        <v>45775</v>
      </c>
      <c r="Y259" s="17">
        <v>45796</v>
      </c>
      <c r="Z259" s="45">
        <v>5</v>
      </c>
      <c r="AA259">
        <v>2025</v>
      </c>
      <c r="AB259" s="42">
        <v>6529806</v>
      </c>
      <c r="AC259" s="42">
        <v>4341310</v>
      </c>
    </row>
    <row r="260" spans="1:29">
      <c r="A260" t="s">
        <v>45</v>
      </c>
      <c r="B260" t="s">
        <v>46</v>
      </c>
      <c r="C260" t="s">
        <v>47</v>
      </c>
      <c r="D260" t="s">
        <v>332</v>
      </c>
      <c r="E260" t="s">
        <v>49</v>
      </c>
      <c r="F260" t="s">
        <v>334</v>
      </c>
      <c r="G260" t="s">
        <v>51</v>
      </c>
      <c r="H260" s="17" t="s">
        <v>52</v>
      </c>
      <c r="I260" t="s">
        <v>53</v>
      </c>
      <c r="J260" t="s">
        <v>54</v>
      </c>
      <c r="K260">
        <v>1</v>
      </c>
      <c r="L260" t="s">
        <v>55</v>
      </c>
      <c r="M260" t="s">
        <v>56</v>
      </c>
      <c r="N260" t="s">
        <v>57</v>
      </c>
      <c r="O260" s="18" t="s">
        <v>58</v>
      </c>
      <c r="P260" s="18" t="s">
        <v>99</v>
      </c>
      <c r="Q260" s="17" t="s">
        <v>100</v>
      </c>
      <c r="R260" s="18" t="s">
        <v>101</v>
      </c>
      <c r="S260" s="32">
        <v>949</v>
      </c>
      <c r="T260" s="19">
        <v>367</v>
      </c>
      <c r="U260" s="17" t="s">
        <v>62</v>
      </c>
      <c r="V260" s="17">
        <v>45776</v>
      </c>
      <c r="W260" s="18">
        <v>4</v>
      </c>
      <c r="X260" s="17">
        <v>45868</v>
      </c>
      <c r="Y260" s="17">
        <v>45791</v>
      </c>
      <c r="Z260" s="45">
        <v>5</v>
      </c>
      <c r="AA260">
        <v>2025</v>
      </c>
      <c r="AB260" s="42">
        <v>218270</v>
      </c>
      <c r="AC260" s="42">
        <v>84410</v>
      </c>
    </row>
    <row r="261" spans="1:29">
      <c r="A261" t="s">
        <v>45</v>
      </c>
      <c r="B261" t="s">
        <v>46</v>
      </c>
      <c r="C261" t="s">
        <v>47</v>
      </c>
      <c r="D261" t="s">
        <v>332</v>
      </c>
      <c r="E261" t="s">
        <v>49</v>
      </c>
      <c r="F261" t="s">
        <v>335</v>
      </c>
      <c r="G261" t="s">
        <v>51</v>
      </c>
      <c r="H261" s="17" t="s">
        <v>52</v>
      </c>
      <c r="I261" t="s">
        <v>53</v>
      </c>
      <c r="J261" t="s">
        <v>54</v>
      </c>
      <c r="K261">
        <v>1</v>
      </c>
      <c r="L261" t="s">
        <v>55</v>
      </c>
      <c r="M261" t="s">
        <v>56</v>
      </c>
      <c r="N261" t="s">
        <v>57</v>
      </c>
      <c r="O261" s="18" t="s">
        <v>58</v>
      </c>
      <c r="P261" s="18" t="s">
        <v>76</v>
      </c>
      <c r="Q261" s="17" t="s">
        <v>77</v>
      </c>
      <c r="R261" s="18" t="s">
        <v>78</v>
      </c>
      <c r="S261" s="32">
        <v>564</v>
      </c>
      <c r="T261" s="19">
        <v>80</v>
      </c>
      <c r="U261" s="17" t="s">
        <v>62</v>
      </c>
      <c r="V261" s="17">
        <v>45776</v>
      </c>
      <c r="W261" s="18">
        <v>4</v>
      </c>
      <c r="X261" s="17">
        <v>45868</v>
      </c>
      <c r="Y261" s="17">
        <v>45791</v>
      </c>
      <c r="Z261" s="45">
        <v>5</v>
      </c>
      <c r="AA261">
        <v>2025</v>
      </c>
      <c r="AB261" s="42">
        <v>4283016</v>
      </c>
      <c r="AC261" s="42">
        <v>607520</v>
      </c>
    </row>
    <row r="262" spans="1:29">
      <c r="A262" t="s">
        <v>45</v>
      </c>
      <c r="B262" t="s">
        <v>46</v>
      </c>
      <c r="C262" t="s">
        <v>47</v>
      </c>
      <c r="D262" t="s">
        <v>332</v>
      </c>
      <c r="E262" t="s">
        <v>49</v>
      </c>
      <c r="F262" t="s">
        <v>336</v>
      </c>
      <c r="G262" t="s">
        <v>51</v>
      </c>
      <c r="H262" s="17" t="s">
        <v>52</v>
      </c>
      <c r="I262" t="s">
        <v>53</v>
      </c>
      <c r="J262" t="s">
        <v>54</v>
      </c>
      <c r="K262">
        <v>1</v>
      </c>
      <c r="L262" t="s">
        <v>55</v>
      </c>
      <c r="M262" t="s">
        <v>56</v>
      </c>
      <c r="N262" t="s">
        <v>57</v>
      </c>
      <c r="O262" s="18" t="s">
        <v>58</v>
      </c>
      <c r="P262" s="18" t="s">
        <v>99</v>
      </c>
      <c r="Q262" s="17" t="s">
        <v>100</v>
      </c>
      <c r="R262" s="18" t="s">
        <v>101</v>
      </c>
      <c r="S262" s="32">
        <v>564</v>
      </c>
      <c r="T262" s="19">
        <v>80</v>
      </c>
      <c r="U262" s="17" t="s">
        <v>62</v>
      </c>
      <c r="V262" s="17">
        <v>45776</v>
      </c>
      <c r="W262" s="18">
        <v>4</v>
      </c>
      <c r="X262" s="17">
        <v>45868</v>
      </c>
      <c r="Y262" s="17">
        <v>45791</v>
      </c>
      <c r="Z262" s="45">
        <v>5</v>
      </c>
      <c r="AA262">
        <v>2025</v>
      </c>
      <c r="AB262" s="42">
        <v>84600</v>
      </c>
      <c r="AC262" s="42">
        <v>12000</v>
      </c>
    </row>
    <row r="263" spans="1:29">
      <c r="A263" t="s">
        <v>45</v>
      </c>
      <c r="B263" t="s">
        <v>46</v>
      </c>
      <c r="C263" t="s">
        <v>47</v>
      </c>
      <c r="D263" t="s">
        <v>337</v>
      </c>
      <c r="E263" t="s">
        <v>115</v>
      </c>
      <c r="F263" t="s">
        <v>50</v>
      </c>
      <c r="G263" t="s">
        <v>116</v>
      </c>
      <c r="H263" s="17" t="s">
        <v>52</v>
      </c>
      <c r="I263" t="s">
        <v>53</v>
      </c>
      <c r="J263" t="s">
        <v>110</v>
      </c>
      <c r="K263">
        <v>1</v>
      </c>
      <c r="L263" t="s">
        <v>55</v>
      </c>
      <c r="M263" t="s">
        <v>56</v>
      </c>
      <c r="N263" t="s">
        <v>57</v>
      </c>
      <c r="O263" s="18" t="s">
        <v>58</v>
      </c>
      <c r="P263" s="18" t="s">
        <v>72</v>
      </c>
      <c r="Q263" s="17" t="s">
        <v>117</v>
      </c>
      <c r="R263" s="18" t="s">
        <v>118</v>
      </c>
      <c r="S263" s="32">
        <v>4</v>
      </c>
      <c r="T263" s="19">
        <v>4</v>
      </c>
      <c r="U263" s="17" t="s">
        <v>119</v>
      </c>
      <c r="V263" s="17">
        <v>45772</v>
      </c>
      <c r="W263" s="18">
        <v>4</v>
      </c>
      <c r="X263" s="17">
        <v>45785</v>
      </c>
      <c r="Y263" s="17">
        <v>45784</v>
      </c>
      <c r="Z263" s="45">
        <v>5</v>
      </c>
      <c r="AA263">
        <v>2025</v>
      </c>
      <c r="AB263" s="42">
        <v>1406000</v>
      </c>
      <c r="AC263" s="42">
        <v>1406000</v>
      </c>
    </row>
    <row r="264" spans="1:29">
      <c r="A264" t="s">
        <v>45</v>
      </c>
      <c r="B264" t="s">
        <v>46</v>
      </c>
      <c r="C264" t="s">
        <v>47</v>
      </c>
      <c r="D264" t="s">
        <v>338</v>
      </c>
      <c r="E264" t="s">
        <v>115</v>
      </c>
      <c r="F264" t="s">
        <v>50</v>
      </c>
      <c r="G264" t="s">
        <v>116</v>
      </c>
      <c r="H264" s="17" t="s">
        <v>52</v>
      </c>
      <c r="I264" t="s">
        <v>53</v>
      </c>
      <c r="J264" t="s">
        <v>121</v>
      </c>
      <c r="K264">
        <v>1</v>
      </c>
      <c r="L264" t="s">
        <v>55</v>
      </c>
      <c r="M264" t="s">
        <v>56</v>
      </c>
      <c r="N264" t="s">
        <v>57</v>
      </c>
      <c r="O264" s="18" t="s">
        <v>58</v>
      </c>
      <c r="P264" s="18" t="s">
        <v>72</v>
      </c>
      <c r="Q264" s="17" t="s">
        <v>122</v>
      </c>
      <c r="R264" s="18" t="s">
        <v>123</v>
      </c>
      <c r="S264" s="32">
        <v>8</v>
      </c>
      <c r="T264" s="19">
        <v>8</v>
      </c>
      <c r="U264" s="17" t="s">
        <v>119</v>
      </c>
      <c r="V264" s="17">
        <v>45772</v>
      </c>
      <c r="W264" s="18">
        <v>4</v>
      </c>
      <c r="X264" s="17">
        <v>45785</v>
      </c>
      <c r="Y264" s="17">
        <v>45783</v>
      </c>
      <c r="Z264" s="45">
        <v>5</v>
      </c>
      <c r="AA264">
        <v>2025</v>
      </c>
      <c r="AB264" s="42">
        <v>2810640</v>
      </c>
      <c r="AC264" s="42">
        <v>2810640</v>
      </c>
    </row>
    <row r="265" spans="1:29">
      <c r="A265" t="s">
        <v>45</v>
      </c>
      <c r="B265" t="s">
        <v>46</v>
      </c>
      <c r="C265" t="s">
        <v>47</v>
      </c>
      <c r="D265" t="s">
        <v>339</v>
      </c>
      <c r="E265" t="s">
        <v>49</v>
      </c>
      <c r="F265" t="s">
        <v>50</v>
      </c>
      <c r="G265" t="s">
        <v>51</v>
      </c>
      <c r="H265" s="17" t="s">
        <v>58</v>
      </c>
      <c r="I265" t="s">
        <v>53</v>
      </c>
      <c r="J265" t="s">
        <v>54</v>
      </c>
      <c r="K265">
        <v>1</v>
      </c>
      <c r="L265" t="s">
        <v>55</v>
      </c>
      <c r="M265" t="s">
        <v>56</v>
      </c>
      <c r="N265" t="s">
        <v>57</v>
      </c>
      <c r="O265" s="18" t="s">
        <v>58</v>
      </c>
      <c r="P265" s="18" t="s">
        <v>72</v>
      </c>
      <c r="Q265" s="17" t="s">
        <v>122</v>
      </c>
      <c r="R265" s="18" t="s">
        <v>123</v>
      </c>
      <c r="S265" s="32">
        <v>70</v>
      </c>
      <c r="T265" s="19">
        <v>0</v>
      </c>
      <c r="U265" s="17" t="s">
        <v>62</v>
      </c>
      <c r="V265" s="17">
        <v>45763</v>
      </c>
      <c r="W265" s="18">
        <v>4</v>
      </c>
      <c r="X265" s="17">
        <v>45800</v>
      </c>
      <c r="Z265" s="45">
        <v>5</v>
      </c>
      <c r="AA265">
        <v>2025</v>
      </c>
      <c r="AB265" s="42">
        <v>293720</v>
      </c>
      <c r="AC265" s="42">
        <v>0</v>
      </c>
    </row>
    <row r="266" spans="1:29">
      <c r="A266" t="s">
        <v>45</v>
      </c>
      <c r="B266" t="s">
        <v>46</v>
      </c>
      <c r="C266" t="s">
        <v>47</v>
      </c>
      <c r="D266" t="s">
        <v>339</v>
      </c>
      <c r="E266" t="s">
        <v>49</v>
      </c>
      <c r="F266" t="s">
        <v>63</v>
      </c>
      <c r="G266" t="s">
        <v>51</v>
      </c>
      <c r="H266" s="17" t="s">
        <v>58</v>
      </c>
      <c r="I266" t="s">
        <v>53</v>
      </c>
      <c r="J266" t="s">
        <v>54</v>
      </c>
      <c r="K266">
        <v>1</v>
      </c>
      <c r="L266" t="s">
        <v>55</v>
      </c>
      <c r="M266" t="s">
        <v>56</v>
      </c>
      <c r="N266" t="s">
        <v>57</v>
      </c>
      <c r="O266" s="18" t="s">
        <v>58</v>
      </c>
      <c r="P266" s="18" t="s">
        <v>99</v>
      </c>
      <c r="Q266" s="17" t="s">
        <v>100</v>
      </c>
      <c r="R266" s="18" t="s">
        <v>101</v>
      </c>
      <c r="S266" s="32">
        <v>70</v>
      </c>
      <c r="T266" s="19">
        <v>0</v>
      </c>
      <c r="U266" s="17" t="s">
        <v>62</v>
      </c>
      <c r="V266" s="17">
        <v>45763</v>
      </c>
      <c r="W266" s="18">
        <v>4</v>
      </c>
      <c r="X266" s="17">
        <v>45800</v>
      </c>
      <c r="Z266" s="45">
        <v>5</v>
      </c>
      <c r="AA266">
        <v>2025</v>
      </c>
      <c r="AB266" s="42">
        <v>12390</v>
      </c>
      <c r="AC266" s="42">
        <v>0</v>
      </c>
    </row>
    <row r="267" spans="1:29">
      <c r="A267" t="s">
        <v>45</v>
      </c>
      <c r="B267" t="s">
        <v>46</v>
      </c>
      <c r="C267" t="s">
        <v>47</v>
      </c>
      <c r="D267" t="s">
        <v>340</v>
      </c>
      <c r="E267" t="s">
        <v>49</v>
      </c>
      <c r="F267" t="s">
        <v>50</v>
      </c>
      <c r="G267" t="s">
        <v>51</v>
      </c>
      <c r="H267" s="17" t="s">
        <v>52</v>
      </c>
      <c r="I267" t="s">
        <v>53</v>
      </c>
      <c r="J267" t="s">
        <v>136</v>
      </c>
      <c r="K267">
        <v>1</v>
      </c>
      <c r="L267" t="s">
        <v>55</v>
      </c>
      <c r="M267" t="s">
        <v>56</v>
      </c>
      <c r="N267" t="s">
        <v>57</v>
      </c>
      <c r="O267" s="18" t="s">
        <v>58</v>
      </c>
      <c r="P267" s="18" t="s">
        <v>86</v>
      </c>
      <c r="Q267" s="17" t="s">
        <v>289</v>
      </c>
      <c r="R267" s="18" t="s">
        <v>290</v>
      </c>
      <c r="S267" s="32">
        <v>50</v>
      </c>
      <c r="T267" s="19">
        <v>50</v>
      </c>
      <c r="U267" s="17" t="s">
        <v>62</v>
      </c>
      <c r="V267" s="17">
        <v>45797</v>
      </c>
      <c r="W267" s="18">
        <v>5</v>
      </c>
      <c r="X267" s="17">
        <v>45807</v>
      </c>
      <c r="Y267" s="17">
        <v>45806</v>
      </c>
      <c r="Z267" s="45">
        <v>5</v>
      </c>
      <c r="AA267">
        <v>2025</v>
      </c>
      <c r="AB267" s="42">
        <v>727650</v>
      </c>
      <c r="AC267" s="42">
        <v>727650</v>
      </c>
    </row>
    <row r="268" spans="1:29">
      <c r="A268" t="s">
        <v>45</v>
      </c>
      <c r="B268" t="s">
        <v>46</v>
      </c>
      <c r="C268" t="s">
        <v>47</v>
      </c>
      <c r="D268" t="s">
        <v>340</v>
      </c>
      <c r="E268" t="s">
        <v>49</v>
      </c>
      <c r="F268" t="s">
        <v>63</v>
      </c>
      <c r="G268" t="s">
        <v>51</v>
      </c>
      <c r="H268" s="17" t="s">
        <v>52</v>
      </c>
      <c r="I268" t="s">
        <v>53</v>
      </c>
      <c r="J268" t="s">
        <v>136</v>
      </c>
      <c r="K268">
        <v>1</v>
      </c>
      <c r="L268" t="s">
        <v>55</v>
      </c>
      <c r="M268" t="s">
        <v>56</v>
      </c>
      <c r="N268" t="s">
        <v>57</v>
      </c>
      <c r="O268" s="18" t="s">
        <v>58</v>
      </c>
      <c r="P268" s="18" t="s">
        <v>86</v>
      </c>
      <c r="Q268" s="17" t="s">
        <v>341</v>
      </c>
      <c r="R268" s="18" t="s">
        <v>342</v>
      </c>
      <c r="S268" s="32">
        <v>48</v>
      </c>
      <c r="T268" s="19">
        <v>48</v>
      </c>
      <c r="U268" s="17" t="s">
        <v>62</v>
      </c>
      <c r="V268" s="17">
        <v>45797</v>
      </c>
      <c r="W268" s="18">
        <v>5</v>
      </c>
      <c r="X268" s="17">
        <v>45807</v>
      </c>
      <c r="Y268" s="17">
        <v>45806</v>
      </c>
      <c r="Z268" s="45">
        <v>5</v>
      </c>
      <c r="AA268">
        <v>2025</v>
      </c>
      <c r="AB268" s="42">
        <v>1415952</v>
      </c>
      <c r="AC268" s="42">
        <v>1415952</v>
      </c>
    </row>
    <row r="269" spans="1:29">
      <c r="A269" t="s">
        <v>45</v>
      </c>
      <c r="B269" t="s">
        <v>46</v>
      </c>
      <c r="C269" t="s">
        <v>47</v>
      </c>
      <c r="D269" t="s">
        <v>343</v>
      </c>
      <c r="E269" t="s">
        <v>115</v>
      </c>
      <c r="F269" t="s">
        <v>50</v>
      </c>
      <c r="G269" t="s">
        <v>116</v>
      </c>
      <c r="H269" s="17" t="s">
        <v>52</v>
      </c>
      <c r="I269" t="s">
        <v>53</v>
      </c>
      <c r="J269" t="s">
        <v>121</v>
      </c>
      <c r="K269">
        <v>1</v>
      </c>
      <c r="L269" t="s">
        <v>55</v>
      </c>
      <c r="M269" t="s">
        <v>56</v>
      </c>
      <c r="N269" t="s">
        <v>57</v>
      </c>
      <c r="O269" s="18" t="s">
        <v>58</v>
      </c>
      <c r="P269" s="18" t="s">
        <v>72</v>
      </c>
      <c r="Q269" s="17" t="s">
        <v>122</v>
      </c>
      <c r="R269" s="18" t="s">
        <v>123</v>
      </c>
      <c r="S269" s="32">
        <v>4</v>
      </c>
      <c r="T269" s="19">
        <v>4</v>
      </c>
      <c r="U269" s="17" t="s">
        <v>119</v>
      </c>
      <c r="V269" s="17">
        <v>45800</v>
      </c>
      <c r="W269" s="18">
        <v>5</v>
      </c>
      <c r="X269" s="17">
        <v>45812</v>
      </c>
      <c r="Y269" s="17">
        <v>45805</v>
      </c>
      <c r="Z269" s="45">
        <v>5</v>
      </c>
      <c r="AA269">
        <v>2025</v>
      </c>
      <c r="AB269" s="42">
        <v>1405320</v>
      </c>
      <c r="AC269" s="42">
        <v>1405320</v>
      </c>
    </row>
    <row r="270" spans="1:29">
      <c r="A270" t="s">
        <v>45</v>
      </c>
      <c r="B270" t="s">
        <v>46</v>
      </c>
      <c r="C270" t="s">
        <v>47</v>
      </c>
      <c r="D270" t="s">
        <v>343</v>
      </c>
      <c r="E270" t="s">
        <v>115</v>
      </c>
      <c r="F270" t="s">
        <v>63</v>
      </c>
      <c r="G270" t="s">
        <v>116</v>
      </c>
      <c r="H270" s="17" t="s">
        <v>52</v>
      </c>
      <c r="I270" t="s">
        <v>53</v>
      </c>
      <c r="J270" t="s">
        <v>121</v>
      </c>
      <c r="K270">
        <v>1</v>
      </c>
      <c r="L270" t="s">
        <v>55</v>
      </c>
      <c r="M270" t="s">
        <v>56</v>
      </c>
      <c r="N270" t="s">
        <v>57</v>
      </c>
      <c r="O270" s="18" t="s">
        <v>58</v>
      </c>
      <c r="P270" s="18" t="s">
        <v>72</v>
      </c>
      <c r="Q270" s="17" t="s">
        <v>117</v>
      </c>
      <c r="R270" s="18" t="s">
        <v>118</v>
      </c>
      <c r="S270" s="32">
        <v>2</v>
      </c>
      <c r="T270" s="19">
        <v>2</v>
      </c>
      <c r="U270" s="17" t="s">
        <v>119</v>
      </c>
      <c r="V270" s="17">
        <v>45800</v>
      </c>
      <c r="W270" s="18">
        <v>5</v>
      </c>
      <c r="X270" s="17">
        <v>45812</v>
      </c>
      <c r="Y270" s="17">
        <v>45805</v>
      </c>
      <c r="Z270" s="45">
        <v>5</v>
      </c>
      <c r="AA270">
        <v>2025</v>
      </c>
      <c r="AB270" s="42">
        <v>703000</v>
      </c>
      <c r="AC270" s="42">
        <v>703000</v>
      </c>
    </row>
    <row r="271" spans="1:29">
      <c r="A271" t="s">
        <v>45</v>
      </c>
      <c r="B271" t="s">
        <v>46</v>
      </c>
      <c r="C271" t="s">
        <v>47</v>
      </c>
      <c r="D271" t="s">
        <v>333</v>
      </c>
      <c r="E271" t="s">
        <v>49</v>
      </c>
      <c r="F271" t="s">
        <v>67</v>
      </c>
      <c r="G271" t="s">
        <v>51</v>
      </c>
      <c r="H271" s="17" t="s">
        <v>52</v>
      </c>
      <c r="I271" t="s">
        <v>53</v>
      </c>
      <c r="J271" t="s">
        <v>167</v>
      </c>
      <c r="K271">
        <v>1</v>
      </c>
      <c r="L271" t="s">
        <v>55</v>
      </c>
      <c r="M271" t="s">
        <v>56</v>
      </c>
      <c r="N271" t="s">
        <v>57</v>
      </c>
      <c r="O271" s="18" t="s">
        <v>58</v>
      </c>
      <c r="P271" s="18" t="s">
        <v>99</v>
      </c>
      <c r="Q271" s="17" t="s">
        <v>100</v>
      </c>
      <c r="R271" s="18" t="s">
        <v>101</v>
      </c>
      <c r="S271" s="32">
        <v>3</v>
      </c>
      <c r="T271" s="19">
        <v>3</v>
      </c>
      <c r="U271" s="17" t="s">
        <v>62</v>
      </c>
      <c r="V271" s="17">
        <v>45772</v>
      </c>
      <c r="W271" s="18">
        <v>4</v>
      </c>
      <c r="X271" s="17">
        <v>45772</v>
      </c>
      <c r="Y271" s="17">
        <v>45796</v>
      </c>
      <c r="Z271" s="45">
        <v>5</v>
      </c>
      <c r="AA271">
        <v>2025</v>
      </c>
      <c r="AB271" s="42">
        <v>225000</v>
      </c>
      <c r="AC271" s="42">
        <v>225000</v>
      </c>
    </row>
    <row r="272" spans="1:29">
      <c r="A272" t="s">
        <v>45</v>
      </c>
      <c r="B272" t="s">
        <v>46</v>
      </c>
      <c r="C272" t="s">
        <v>47</v>
      </c>
      <c r="D272" t="s">
        <v>344</v>
      </c>
      <c r="E272" t="s">
        <v>115</v>
      </c>
      <c r="F272" t="s">
        <v>50</v>
      </c>
      <c r="G272" t="s">
        <v>116</v>
      </c>
      <c r="H272" s="17" t="s">
        <v>52</v>
      </c>
      <c r="I272" t="s">
        <v>53</v>
      </c>
      <c r="J272" t="s">
        <v>121</v>
      </c>
      <c r="K272">
        <v>1</v>
      </c>
      <c r="L272" t="s">
        <v>55</v>
      </c>
      <c r="M272" t="s">
        <v>56</v>
      </c>
      <c r="N272" t="s">
        <v>57</v>
      </c>
      <c r="O272" s="18" t="s">
        <v>58</v>
      </c>
      <c r="P272" s="18" t="s">
        <v>72</v>
      </c>
      <c r="Q272" s="17" t="s">
        <v>147</v>
      </c>
      <c r="R272" s="18" t="s">
        <v>148</v>
      </c>
      <c r="S272" s="32">
        <v>2</v>
      </c>
      <c r="T272" s="19">
        <v>2</v>
      </c>
      <c r="U272" s="17" t="s">
        <v>119</v>
      </c>
      <c r="V272" s="17">
        <v>45779</v>
      </c>
      <c r="W272" s="18">
        <v>5</v>
      </c>
      <c r="X272" s="17">
        <v>45791</v>
      </c>
      <c r="Y272" s="17">
        <v>45791</v>
      </c>
      <c r="Z272" s="45">
        <v>5</v>
      </c>
      <c r="AA272">
        <v>2025</v>
      </c>
      <c r="AB272" s="42">
        <v>837440</v>
      </c>
      <c r="AC272" s="42">
        <v>837440</v>
      </c>
    </row>
    <row r="273" spans="1:29">
      <c r="A273" t="s">
        <v>45</v>
      </c>
      <c r="B273" t="s">
        <v>46</v>
      </c>
      <c r="C273" t="s">
        <v>47</v>
      </c>
      <c r="D273" t="s">
        <v>344</v>
      </c>
      <c r="E273" t="s">
        <v>115</v>
      </c>
      <c r="F273" t="s">
        <v>63</v>
      </c>
      <c r="G273" t="s">
        <v>116</v>
      </c>
      <c r="H273" s="17" t="s">
        <v>52</v>
      </c>
      <c r="I273" t="s">
        <v>53</v>
      </c>
      <c r="J273" t="s">
        <v>121</v>
      </c>
      <c r="K273">
        <v>1</v>
      </c>
      <c r="L273" t="s">
        <v>55</v>
      </c>
      <c r="M273" t="s">
        <v>56</v>
      </c>
      <c r="N273" t="s">
        <v>57</v>
      </c>
      <c r="O273" s="18" t="s">
        <v>58</v>
      </c>
      <c r="P273" s="18" t="s">
        <v>72</v>
      </c>
      <c r="Q273" s="17" t="s">
        <v>122</v>
      </c>
      <c r="R273" s="18" t="s">
        <v>123</v>
      </c>
      <c r="S273" s="32">
        <v>10</v>
      </c>
      <c r="T273" s="19">
        <v>10</v>
      </c>
      <c r="U273" s="17" t="s">
        <v>119</v>
      </c>
      <c r="V273" s="17">
        <v>45779</v>
      </c>
      <c r="W273" s="18">
        <v>5</v>
      </c>
      <c r="X273" s="17">
        <v>45791</v>
      </c>
      <c r="Y273" s="17">
        <v>45791</v>
      </c>
      <c r="Z273" s="45">
        <v>5</v>
      </c>
      <c r="AA273">
        <v>2025</v>
      </c>
      <c r="AB273" s="42">
        <v>3513300</v>
      </c>
      <c r="AC273" s="42">
        <v>3513300</v>
      </c>
    </row>
    <row r="274" spans="1:29">
      <c r="A274" t="s">
        <v>45</v>
      </c>
      <c r="B274" t="s">
        <v>46</v>
      </c>
      <c r="C274" t="s">
        <v>47</v>
      </c>
      <c r="D274" t="s">
        <v>344</v>
      </c>
      <c r="E274" t="s">
        <v>115</v>
      </c>
      <c r="F274" t="s">
        <v>67</v>
      </c>
      <c r="G274" t="s">
        <v>116</v>
      </c>
      <c r="H274" s="17" t="s">
        <v>52</v>
      </c>
      <c r="I274" t="s">
        <v>53</v>
      </c>
      <c r="J274" t="s">
        <v>121</v>
      </c>
      <c r="K274">
        <v>1</v>
      </c>
      <c r="L274" t="s">
        <v>55</v>
      </c>
      <c r="M274" t="s">
        <v>56</v>
      </c>
      <c r="N274" t="s">
        <v>57</v>
      </c>
      <c r="O274" s="18" t="s">
        <v>58</v>
      </c>
      <c r="P274" s="18" t="s">
        <v>72</v>
      </c>
      <c r="Q274" s="17" t="s">
        <v>117</v>
      </c>
      <c r="R274" s="18" t="s">
        <v>118</v>
      </c>
      <c r="S274" s="32">
        <v>2</v>
      </c>
      <c r="T274" s="19">
        <v>2</v>
      </c>
      <c r="U274" s="17" t="s">
        <v>119</v>
      </c>
      <c r="V274" s="17">
        <v>45779</v>
      </c>
      <c r="W274" s="18">
        <v>5</v>
      </c>
      <c r="X274" s="17">
        <v>45791</v>
      </c>
      <c r="Y274" s="17">
        <v>45791</v>
      </c>
      <c r="Z274" s="45">
        <v>5</v>
      </c>
      <c r="AA274">
        <v>2025</v>
      </c>
      <c r="AB274" s="42">
        <v>703000</v>
      </c>
      <c r="AC274" s="42">
        <v>703000</v>
      </c>
    </row>
    <row r="275" spans="1:29">
      <c r="A275" t="s">
        <v>45</v>
      </c>
      <c r="B275" t="s">
        <v>46</v>
      </c>
      <c r="C275" t="s">
        <v>47</v>
      </c>
      <c r="D275" t="s">
        <v>345</v>
      </c>
      <c r="E275" t="s">
        <v>115</v>
      </c>
      <c r="F275" t="s">
        <v>50</v>
      </c>
      <c r="G275" t="s">
        <v>116</v>
      </c>
      <c r="H275" s="17" t="s">
        <v>52</v>
      </c>
      <c r="I275" t="s">
        <v>53</v>
      </c>
      <c r="J275" t="s">
        <v>125</v>
      </c>
      <c r="K275">
        <v>1</v>
      </c>
      <c r="L275" t="s">
        <v>55</v>
      </c>
      <c r="M275" t="s">
        <v>56</v>
      </c>
      <c r="N275" t="s">
        <v>57</v>
      </c>
      <c r="O275" s="18" t="s">
        <v>58</v>
      </c>
      <c r="P275" s="18" t="s">
        <v>72</v>
      </c>
      <c r="Q275" s="17" t="s">
        <v>122</v>
      </c>
      <c r="R275" s="18" t="s">
        <v>123</v>
      </c>
      <c r="S275" s="32">
        <v>4</v>
      </c>
      <c r="T275" s="19">
        <v>4</v>
      </c>
      <c r="U275" s="17" t="s">
        <v>119</v>
      </c>
      <c r="V275" s="17">
        <v>45779</v>
      </c>
      <c r="W275" s="18">
        <v>5</v>
      </c>
      <c r="X275" s="17">
        <v>45791</v>
      </c>
      <c r="Y275" s="17">
        <v>45791</v>
      </c>
      <c r="Z275" s="45">
        <v>5</v>
      </c>
      <c r="AA275">
        <v>2025</v>
      </c>
      <c r="AB275" s="42">
        <v>1405320</v>
      </c>
      <c r="AC275" s="42">
        <v>1405320</v>
      </c>
    </row>
    <row r="276" spans="1:29">
      <c r="A276" t="s">
        <v>45</v>
      </c>
      <c r="B276" t="s">
        <v>46</v>
      </c>
      <c r="C276" t="s">
        <v>47</v>
      </c>
      <c r="D276" t="s">
        <v>346</v>
      </c>
      <c r="E276" t="s">
        <v>115</v>
      </c>
      <c r="F276" t="s">
        <v>50</v>
      </c>
      <c r="G276" t="s">
        <v>116</v>
      </c>
      <c r="H276" s="17" t="s">
        <v>52</v>
      </c>
      <c r="I276" t="s">
        <v>53</v>
      </c>
      <c r="J276" t="s">
        <v>110</v>
      </c>
      <c r="K276">
        <v>1</v>
      </c>
      <c r="L276" t="s">
        <v>55</v>
      </c>
      <c r="M276" t="s">
        <v>56</v>
      </c>
      <c r="N276" t="s">
        <v>57</v>
      </c>
      <c r="O276" s="18" t="s">
        <v>58</v>
      </c>
      <c r="P276" s="18" t="s">
        <v>72</v>
      </c>
      <c r="Q276" s="17" t="s">
        <v>122</v>
      </c>
      <c r="R276" s="18" t="s">
        <v>123</v>
      </c>
      <c r="S276" s="32">
        <v>4</v>
      </c>
      <c r="T276" s="19">
        <v>4</v>
      </c>
      <c r="U276" s="17" t="s">
        <v>119</v>
      </c>
      <c r="V276" s="17">
        <v>45786</v>
      </c>
      <c r="W276" s="18">
        <v>5</v>
      </c>
      <c r="X276" s="17">
        <v>45799</v>
      </c>
      <c r="Y276" s="17">
        <v>45792</v>
      </c>
      <c r="Z276" s="45">
        <v>5</v>
      </c>
      <c r="AA276">
        <v>2025</v>
      </c>
      <c r="AB276" s="42">
        <v>1405320</v>
      </c>
      <c r="AC276" s="42">
        <v>1405320</v>
      </c>
    </row>
    <row r="277" spans="1:29">
      <c r="A277" t="s">
        <v>45</v>
      </c>
      <c r="B277" t="s">
        <v>46</v>
      </c>
      <c r="C277" t="s">
        <v>47</v>
      </c>
      <c r="D277" t="s">
        <v>346</v>
      </c>
      <c r="E277" t="s">
        <v>115</v>
      </c>
      <c r="F277" t="s">
        <v>63</v>
      </c>
      <c r="G277" t="s">
        <v>116</v>
      </c>
      <c r="H277" s="17" t="s">
        <v>52</v>
      </c>
      <c r="I277" t="s">
        <v>53</v>
      </c>
      <c r="J277" t="s">
        <v>110</v>
      </c>
      <c r="K277">
        <v>1</v>
      </c>
      <c r="L277" t="s">
        <v>55</v>
      </c>
      <c r="M277" t="s">
        <v>56</v>
      </c>
      <c r="N277" t="s">
        <v>57</v>
      </c>
      <c r="O277" s="18" t="s">
        <v>58</v>
      </c>
      <c r="P277" s="18" t="s">
        <v>72</v>
      </c>
      <c r="Q277" s="17" t="s">
        <v>117</v>
      </c>
      <c r="R277" s="18" t="s">
        <v>118</v>
      </c>
      <c r="S277" s="32">
        <v>4</v>
      </c>
      <c r="T277" s="19">
        <v>4</v>
      </c>
      <c r="U277" s="17" t="s">
        <v>119</v>
      </c>
      <c r="V277" s="17">
        <v>45786</v>
      </c>
      <c r="W277" s="18">
        <v>5</v>
      </c>
      <c r="X277" s="17">
        <v>45799</v>
      </c>
      <c r="Y277" s="17">
        <v>45792</v>
      </c>
      <c r="Z277" s="45">
        <v>5</v>
      </c>
      <c r="AA277">
        <v>2025</v>
      </c>
      <c r="AB277" s="42">
        <v>1406000</v>
      </c>
      <c r="AC277" s="42">
        <v>1406000</v>
      </c>
    </row>
    <row r="278" spans="1:29">
      <c r="A278" t="s">
        <v>45</v>
      </c>
      <c r="B278" t="s">
        <v>46</v>
      </c>
      <c r="C278" t="s">
        <v>47</v>
      </c>
      <c r="D278" t="s">
        <v>347</v>
      </c>
      <c r="E278" t="s">
        <v>115</v>
      </c>
      <c r="F278" t="s">
        <v>50</v>
      </c>
      <c r="G278" t="s">
        <v>116</v>
      </c>
      <c r="H278" s="17" t="s">
        <v>52</v>
      </c>
      <c r="I278" t="s">
        <v>53</v>
      </c>
      <c r="J278" t="s">
        <v>190</v>
      </c>
      <c r="K278">
        <v>1</v>
      </c>
      <c r="L278" t="s">
        <v>55</v>
      </c>
      <c r="M278" t="s">
        <v>56</v>
      </c>
      <c r="N278" t="s">
        <v>57</v>
      </c>
      <c r="O278" s="18" t="s">
        <v>58</v>
      </c>
      <c r="P278" s="18" t="s">
        <v>72</v>
      </c>
      <c r="Q278" s="17" t="s">
        <v>122</v>
      </c>
      <c r="R278" s="18" t="s">
        <v>123</v>
      </c>
      <c r="S278" s="32">
        <v>4</v>
      </c>
      <c r="T278" s="19">
        <v>4</v>
      </c>
      <c r="U278" s="17" t="s">
        <v>119</v>
      </c>
      <c r="V278" s="17">
        <v>45786</v>
      </c>
      <c r="W278" s="18">
        <v>5</v>
      </c>
      <c r="X278" s="17">
        <v>45799</v>
      </c>
      <c r="Y278" s="17">
        <v>45792</v>
      </c>
      <c r="Z278" s="45">
        <v>5</v>
      </c>
      <c r="AA278">
        <v>2025</v>
      </c>
      <c r="AB278" s="42">
        <v>1405320</v>
      </c>
      <c r="AC278" s="42">
        <v>1405320</v>
      </c>
    </row>
    <row r="279" spans="1:29">
      <c r="A279" t="s">
        <v>45</v>
      </c>
      <c r="B279" t="s">
        <v>46</v>
      </c>
      <c r="C279" t="s">
        <v>47</v>
      </c>
      <c r="D279" t="s">
        <v>347</v>
      </c>
      <c r="E279" t="s">
        <v>115</v>
      </c>
      <c r="F279" t="s">
        <v>63</v>
      </c>
      <c r="G279" t="s">
        <v>116</v>
      </c>
      <c r="H279" s="17" t="s">
        <v>52</v>
      </c>
      <c r="I279" t="s">
        <v>53</v>
      </c>
      <c r="J279" t="s">
        <v>190</v>
      </c>
      <c r="K279">
        <v>1</v>
      </c>
      <c r="L279" t="s">
        <v>55</v>
      </c>
      <c r="M279" t="s">
        <v>56</v>
      </c>
      <c r="N279" t="s">
        <v>57</v>
      </c>
      <c r="O279" s="18" t="s">
        <v>58</v>
      </c>
      <c r="P279" s="18" t="s">
        <v>72</v>
      </c>
      <c r="Q279" s="17" t="s">
        <v>117</v>
      </c>
      <c r="R279" s="18" t="s">
        <v>118</v>
      </c>
      <c r="S279" s="32">
        <v>2</v>
      </c>
      <c r="T279" s="19">
        <v>2</v>
      </c>
      <c r="U279" s="17" t="s">
        <v>119</v>
      </c>
      <c r="V279" s="17">
        <v>45786</v>
      </c>
      <c r="W279" s="18">
        <v>5</v>
      </c>
      <c r="X279" s="17">
        <v>45799</v>
      </c>
      <c r="Y279" s="17">
        <v>45792</v>
      </c>
      <c r="Z279" s="45">
        <v>5</v>
      </c>
      <c r="AA279">
        <v>2025</v>
      </c>
      <c r="AB279" s="42">
        <v>703000</v>
      </c>
      <c r="AC279" s="42">
        <v>703000</v>
      </c>
    </row>
    <row r="280" spans="1:29">
      <c r="A280" t="s">
        <v>45</v>
      </c>
      <c r="B280" t="s">
        <v>46</v>
      </c>
      <c r="C280" t="s">
        <v>47</v>
      </c>
      <c r="D280" t="s">
        <v>348</v>
      </c>
      <c r="E280" t="s">
        <v>115</v>
      </c>
      <c r="F280" t="s">
        <v>50</v>
      </c>
      <c r="G280" t="s">
        <v>116</v>
      </c>
      <c r="H280" s="17" t="s">
        <v>52</v>
      </c>
      <c r="I280" t="s">
        <v>53</v>
      </c>
      <c r="J280" t="s">
        <v>125</v>
      </c>
      <c r="K280">
        <v>1</v>
      </c>
      <c r="L280" t="s">
        <v>55</v>
      </c>
      <c r="M280" t="s">
        <v>56</v>
      </c>
      <c r="N280" t="s">
        <v>57</v>
      </c>
      <c r="O280" s="18" t="s">
        <v>58</v>
      </c>
      <c r="P280" s="18" t="s">
        <v>72</v>
      </c>
      <c r="Q280" s="17" t="s">
        <v>122</v>
      </c>
      <c r="R280" s="18" t="s">
        <v>123</v>
      </c>
      <c r="S280" s="32">
        <v>6</v>
      </c>
      <c r="T280" s="19">
        <v>4</v>
      </c>
      <c r="U280" s="17" t="s">
        <v>119</v>
      </c>
      <c r="V280" s="17">
        <v>45786</v>
      </c>
      <c r="W280" s="18">
        <v>5</v>
      </c>
      <c r="X280" s="17">
        <v>45799</v>
      </c>
      <c r="Y280" s="17">
        <v>45799</v>
      </c>
      <c r="Z280" s="45">
        <v>5</v>
      </c>
      <c r="AA280">
        <v>2025</v>
      </c>
      <c r="AB280" s="42">
        <v>2107980</v>
      </c>
      <c r="AC280" s="42">
        <v>1405320</v>
      </c>
    </row>
    <row r="281" spans="1:29">
      <c r="A281" t="s">
        <v>45</v>
      </c>
      <c r="B281" t="s">
        <v>46</v>
      </c>
      <c r="C281" t="s">
        <v>47</v>
      </c>
      <c r="D281" t="s">
        <v>348</v>
      </c>
      <c r="E281" t="s">
        <v>115</v>
      </c>
      <c r="F281" t="s">
        <v>63</v>
      </c>
      <c r="G281" t="s">
        <v>116</v>
      </c>
      <c r="H281" s="17" t="s">
        <v>52</v>
      </c>
      <c r="I281" t="s">
        <v>53</v>
      </c>
      <c r="J281" t="s">
        <v>125</v>
      </c>
      <c r="K281">
        <v>1</v>
      </c>
      <c r="L281" t="s">
        <v>55</v>
      </c>
      <c r="M281" t="s">
        <v>56</v>
      </c>
      <c r="N281" t="s">
        <v>57</v>
      </c>
      <c r="O281" s="18" t="s">
        <v>58</v>
      </c>
      <c r="P281" s="18" t="s">
        <v>72</v>
      </c>
      <c r="Q281" s="17" t="s">
        <v>117</v>
      </c>
      <c r="R281" s="18" t="s">
        <v>118</v>
      </c>
      <c r="S281" s="32">
        <v>2</v>
      </c>
      <c r="T281" s="19">
        <v>2</v>
      </c>
      <c r="U281" s="17" t="s">
        <v>119</v>
      </c>
      <c r="V281" s="17">
        <v>45786</v>
      </c>
      <c r="W281" s="18">
        <v>5</v>
      </c>
      <c r="X281" s="17">
        <v>45799</v>
      </c>
      <c r="Y281" s="17">
        <v>45799</v>
      </c>
      <c r="Z281" s="45">
        <v>5</v>
      </c>
      <c r="AA281">
        <v>2025</v>
      </c>
      <c r="AB281" s="42">
        <v>703000</v>
      </c>
      <c r="AC281" s="42">
        <v>703000</v>
      </c>
    </row>
    <row r="282" spans="1:29">
      <c r="A282" t="s">
        <v>45</v>
      </c>
      <c r="B282" t="s">
        <v>46</v>
      </c>
      <c r="C282" t="s">
        <v>47</v>
      </c>
      <c r="D282" t="s">
        <v>349</v>
      </c>
      <c r="E282" t="s">
        <v>214</v>
      </c>
      <c r="F282" t="s">
        <v>50</v>
      </c>
      <c r="G282" t="s">
        <v>51</v>
      </c>
      <c r="H282" s="17" t="s">
        <v>215</v>
      </c>
      <c r="I282" t="s">
        <v>53</v>
      </c>
      <c r="J282" t="s">
        <v>150</v>
      </c>
      <c r="K282">
        <v>10</v>
      </c>
      <c r="L282" t="s">
        <v>55</v>
      </c>
      <c r="M282" t="s">
        <v>56</v>
      </c>
      <c r="N282" t="s">
        <v>57</v>
      </c>
      <c r="O282" s="18" t="s">
        <v>58</v>
      </c>
      <c r="P282" s="18" t="s">
        <v>68</v>
      </c>
      <c r="Q282" s="17" t="s">
        <v>69</v>
      </c>
      <c r="R282" s="18" t="s">
        <v>70</v>
      </c>
      <c r="S282" s="32">
        <v>10</v>
      </c>
      <c r="T282" s="19">
        <v>10</v>
      </c>
      <c r="U282" s="17" t="s">
        <v>62</v>
      </c>
      <c r="V282" s="17">
        <v>45791</v>
      </c>
      <c r="W282" s="18">
        <v>5</v>
      </c>
      <c r="X282" s="17">
        <v>45791</v>
      </c>
      <c r="Y282" s="17">
        <v>45792</v>
      </c>
      <c r="Z282" s="45">
        <v>5</v>
      </c>
      <c r="AA282">
        <v>2025</v>
      </c>
      <c r="AB282" s="42">
        <v>726320</v>
      </c>
      <c r="AC282" s="42">
        <v>-726320</v>
      </c>
    </row>
    <row r="283" spans="1:29">
      <c r="A283" t="s">
        <v>45</v>
      </c>
      <c r="B283" t="s">
        <v>46</v>
      </c>
      <c r="C283" t="s">
        <v>47</v>
      </c>
      <c r="D283" t="s">
        <v>350</v>
      </c>
      <c r="E283" t="s">
        <v>49</v>
      </c>
      <c r="F283" t="s">
        <v>50</v>
      </c>
      <c r="G283" t="s">
        <v>51</v>
      </c>
      <c r="H283" s="17" t="s">
        <v>58</v>
      </c>
      <c r="I283" t="s">
        <v>53</v>
      </c>
      <c r="J283" t="s">
        <v>54</v>
      </c>
      <c r="K283">
        <v>1</v>
      </c>
      <c r="L283" t="s">
        <v>55</v>
      </c>
      <c r="M283" t="s">
        <v>56</v>
      </c>
      <c r="N283" t="s">
        <v>57</v>
      </c>
      <c r="O283" s="18" t="s">
        <v>58</v>
      </c>
      <c r="P283" s="18" t="s">
        <v>172</v>
      </c>
      <c r="Q283" s="17" t="s">
        <v>173</v>
      </c>
      <c r="R283" s="18" t="s">
        <v>174</v>
      </c>
      <c r="S283" s="32">
        <v>192</v>
      </c>
      <c r="T283" s="19">
        <v>0</v>
      </c>
      <c r="U283" s="17" t="s">
        <v>62</v>
      </c>
      <c r="V283" s="17">
        <v>45783</v>
      </c>
      <c r="W283" s="18">
        <v>5</v>
      </c>
      <c r="X283" s="17">
        <v>45784</v>
      </c>
      <c r="Z283" s="45">
        <v>5</v>
      </c>
      <c r="AA283">
        <v>2025</v>
      </c>
      <c r="AB283" s="42">
        <v>10379136</v>
      </c>
      <c r="AC283" s="42">
        <v>0</v>
      </c>
    </row>
    <row r="284" spans="1:29">
      <c r="A284" t="s">
        <v>45</v>
      </c>
      <c r="B284" t="s">
        <v>46</v>
      </c>
      <c r="C284" t="s">
        <v>47</v>
      </c>
      <c r="D284" t="s">
        <v>350</v>
      </c>
      <c r="E284" t="s">
        <v>49</v>
      </c>
      <c r="F284" t="s">
        <v>63</v>
      </c>
      <c r="G284" t="s">
        <v>51</v>
      </c>
      <c r="H284" s="17" t="s">
        <v>58</v>
      </c>
      <c r="I284" t="s">
        <v>53</v>
      </c>
      <c r="J284" t="s">
        <v>54</v>
      </c>
      <c r="K284">
        <v>1</v>
      </c>
      <c r="L284" t="s">
        <v>55</v>
      </c>
      <c r="M284" t="s">
        <v>56</v>
      </c>
      <c r="N284" t="s">
        <v>57</v>
      </c>
      <c r="O284" s="18" t="s">
        <v>58</v>
      </c>
      <c r="P284" s="18" t="s">
        <v>99</v>
      </c>
      <c r="Q284" s="17" t="s">
        <v>100</v>
      </c>
      <c r="R284" s="18" t="s">
        <v>101</v>
      </c>
      <c r="S284" s="32">
        <v>192</v>
      </c>
      <c r="T284" s="19">
        <v>0</v>
      </c>
      <c r="U284" s="17" t="s">
        <v>62</v>
      </c>
      <c r="V284" s="17">
        <v>45783</v>
      </c>
      <c r="W284" s="18">
        <v>5</v>
      </c>
      <c r="X284" s="17">
        <v>45784</v>
      </c>
      <c r="Z284" s="45">
        <v>5</v>
      </c>
      <c r="AA284">
        <v>2025</v>
      </c>
      <c r="AB284" s="42">
        <v>28800</v>
      </c>
      <c r="AC284" s="42">
        <v>0</v>
      </c>
    </row>
    <row r="285" spans="1:29">
      <c r="A285" t="s">
        <v>45</v>
      </c>
      <c r="B285" t="s">
        <v>46</v>
      </c>
      <c r="C285" t="s">
        <v>47</v>
      </c>
      <c r="D285" t="s">
        <v>351</v>
      </c>
      <c r="E285" t="s">
        <v>49</v>
      </c>
      <c r="F285" t="s">
        <v>50</v>
      </c>
      <c r="G285" t="s">
        <v>51</v>
      </c>
      <c r="H285" s="17" t="s">
        <v>58</v>
      </c>
      <c r="I285" t="s">
        <v>53</v>
      </c>
      <c r="J285" t="s">
        <v>54</v>
      </c>
      <c r="L285" t="s">
        <v>55</v>
      </c>
      <c r="M285" t="s">
        <v>56</v>
      </c>
      <c r="N285" t="s">
        <v>57</v>
      </c>
      <c r="O285" s="18" t="s">
        <v>58</v>
      </c>
      <c r="P285" s="18" t="s">
        <v>132</v>
      </c>
      <c r="Q285" s="17" t="s">
        <v>133</v>
      </c>
      <c r="R285" s="18" t="s">
        <v>134</v>
      </c>
      <c r="S285" s="32">
        <v>1500</v>
      </c>
      <c r="T285" s="19">
        <v>0</v>
      </c>
      <c r="U285" s="17" t="s">
        <v>62</v>
      </c>
      <c r="V285" s="17">
        <v>45715</v>
      </c>
      <c r="W285" s="18">
        <v>2</v>
      </c>
      <c r="X285" s="17">
        <v>45807</v>
      </c>
      <c r="Z285" s="45">
        <v>5</v>
      </c>
      <c r="AA285">
        <v>2025</v>
      </c>
      <c r="AB285" s="42">
        <v>8800500</v>
      </c>
      <c r="AC285" s="42">
        <v>0</v>
      </c>
    </row>
    <row r="286" spans="1:29">
      <c r="A286" t="s">
        <v>45</v>
      </c>
      <c r="B286" t="s">
        <v>46</v>
      </c>
      <c r="C286" t="s">
        <v>47</v>
      </c>
      <c r="D286" t="s">
        <v>220</v>
      </c>
      <c r="E286" t="s">
        <v>49</v>
      </c>
      <c r="F286" t="s">
        <v>75</v>
      </c>
      <c r="G286" t="s">
        <v>51</v>
      </c>
      <c r="H286" s="17" t="s">
        <v>52</v>
      </c>
      <c r="I286" t="s">
        <v>53</v>
      </c>
      <c r="J286" t="s">
        <v>54</v>
      </c>
      <c r="L286" t="s">
        <v>55</v>
      </c>
      <c r="M286" t="s">
        <v>56</v>
      </c>
      <c r="N286" t="s">
        <v>57</v>
      </c>
      <c r="O286" s="18" t="s">
        <v>58</v>
      </c>
      <c r="P286" s="18" t="s">
        <v>72</v>
      </c>
      <c r="Q286" s="17" t="s">
        <v>352</v>
      </c>
      <c r="R286" s="18" t="s">
        <v>353</v>
      </c>
      <c r="S286" s="32">
        <v>80</v>
      </c>
      <c r="T286" s="19">
        <v>0</v>
      </c>
      <c r="U286" s="17" t="s">
        <v>62</v>
      </c>
      <c r="V286" s="17">
        <v>45716</v>
      </c>
      <c r="W286" s="18">
        <v>2</v>
      </c>
      <c r="X286" s="17">
        <v>45807</v>
      </c>
      <c r="Z286" s="45">
        <v>5</v>
      </c>
      <c r="AA286">
        <v>2025</v>
      </c>
      <c r="AB286" s="42">
        <v>1055440</v>
      </c>
      <c r="AC286" s="42">
        <v>0</v>
      </c>
    </row>
    <row r="287" spans="1:29">
      <c r="A287" t="s">
        <v>45</v>
      </c>
      <c r="B287" t="s">
        <v>46</v>
      </c>
      <c r="C287" t="s">
        <v>47</v>
      </c>
      <c r="D287" t="s">
        <v>220</v>
      </c>
      <c r="E287" t="s">
        <v>49</v>
      </c>
      <c r="F287" t="s">
        <v>79</v>
      </c>
      <c r="G287" t="s">
        <v>51</v>
      </c>
      <c r="H287" s="17" t="s">
        <v>52</v>
      </c>
      <c r="I287" t="s">
        <v>53</v>
      </c>
      <c r="J287" t="s">
        <v>54</v>
      </c>
      <c r="L287" t="s">
        <v>55</v>
      </c>
      <c r="M287" t="s">
        <v>56</v>
      </c>
      <c r="N287" t="s">
        <v>57</v>
      </c>
      <c r="O287" s="18" t="s">
        <v>58</v>
      </c>
      <c r="P287" s="18" t="s">
        <v>99</v>
      </c>
      <c r="Q287" s="17" t="s">
        <v>100</v>
      </c>
      <c r="R287" s="18" t="s">
        <v>101</v>
      </c>
      <c r="S287" s="32">
        <v>80</v>
      </c>
      <c r="T287" s="19">
        <v>0</v>
      </c>
      <c r="U287" s="17" t="s">
        <v>62</v>
      </c>
      <c r="V287" s="17">
        <v>45716</v>
      </c>
      <c r="W287" s="18">
        <v>2</v>
      </c>
      <c r="X287" s="17">
        <v>45807</v>
      </c>
      <c r="Z287" s="45">
        <v>5</v>
      </c>
      <c r="AA287">
        <v>2025</v>
      </c>
      <c r="AB287" s="42">
        <v>20720</v>
      </c>
      <c r="AC287" s="42">
        <v>0</v>
      </c>
    </row>
    <row r="288" spans="1:29">
      <c r="A288" t="s">
        <v>45</v>
      </c>
      <c r="B288" t="s">
        <v>46</v>
      </c>
      <c r="C288" t="s">
        <v>47</v>
      </c>
      <c r="D288" t="s">
        <v>220</v>
      </c>
      <c r="E288" t="s">
        <v>49</v>
      </c>
      <c r="F288" t="s">
        <v>98</v>
      </c>
      <c r="G288" t="s">
        <v>51</v>
      </c>
      <c r="H288" s="17" t="s">
        <v>52</v>
      </c>
      <c r="I288" t="s">
        <v>53</v>
      </c>
      <c r="J288" t="s">
        <v>54</v>
      </c>
      <c r="L288" t="s">
        <v>55</v>
      </c>
      <c r="M288" t="s">
        <v>56</v>
      </c>
      <c r="N288" t="s">
        <v>57</v>
      </c>
      <c r="O288" s="18" t="s">
        <v>58</v>
      </c>
      <c r="P288" s="18" t="s">
        <v>72</v>
      </c>
      <c r="Q288" s="17" t="s">
        <v>354</v>
      </c>
      <c r="R288" s="18" t="s">
        <v>355</v>
      </c>
      <c r="S288" s="32">
        <v>80</v>
      </c>
      <c r="T288" s="19">
        <v>0</v>
      </c>
      <c r="U288" s="17" t="s">
        <v>62</v>
      </c>
      <c r="V288" s="17">
        <v>45716</v>
      </c>
      <c r="W288" s="18">
        <v>2</v>
      </c>
      <c r="X288" s="17">
        <v>45807</v>
      </c>
      <c r="Z288" s="45">
        <v>5</v>
      </c>
      <c r="AA288">
        <v>2025</v>
      </c>
      <c r="AB288" s="42">
        <v>896800</v>
      </c>
      <c r="AC288" s="42">
        <v>0</v>
      </c>
    </row>
    <row r="289" spans="1:29">
      <c r="A289" t="s">
        <v>45</v>
      </c>
      <c r="B289" t="s">
        <v>46</v>
      </c>
      <c r="C289" t="s">
        <v>47</v>
      </c>
      <c r="D289" t="s">
        <v>220</v>
      </c>
      <c r="E289" t="s">
        <v>49</v>
      </c>
      <c r="F289" t="s">
        <v>334</v>
      </c>
      <c r="G289" t="s">
        <v>51</v>
      </c>
      <c r="H289" s="17" t="s">
        <v>52</v>
      </c>
      <c r="I289" t="s">
        <v>53</v>
      </c>
      <c r="J289" t="s">
        <v>54</v>
      </c>
      <c r="L289" t="s">
        <v>55</v>
      </c>
      <c r="M289" t="s">
        <v>56</v>
      </c>
      <c r="N289" t="s">
        <v>57</v>
      </c>
      <c r="O289" s="18" t="s">
        <v>58</v>
      </c>
      <c r="P289" s="18" t="s">
        <v>99</v>
      </c>
      <c r="Q289" s="17" t="s">
        <v>100</v>
      </c>
      <c r="R289" s="18" t="s">
        <v>101</v>
      </c>
      <c r="S289" s="32">
        <v>80</v>
      </c>
      <c r="T289" s="19">
        <v>0</v>
      </c>
      <c r="U289" s="17" t="s">
        <v>62</v>
      </c>
      <c r="V289" s="17">
        <v>45716</v>
      </c>
      <c r="W289" s="18">
        <v>2</v>
      </c>
      <c r="X289" s="17">
        <v>45807</v>
      </c>
      <c r="Z289" s="45">
        <v>5</v>
      </c>
      <c r="AA289">
        <v>2025</v>
      </c>
      <c r="AB289" s="42">
        <v>21440</v>
      </c>
      <c r="AC289" s="42">
        <v>0</v>
      </c>
    </row>
    <row r="290" spans="1:29">
      <c r="A290" t="s">
        <v>45</v>
      </c>
      <c r="B290" t="s">
        <v>46</v>
      </c>
      <c r="C290" t="s">
        <v>47</v>
      </c>
      <c r="D290" t="s">
        <v>356</v>
      </c>
      <c r="E290" t="s">
        <v>49</v>
      </c>
      <c r="F290" t="s">
        <v>50</v>
      </c>
      <c r="G290" t="s">
        <v>51</v>
      </c>
      <c r="H290" s="17" t="s">
        <v>58</v>
      </c>
      <c r="I290" t="s">
        <v>53</v>
      </c>
      <c r="J290" t="s">
        <v>54</v>
      </c>
      <c r="L290" t="s">
        <v>55</v>
      </c>
      <c r="M290" t="s">
        <v>56</v>
      </c>
      <c r="N290" t="s">
        <v>57</v>
      </c>
      <c r="O290" s="18" t="s">
        <v>58</v>
      </c>
      <c r="P290" s="18" t="s">
        <v>132</v>
      </c>
      <c r="Q290" s="17" t="s">
        <v>133</v>
      </c>
      <c r="R290" s="18" t="s">
        <v>134</v>
      </c>
      <c r="S290" s="32">
        <v>60</v>
      </c>
      <c r="T290" s="19">
        <v>0</v>
      </c>
      <c r="U290" s="17" t="s">
        <v>62</v>
      </c>
      <c r="V290" s="17">
        <v>45715</v>
      </c>
      <c r="W290" s="18">
        <v>2</v>
      </c>
      <c r="X290" s="17">
        <v>45779</v>
      </c>
      <c r="Z290" s="45">
        <v>5</v>
      </c>
      <c r="AA290">
        <v>2025</v>
      </c>
      <c r="AB290" s="42">
        <v>357360</v>
      </c>
      <c r="AC290" s="42">
        <v>0</v>
      </c>
    </row>
    <row r="291" spans="1:29">
      <c r="A291" t="s">
        <v>45</v>
      </c>
      <c r="B291" t="s">
        <v>46</v>
      </c>
      <c r="C291" t="s">
        <v>47</v>
      </c>
      <c r="D291" t="s">
        <v>357</v>
      </c>
      <c r="E291" t="s">
        <v>49</v>
      </c>
      <c r="F291" t="s">
        <v>50</v>
      </c>
      <c r="G291" t="s">
        <v>51</v>
      </c>
      <c r="H291" s="17" t="s">
        <v>52</v>
      </c>
      <c r="I291" t="s">
        <v>53</v>
      </c>
      <c r="J291" t="s">
        <v>54</v>
      </c>
      <c r="K291">
        <v>1</v>
      </c>
      <c r="L291" t="s">
        <v>55</v>
      </c>
      <c r="M291" t="s">
        <v>56</v>
      </c>
      <c r="N291" t="s">
        <v>57</v>
      </c>
      <c r="O291" s="18" t="s">
        <v>58</v>
      </c>
      <c r="P291" s="18" t="s">
        <v>72</v>
      </c>
      <c r="Q291" s="17" t="s">
        <v>177</v>
      </c>
      <c r="R291" s="18" t="s">
        <v>178</v>
      </c>
      <c r="S291" s="32">
        <v>72</v>
      </c>
      <c r="T291" s="19">
        <v>72</v>
      </c>
      <c r="U291" s="17" t="s">
        <v>62</v>
      </c>
      <c r="V291" s="17">
        <v>45749</v>
      </c>
      <c r="W291" s="18">
        <v>4</v>
      </c>
      <c r="X291" s="17">
        <v>45779</v>
      </c>
      <c r="Y291" s="17">
        <v>45791</v>
      </c>
      <c r="Z291" s="45">
        <v>5</v>
      </c>
      <c r="AA291">
        <v>2025</v>
      </c>
      <c r="AB291" s="42">
        <v>478080</v>
      </c>
      <c r="AC291" s="42">
        <v>478080</v>
      </c>
    </row>
    <row r="292" spans="1:29">
      <c r="A292" t="s">
        <v>45</v>
      </c>
      <c r="B292" t="s">
        <v>46</v>
      </c>
      <c r="C292" t="s">
        <v>47</v>
      </c>
      <c r="D292" t="s">
        <v>358</v>
      </c>
      <c r="E292" t="s">
        <v>49</v>
      </c>
      <c r="F292" t="s">
        <v>50</v>
      </c>
      <c r="G292" t="s">
        <v>51</v>
      </c>
      <c r="H292" s="17" t="s">
        <v>52</v>
      </c>
      <c r="I292" t="s">
        <v>53</v>
      </c>
      <c r="J292" t="s">
        <v>110</v>
      </c>
      <c r="K292">
        <v>1</v>
      </c>
      <c r="L292" t="s">
        <v>55</v>
      </c>
      <c r="M292" t="s">
        <v>56</v>
      </c>
      <c r="N292" t="s">
        <v>57</v>
      </c>
      <c r="O292" s="18" t="s">
        <v>58</v>
      </c>
      <c r="P292" s="18" t="s">
        <v>86</v>
      </c>
      <c r="Q292" s="17" t="s">
        <v>111</v>
      </c>
      <c r="R292" s="18" t="s">
        <v>112</v>
      </c>
      <c r="S292" s="32">
        <v>4.8</v>
      </c>
      <c r="T292" s="19">
        <v>4.8</v>
      </c>
      <c r="U292" s="17" t="s">
        <v>113</v>
      </c>
      <c r="V292" s="17">
        <v>45751</v>
      </c>
      <c r="W292" s="18">
        <v>4</v>
      </c>
      <c r="X292" s="17">
        <v>45751</v>
      </c>
      <c r="Y292" s="17">
        <v>45792</v>
      </c>
      <c r="Z292" s="45">
        <v>5</v>
      </c>
      <c r="AA292">
        <v>2025</v>
      </c>
      <c r="AB292" s="42">
        <v>100930</v>
      </c>
      <c r="AC292" s="42">
        <v>100930</v>
      </c>
    </row>
    <row r="293" spans="1:29">
      <c r="A293" t="s">
        <v>45</v>
      </c>
      <c r="B293" t="s">
        <v>46</v>
      </c>
      <c r="C293" t="s">
        <v>47</v>
      </c>
      <c r="D293" t="s">
        <v>294</v>
      </c>
      <c r="E293" t="s">
        <v>49</v>
      </c>
      <c r="F293" t="s">
        <v>71</v>
      </c>
      <c r="G293" t="s">
        <v>51</v>
      </c>
      <c r="H293" s="17" t="s">
        <v>52</v>
      </c>
      <c r="I293" t="s">
        <v>53</v>
      </c>
      <c r="J293" t="s">
        <v>54</v>
      </c>
      <c r="K293">
        <v>1</v>
      </c>
      <c r="L293" t="s">
        <v>55</v>
      </c>
      <c r="M293" t="s">
        <v>56</v>
      </c>
      <c r="N293" t="s">
        <v>57</v>
      </c>
      <c r="O293" s="18" t="s">
        <v>58</v>
      </c>
      <c r="P293" s="18" t="s">
        <v>297</v>
      </c>
      <c r="Q293" s="17" t="s">
        <v>359</v>
      </c>
      <c r="R293" s="18" t="s">
        <v>360</v>
      </c>
      <c r="S293" s="32">
        <v>1</v>
      </c>
      <c r="T293" s="19">
        <v>1</v>
      </c>
      <c r="U293" s="17" t="s">
        <v>62</v>
      </c>
      <c r="V293" s="17">
        <v>45751</v>
      </c>
      <c r="W293" s="18">
        <v>4</v>
      </c>
      <c r="X293" s="17">
        <v>45842</v>
      </c>
      <c r="Y293" s="17">
        <v>45799</v>
      </c>
      <c r="Z293" s="45">
        <v>5</v>
      </c>
      <c r="AA293">
        <v>2025</v>
      </c>
      <c r="AB293" s="42">
        <v>59546</v>
      </c>
      <c r="AC293" s="42">
        <v>59546</v>
      </c>
    </row>
    <row r="294" spans="1:29">
      <c r="A294" t="s">
        <v>45</v>
      </c>
      <c r="B294" t="s">
        <v>46</v>
      </c>
      <c r="C294" t="s">
        <v>47</v>
      </c>
      <c r="D294" t="s">
        <v>361</v>
      </c>
      <c r="E294" t="s">
        <v>49</v>
      </c>
      <c r="F294" t="s">
        <v>67</v>
      </c>
      <c r="G294" t="s">
        <v>51</v>
      </c>
      <c r="H294" s="17" t="s">
        <v>52</v>
      </c>
      <c r="I294" t="s">
        <v>53</v>
      </c>
      <c r="J294" t="s">
        <v>54</v>
      </c>
      <c r="K294">
        <v>1</v>
      </c>
      <c r="L294" t="s">
        <v>55</v>
      </c>
      <c r="M294" t="s">
        <v>56</v>
      </c>
      <c r="N294" t="s">
        <v>57</v>
      </c>
      <c r="O294" s="18" t="s">
        <v>58</v>
      </c>
      <c r="P294" s="18" t="s">
        <v>72</v>
      </c>
      <c r="Q294" s="17" t="s">
        <v>145</v>
      </c>
      <c r="R294" s="18" t="s">
        <v>146</v>
      </c>
      <c r="S294" s="32">
        <v>2081</v>
      </c>
      <c r="T294" s="19">
        <v>2081</v>
      </c>
      <c r="U294" s="17" t="s">
        <v>62</v>
      </c>
      <c r="V294" s="17">
        <v>45754</v>
      </c>
      <c r="W294" s="18">
        <v>4</v>
      </c>
      <c r="X294" s="17">
        <v>45779</v>
      </c>
      <c r="Y294" s="17">
        <v>45834</v>
      </c>
      <c r="Z294" s="45">
        <v>6</v>
      </c>
      <c r="AA294">
        <v>2025</v>
      </c>
      <c r="AB294" s="42">
        <v>17734282</v>
      </c>
      <c r="AC294" s="42">
        <v>17734282</v>
      </c>
    </row>
    <row r="295" spans="1:29">
      <c r="A295" t="s">
        <v>45</v>
      </c>
      <c r="B295" t="s">
        <v>46</v>
      </c>
      <c r="C295" t="s">
        <v>47</v>
      </c>
      <c r="D295" t="s">
        <v>362</v>
      </c>
      <c r="E295" t="s">
        <v>49</v>
      </c>
      <c r="F295" t="s">
        <v>50</v>
      </c>
      <c r="G295" t="s">
        <v>51</v>
      </c>
      <c r="H295" s="17" t="s">
        <v>58</v>
      </c>
      <c r="I295" t="s">
        <v>53</v>
      </c>
      <c r="J295" t="s">
        <v>54</v>
      </c>
      <c r="L295" t="s">
        <v>55</v>
      </c>
      <c r="M295" t="s">
        <v>84</v>
      </c>
      <c r="N295" t="s">
        <v>85</v>
      </c>
      <c r="O295" s="18" t="s">
        <v>58</v>
      </c>
      <c r="P295" s="18" t="s">
        <v>72</v>
      </c>
      <c r="Q295" s="17" t="s">
        <v>73</v>
      </c>
      <c r="R295" s="18" t="s">
        <v>74</v>
      </c>
      <c r="S295" s="32">
        <v>156</v>
      </c>
      <c r="T295" s="19">
        <v>0</v>
      </c>
      <c r="U295" s="17" t="s">
        <v>62</v>
      </c>
      <c r="V295" s="17">
        <v>45719</v>
      </c>
      <c r="W295" s="18">
        <v>3</v>
      </c>
      <c r="X295" s="17">
        <v>45812</v>
      </c>
      <c r="Z295" s="45">
        <v>6</v>
      </c>
      <c r="AA295">
        <v>2025</v>
      </c>
      <c r="AB295" s="42">
        <v>3100968</v>
      </c>
      <c r="AC295" s="42">
        <v>0</v>
      </c>
    </row>
    <row r="296" spans="1:29">
      <c r="A296" t="s">
        <v>45</v>
      </c>
      <c r="B296" t="s">
        <v>46</v>
      </c>
      <c r="C296" t="s">
        <v>47</v>
      </c>
      <c r="D296" t="s">
        <v>362</v>
      </c>
      <c r="E296" t="s">
        <v>49</v>
      </c>
      <c r="F296" t="s">
        <v>63</v>
      </c>
      <c r="G296" t="s">
        <v>51</v>
      </c>
      <c r="H296" s="17" t="s">
        <v>58</v>
      </c>
      <c r="I296" t="s">
        <v>53</v>
      </c>
      <c r="J296" t="s">
        <v>54</v>
      </c>
      <c r="L296" t="s">
        <v>55</v>
      </c>
      <c r="M296" t="s">
        <v>84</v>
      </c>
      <c r="N296" t="s">
        <v>85</v>
      </c>
      <c r="O296" s="18" t="s">
        <v>58</v>
      </c>
      <c r="P296" s="18" t="s">
        <v>94</v>
      </c>
      <c r="Q296" s="17" t="s">
        <v>95</v>
      </c>
      <c r="R296" s="18" t="s">
        <v>96</v>
      </c>
      <c r="S296" s="32">
        <v>25</v>
      </c>
      <c r="T296" s="19">
        <v>0</v>
      </c>
      <c r="U296" s="17" t="s">
        <v>62</v>
      </c>
      <c r="V296" s="17">
        <v>45719</v>
      </c>
      <c r="W296" s="18">
        <v>3</v>
      </c>
      <c r="X296" s="17">
        <v>45812</v>
      </c>
      <c r="Z296" s="45">
        <v>6</v>
      </c>
      <c r="AA296">
        <v>2025</v>
      </c>
      <c r="AB296" s="42">
        <v>433675</v>
      </c>
      <c r="AC296" s="42">
        <v>0</v>
      </c>
    </row>
    <row r="297" spans="1:29">
      <c r="A297" t="s">
        <v>45</v>
      </c>
      <c r="B297" t="s">
        <v>46</v>
      </c>
      <c r="C297" t="s">
        <v>47</v>
      </c>
      <c r="D297" t="s">
        <v>362</v>
      </c>
      <c r="E297" t="s">
        <v>49</v>
      </c>
      <c r="F297" t="s">
        <v>67</v>
      </c>
      <c r="G297" t="s">
        <v>51</v>
      </c>
      <c r="H297" s="17" t="s">
        <v>58</v>
      </c>
      <c r="I297" t="s">
        <v>53</v>
      </c>
      <c r="J297" t="s">
        <v>54</v>
      </c>
      <c r="L297" t="s">
        <v>55</v>
      </c>
      <c r="M297" t="s">
        <v>84</v>
      </c>
      <c r="N297" t="s">
        <v>85</v>
      </c>
      <c r="O297" s="18" t="s">
        <v>58</v>
      </c>
      <c r="P297" s="18" t="s">
        <v>208</v>
      </c>
      <c r="Q297" s="17" t="s">
        <v>209</v>
      </c>
      <c r="R297" s="18" t="s">
        <v>210</v>
      </c>
      <c r="S297" s="32">
        <v>25</v>
      </c>
      <c r="T297" s="19">
        <v>0</v>
      </c>
      <c r="U297" s="17" t="s">
        <v>62</v>
      </c>
      <c r="V297" s="17">
        <v>45719</v>
      </c>
      <c r="W297" s="18">
        <v>3</v>
      </c>
      <c r="X297" s="17">
        <v>45812</v>
      </c>
      <c r="Z297" s="45">
        <v>6</v>
      </c>
      <c r="AA297">
        <v>2025</v>
      </c>
      <c r="AB297" s="42">
        <v>281975</v>
      </c>
      <c r="AC297" s="42">
        <v>0</v>
      </c>
    </row>
    <row r="298" spans="1:29">
      <c r="A298" t="s">
        <v>45</v>
      </c>
      <c r="B298" t="s">
        <v>46</v>
      </c>
      <c r="C298" t="s">
        <v>47</v>
      </c>
      <c r="D298" t="s">
        <v>363</v>
      </c>
      <c r="E298" t="s">
        <v>49</v>
      </c>
      <c r="F298" t="s">
        <v>50</v>
      </c>
      <c r="G298" t="s">
        <v>51</v>
      </c>
      <c r="H298" s="17" t="s">
        <v>52</v>
      </c>
      <c r="I298" t="s">
        <v>53</v>
      </c>
      <c r="J298" t="s">
        <v>364</v>
      </c>
      <c r="K298">
        <v>1</v>
      </c>
      <c r="L298" t="s">
        <v>55</v>
      </c>
      <c r="M298" t="s">
        <v>56</v>
      </c>
      <c r="N298" t="s">
        <v>57</v>
      </c>
      <c r="O298" s="18" t="s">
        <v>58</v>
      </c>
      <c r="P298" s="18" t="s">
        <v>72</v>
      </c>
      <c r="Q298" s="17" t="s">
        <v>365</v>
      </c>
      <c r="R298" s="18" t="s">
        <v>366</v>
      </c>
      <c r="S298" s="32">
        <v>4</v>
      </c>
      <c r="T298" s="19">
        <v>4</v>
      </c>
      <c r="U298" s="17" t="s">
        <v>62</v>
      </c>
      <c r="V298" s="17">
        <v>45821</v>
      </c>
      <c r="W298" s="18">
        <v>6</v>
      </c>
      <c r="X298" s="17">
        <v>45821</v>
      </c>
      <c r="Y298" s="17">
        <v>45833</v>
      </c>
      <c r="Z298" s="45">
        <v>6</v>
      </c>
      <c r="AA298">
        <v>2025</v>
      </c>
      <c r="AB298" s="42">
        <v>94088</v>
      </c>
      <c r="AC298" s="42">
        <v>94088</v>
      </c>
    </row>
    <row r="299" spans="1:29">
      <c r="A299" t="s">
        <v>45</v>
      </c>
      <c r="B299" t="s">
        <v>46</v>
      </c>
      <c r="C299" t="s">
        <v>47</v>
      </c>
      <c r="D299" t="s">
        <v>363</v>
      </c>
      <c r="E299" t="s">
        <v>49</v>
      </c>
      <c r="F299" t="s">
        <v>63</v>
      </c>
      <c r="G299" t="s">
        <v>51</v>
      </c>
      <c r="H299" s="17" t="s">
        <v>52</v>
      </c>
      <c r="I299" t="s">
        <v>53</v>
      </c>
      <c r="J299" t="s">
        <v>364</v>
      </c>
      <c r="K299">
        <v>1</v>
      </c>
      <c r="L299" t="s">
        <v>55</v>
      </c>
      <c r="M299" t="s">
        <v>56</v>
      </c>
      <c r="N299" t="s">
        <v>57</v>
      </c>
      <c r="O299" s="18" t="s">
        <v>58</v>
      </c>
      <c r="P299" s="18" t="s">
        <v>72</v>
      </c>
      <c r="Q299" s="17" t="s">
        <v>367</v>
      </c>
      <c r="R299" s="18" t="s">
        <v>368</v>
      </c>
      <c r="S299" s="32">
        <v>5</v>
      </c>
      <c r="T299" s="19">
        <v>5</v>
      </c>
      <c r="U299" s="17" t="s">
        <v>62</v>
      </c>
      <c r="V299" s="17">
        <v>45821</v>
      </c>
      <c r="W299" s="18">
        <v>6</v>
      </c>
      <c r="X299" s="17">
        <v>45821</v>
      </c>
      <c r="Y299" s="17">
        <v>45833</v>
      </c>
      <c r="Z299" s="45">
        <v>6</v>
      </c>
      <c r="AA299">
        <v>2025</v>
      </c>
      <c r="AB299" s="42">
        <v>167705</v>
      </c>
      <c r="AC299" s="42">
        <v>167705</v>
      </c>
    </row>
    <row r="300" spans="1:29">
      <c r="A300" t="s">
        <v>45</v>
      </c>
      <c r="B300" t="s">
        <v>46</v>
      </c>
      <c r="C300" t="s">
        <v>47</v>
      </c>
      <c r="D300" t="s">
        <v>369</v>
      </c>
      <c r="E300" t="s">
        <v>115</v>
      </c>
      <c r="F300" t="s">
        <v>50</v>
      </c>
      <c r="G300" t="s">
        <v>116</v>
      </c>
      <c r="H300" s="17" t="s">
        <v>52</v>
      </c>
      <c r="I300" t="s">
        <v>53</v>
      </c>
      <c r="J300" t="s">
        <v>110</v>
      </c>
      <c r="K300">
        <v>1</v>
      </c>
      <c r="L300" t="s">
        <v>55</v>
      </c>
      <c r="M300" t="s">
        <v>56</v>
      </c>
      <c r="N300" t="s">
        <v>57</v>
      </c>
      <c r="O300" s="18" t="s">
        <v>58</v>
      </c>
      <c r="P300" s="18" t="s">
        <v>72</v>
      </c>
      <c r="Q300" s="17" t="s">
        <v>122</v>
      </c>
      <c r="R300" s="18" t="s">
        <v>123</v>
      </c>
      <c r="S300" s="32">
        <v>2</v>
      </c>
      <c r="T300" s="19">
        <v>2</v>
      </c>
      <c r="U300" s="17" t="s">
        <v>119</v>
      </c>
      <c r="V300" s="17">
        <v>45793</v>
      </c>
      <c r="W300" s="18">
        <v>5</v>
      </c>
      <c r="X300" s="17">
        <v>45806</v>
      </c>
      <c r="Y300" s="17">
        <v>45810</v>
      </c>
      <c r="Z300" s="45">
        <v>6</v>
      </c>
      <c r="AA300">
        <v>2025</v>
      </c>
      <c r="AB300" s="42">
        <v>702660</v>
      </c>
      <c r="AC300" s="42">
        <v>702660</v>
      </c>
    </row>
    <row r="301" spans="1:29">
      <c r="A301" t="s">
        <v>45</v>
      </c>
      <c r="B301" t="s">
        <v>46</v>
      </c>
      <c r="C301" t="s">
        <v>47</v>
      </c>
      <c r="D301" t="s">
        <v>369</v>
      </c>
      <c r="E301" t="s">
        <v>115</v>
      </c>
      <c r="F301" t="s">
        <v>63</v>
      </c>
      <c r="G301" t="s">
        <v>116</v>
      </c>
      <c r="H301" s="17" t="s">
        <v>52</v>
      </c>
      <c r="I301" t="s">
        <v>53</v>
      </c>
      <c r="J301" t="s">
        <v>110</v>
      </c>
      <c r="K301">
        <v>1</v>
      </c>
      <c r="L301" t="s">
        <v>55</v>
      </c>
      <c r="M301" t="s">
        <v>56</v>
      </c>
      <c r="N301" t="s">
        <v>57</v>
      </c>
      <c r="O301" s="18" t="s">
        <v>58</v>
      </c>
      <c r="P301" s="18" t="s">
        <v>72</v>
      </c>
      <c r="Q301" s="17" t="s">
        <v>117</v>
      </c>
      <c r="R301" s="18" t="s">
        <v>118</v>
      </c>
      <c r="S301" s="32">
        <v>2</v>
      </c>
      <c r="T301" s="19">
        <v>2</v>
      </c>
      <c r="U301" s="17" t="s">
        <v>119</v>
      </c>
      <c r="V301" s="17">
        <v>45793</v>
      </c>
      <c r="W301" s="18">
        <v>5</v>
      </c>
      <c r="X301" s="17">
        <v>45806</v>
      </c>
      <c r="Y301" s="17">
        <v>45810</v>
      </c>
      <c r="Z301" s="45">
        <v>6</v>
      </c>
      <c r="AA301">
        <v>2025</v>
      </c>
      <c r="AB301" s="42">
        <v>703000</v>
      </c>
      <c r="AC301" s="42">
        <v>703000</v>
      </c>
    </row>
    <row r="302" spans="1:29">
      <c r="A302" t="s">
        <v>45</v>
      </c>
      <c r="B302" t="s">
        <v>46</v>
      </c>
      <c r="C302" t="s">
        <v>47</v>
      </c>
      <c r="D302" t="s">
        <v>370</v>
      </c>
      <c r="E302" t="s">
        <v>115</v>
      </c>
      <c r="F302" t="s">
        <v>50</v>
      </c>
      <c r="G302" t="s">
        <v>116</v>
      </c>
      <c r="H302" s="17" t="s">
        <v>52</v>
      </c>
      <c r="I302" t="s">
        <v>53</v>
      </c>
      <c r="J302" t="s">
        <v>110</v>
      </c>
      <c r="K302">
        <v>1</v>
      </c>
      <c r="L302" t="s">
        <v>55</v>
      </c>
      <c r="M302" t="s">
        <v>56</v>
      </c>
      <c r="N302" t="s">
        <v>57</v>
      </c>
      <c r="O302" s="18" t="s">
        <v>58</v>
      </c>
      <c r="P302" s="18" t="s">
        <v>72</v>
      </c>
      <c r="Q302" s="17" t="s">
        <v>122</v>
      </c>
      <c r="R302" s="18" t="s">
        <v>123</v>
      </c>
      <c r="S302" s="32">
        <v>4</v>
      </c>
      <c r="T302" s="19">
        <v>4</v>
      </c>
      <c r="U302" s="17" t="s">
        <v>119</v>
      </c>
      <c r="V302" s="17">
        <v>45800</v>
      </c>
      <c r="W302" s="18">
        <v>5</v>
      </c>
      <c r="X302" s="17">
        <v>45812</v>
      </c>
      <c r="Y302" s="17">
        <v>45810</v>
      </c>
      <c r="Z302" s="45">
        <v>6</v>
      </c>
      <c r="AA302">
        <v>2025</v>
      </c>
      <c r="AB302" s="42">
        <v>1405320</v>
      </c>
      <c r="AC302" s="42">
        <v>1405320</v>
      </c>
    </row>
    <row r="303" spans="1:29">
      <c r="A303" t="s">
        <v>45</v>
      </c>
      <c r="B303" t="s">
        <v>46</v>
      </c>
      <c r="C303" t="s">
        <v>47</v>
      </c>
      <c r="D303" t="s">
        <v>371</v>
      </c>
      <c r="E303" t="s">
        <v>115</v>
      </c>
      <c r="F303" t="s">
        <v>50</v>
      </c>
      <c r="G303" t="s">
        <v>116</v>
      </c>
      <c r="H303" s="17" t="s">
        <v>52</v>
      </c>
      <c r="I303" t="s">
        <v>53</v>
      </c>
      <c r="J303" t="s">
        <v>110</v>
      </c>
      <c r="K303">
        <v>1</v>
      </c>
      <c r="L303" t="s">
        <v>55</v>
      </c>
      <c r="M303" t="s">
        <v>56</v>
      </c>
      <c r="N303" t="s">
        <v>57</v>
      </c>
      <c r="O303" s="18" t="s">
        <v>58</v>
      </c>
      <c r="P303" s="18" t="s">
        <v>72</v>
      </c>
      <c r="Q303" s="17" t="s">
        <v>122</v>
      </c>
      <c r="R303" s="18" t="s">
        <v>372</v>
      </c>
      <c r="S303" s="32">
        <v>4</v>
      </c>
      <c r="T303" s="19">
        <v>4</v>
      </c>
      <c r="U303" s="17" t="s">
        <v>119</v>
      </c>
      <c r="V303" s="17">
        <v>45807</v>
      </c>
      <c r="W303" s="18">
        <v>5</v>
      </c>
      <c r="X303" s="17">
        <v>45819</v>
      </c>
      <c r="Y303" s="17">
        <v>45819</v>
      </c>
      <c r="Z303" s="45">
        <v>6</v>
      </c>
      <c r="AA303">
        <v>2025</v>
      </c>
      <c r="AB303" s="42">
        <v>1405320</v>
      </c>
      <c r="AC303" s="42">
        <v>1405320</v>
      </c>
    </row>
    <row r="304" spans="1:29">
      <c r="A304" t="s">
        <v>45</v>
      </c>
      <c r="B304" t="s">
        <v>46</v>
      </c>
      <c r="C304" t="s">
        <v>47</v>
      </c>
      <c r="D304" t="s">
        <v>371</v>
      </c>
      <c r="E304" t="s">
        <v>115</v>
      </c>
      <c r="F304" t="s">
        <v>63</v>
      </c>
      <c r="G304" t="s">
        <v>116</v>
      </c>
      <c r="H304" s="17" t="s">
        <v>52</v>
      </c>
      <c r="I304" t="s">
        <v>53</v>
      </c>
      <c r="J304" t="s">
        <v>110</v>
      </c>
      <c r="K304">
        <v>1</v>
      </c>
      <c r="L304" t="s">
        <v>55</v>
      </c>
      <c r="M304" t="s">
        <v>56</v>
      </c>
      <c r="N304" t="s">
        <v>57</v>
      </c>
      <c r="O304" s="18" t="s">
        <v>58</v>
      </c>
      <c r="P304" s="18" t="s">
        <v>72</v>
      </c>
      <c r="Q304" s="17" t="s">
        <v>117</v>
      </c>
      <c r="R304" s="18" t="s">
        <v>373</v>
      </c>
      <c r="S304" s="32">
        <v>2</v>
      </c>
      <c r="T304" s="19">
        <v>2</v>
      </c>
      <c r="U304" s="17" t="s">
        <v>119</v>
      </c>
      <c r="V304" s="17">
        <v>45807</v>
      </c>
      <c r="W304" s="18">
        <v>5</v>
      </c>
      <c r="X304" s="17">
        <v>45819</v>
      </c>
      <c r="Y304" s="17">
        <v>45819</v>
      </c>
      <c r="Z304" s="45">
        <v>6</v>
      </c>
      <c r="AA304">
        <v>2025</v>
      </c>
      <c r="AB304" s="42">
        <v>703000</v>
      </c>
      <c r="AC304" s="42">
        <v>703000</v>
      </c>
    </row>
    <row r="305" spans="1:29">
      <c r="A305" t="s">
        <v>45</v>
      </c>
      <c r="B305" t="s">
        <v>46</v>
      </c>
      <c r="C305" t="s">
        <v>47</v>
      </c>
      <c r="D305" t="s">
        <v>374</v>
      </c>
      <c r="E305" t="s">
        <v>115</v>
      </c>
      <c r="F305" t="s">
        <v>50</v>
      </c>
      <c r="G305" t="s">
        <v>116</v>
      </c>
      <c r="H305" s="17" t="s">
        <v>52</v>
      </c>
      <c r="I305" t="s">
        <v>53</v>
      </c>
      <c r="J305" t="s">
        <v>121</v>
      </c>
      <c r="K305">
        <v>1</v>
      </c>
      <c r="L305" t="s">
        <v>55</v>
      </c>
      <c r="M305" t="s">
        <v>56</v>
      </c>
      <c r="N305" t="s">
        <v>57</v>
      </c>
      <c r="O305" s="18" t="s">
        <v>58</v>
      </c>
      <c r="P305" s="18" t="s">
        <v>72</v>
      </c>
      <c r="Q305" s="17" t="s">
        <v>145</v>
      </c>
      <c r="R305" s="18" t="s">
        <v>375</v>
      </c>
      <c r="S305" s="32">
        <v>1</v>
      </c>
      <c r="T305" s="19">
        <v>1</v>
      </c>
      <c r="U305" s="17" t="s">
        <v>119</v>
      </c>
      <c r="V305" s="17">
        <v>45807</v>
      </c>
      <c r="W305" s="18">
        <v>5</v>
      </c>
      <c r="X305" s="17">
        <v>45819</v>
      </c>
      <c r="Y305" s="17">
        <v>45820</v>
      </c>
      <c r="Z305" s="45">
        <v>6</v>
      </c>
      <c r="AA305">
        <v>2025</v>
      </c>
      <c r="AB305" s="42">
        <v>732480</v>
      </c>
      <c r="AC305" s="42">
        <v>732480</v>
      </c>
    </row>
    <row r="306" spans="1:29">
      <c r="A306" t="s">
        <v>45</v>
      </c>
      <c r="B306" t="s">
        <v>46</v>
      </c>
      <c r="C306" t="s">
        <v>47</v>
      </c>
      <c r="D306" t="s">
        <v>374</v>
      </c>
      <c r="E306" t="s">
        <v>115</v>
      </c>
      <c r="F306" t="s">
        <v>63</v>
      </c>
      <c r="G306" t="s">
        <v>116</v>
      </c>
      <c r="H306" s="17" t="s">
        <v>52</v>
      </c>
      <c r="I306" t="s">
        <v>53</v>
      </c>
      <c r="J306" t="s">
        <v>121</v>
      </c>
      <c r="K306">
        <v>1</v>
      </c>
      <c r="L306" t="s">
        <v>55</v>
      </c>
      <c r="M306" t="s">
        <v>56</v>
      </c>
      <c r="N306" t="s">
        <v>57</v>
      </c>
      <c r="O306" s="18" t="s">
        <v>58</v>
      </c>
      <c r="P306" s="18" t="s">
        <v>72</v>
      </c>
      <c r="Q306" s="17" t="s">
        <v>117</v>
      </c>
      <c r="R306" s="18" t="s">
        <v>373</v>
      </c>
      <c r="S306" s="32">
        <v>3</v>
      </c>
      <c r="T306" s="19">
        <v>3</v>
      </c>
      <c r="U306" s="17" t="s">
        <v>119</v>
      </c>
      <c r="V306" s="17">
        <v>45807</v>
      </c>
      <c r="W306" s="18">
        <v>5</v>
      </c>
      <c r="X306" s="17">
        <v>45819</v>
      </c>
      <c r="Y306" s="17">
        <v>45820</v>
      </c>
      <c r="Z306" s="45">
        <v>6</v>
      </c>
      <c r="AA306">
        <v>2025</v>
      </c>
      <c r="AB306" s="42">
        <v>1054500</v>
      </c>
      <c r="AC306" s="42">
        <v>1054500</v>
      </c>
    </row>
    <row r="307" spans="1:29">
      <c r="A307" t="s">
        <v>45</v>
      </c>
      <c r="B307" t="s">
        <v>46</v>
      </c>
      <c r="C307" t="s">
        <v>47</v>
      </c>
      <c r="D307" t="s">
        <v>376</v>
      </c>
      <c r="E307" t="s">
        <v>115</v>
      </c>
      <c r="F307" t="s">
        <v>50</v>
      </c>
      <c r="G307" t="s">
        <v>116</v>
      </c>
      <c r="H307" s="17" t="s">
        <v>52</v>
      </c>
      <c r="I307" t="s">
        <v>53</v>
      </c>
      <c r="J307" t="s">
        <v>190</v>
      </c>
      <c r="K307">
        <v>1</v>
      </c>
      <c r="L307" t="s">
        <v>55</v>
      </c>
      <c r="M307" t="s">
        <v>56</v>
      </c>
      <c r="N307" t="s">
        <v>57</v>
      </c>
      <c r="O307" s="18" t="s">
        <v>58</v>
      </c>
      <c r="P307" s="18" t="s">
        <v>72</v>
      </c>
      <c r="Q307" s="17" t="s">
        <v>122</v>
      </c>
      <c r="R307" s="18" t="s">
        <v>372</v>
      </c>
      <c r="S307" s="32">
        <v>4</v>
      </c>
      <c r="T307" s="19">
        <v>4</v>
      </c>
      <c r="U307" s="17" t="s">
        <v>119</v>
      </c>
      <c r="V307" s="17">
        <v>45807</v>
      </c>
      <c r="W307" s="18">
        <v>5</v>
      </c>
      <c r="X307" s="17">
        <v>45819</v>
      </c>
      <c r="Y307" s="17">
        <v>45812</v>
      </c>
      <c r="Z307" s="45">
        <v>6</v>
      </c>
      <c r="AA307">
        <v>2025</v>
      </c>
      <c r="AB307" s="42">
        <v>1405320</v>
      </c>
      <c r="AC307" s="42">
        <v>1405320</v>
      </c>
    </row>
    <row r="308" spans="1:29">
      <c r="A308" t="s">
        <v>45</v>
      </c>
      <c r="B308" t="s">
        <v>46</v>
      </c>
      <c r="C308" t="s">
        <v>47</v>
      </c>
      <c r="D308" t="s">
        <v>377</v>
      </c>
      <c r="E308" t="s">
        <v>49</v>
      </c>
      <c r="F308" t="s">
        <v>50</v>
      </c>
      <c r="G308" t="s">
        <v>51</v>
      </c>
      <c r="H308" s="17" t="s">
        <v>52</v>
      </c>
      <c r="I308" t="s">
        <v>53</v>
      </c>
      <c r="J308" t="s">
        <v>224</v>
      </c>
      <c r="K308">
        <v>1</v>
      </c>
      <c r="L308" t="s">
        <v>55</v>
      </c>
      <c r="M308" t="s">
        <v>56</v>
      </c>
      <c r="N308" t="s">
        <v>57</v>
      </c>
      <c r="O308" s="18" t="s">
        <v>58</v>
      </c>
      <c r="P308" s="18" t="s">
        <v>72</v>
      </c>
      <c r="Q308" s="17" t="s">
        <v>221</v>
      </c>
      <c r="R308" s="18" t="s">
        <v>222</v>
      </c>
      <c r="S308" s="32">
        <v>390</v>
      </c>
      <c r="T308" s="19">
        <v>390</v>
      </c>
      <c r="U308" s="17" t="s">
        <v>62</v>
      </c>
      <c r="V308" s="17">
        <v>45796</v>
      </c>
      <c r="W308" s="18">
        <v>5</v>
      </c>
      <c r="X308" s="17">
        <v>45797</v>
      </c>
      <c r="Y308" s="17">
        <v>45832</v>
      </c>
      <c r="Z308" s="45">
        <v>6</v>
      </c>
      <c r="AA308">
        <v>2025</v>
      </c>
      <c r="AB308" s="42">
        <v>3500250</v>
      </c>
      <c r="AC308" s="42">
        <v>3500250</v>
      </c>
    </row>
    <row r="309" spans="1:29">
      <c r="A309" t="s">
        <v>45</v>
      </c>
      <c r="B309" t="s">
        <v>46</v>
      </c>
      <c r="C309" t="s">
        <v>47</v>
      </c>
      <c r="D309" t="s">
        <v>377</v>
      </c>
      <c r="E309" t="s">
        <v>49</v>
      </c>
      <c r="F309" t="s">
        <v>63</v>
      </c>
      <c r="G309" t="s">
        <v>51</v>
      </c>
      <c r="H309" s="17" t="s">
        <v>52</v>
      </c>
      <c r="I309" t="s">
        <v>53</v>
      </c>
      <c r="J309" t="s">
        <v>224</v>
      </c>
      <c r="K309">
        <v>1</v>
      </c>
      <c r="L309" t="s">
        <v>55</v>
      </c>
      <c r="M309" t="s">
        <v>56</v>
      </c>
      <c r="N309" t="s">
        <v>57</v>
      </c>
      <c r="O309" s="18" t="s">
        <v>58</v>
      </c>
      <c r="P309" s="18" t="s">
        <v>99</v>
      </c>
      <c r="Q309" s="17" t="s">
        <v>100</v>
      </c>
      <c r="R309" s="18" t="s">
        <v>101</v>
      </c>
      <c r="S309" s="32">
        <v>390</v>
      </c>
      <c r="T309" s="19">
        <v>390</v>
      </c>
      <c r="U309" s="17" t="s">
        <v>62</v>
      </c>
      <c r="V309" s="17">
        <v>45796</v>
      </c>
      <c r="W309" s="18">
        <v>5</v>
      </c>
      <c r="X309" s="17">
        <v>45797</v>
      </c>
      <c r="Y309" s="17">
        <v>45832</v>
      </c>
      <c r="Z309" s="45">
        <v>6</v>
      </c>
      <c r="AA309">
        <v>2025</v>
      </c>
      <c r="AB309" s="42">
        <v>67470</v>
      </c>
      <c r="AC309" s="42">
        <v>67470</v>
      </c>
    </row>
    <row r="310" spans="1:29">
      <c r="A310" t="s">
        <v>45</v>
      </c>
      <c r="B310" t="s">
        <v>46</v>
      </c>
      <c r="C310" t="s">
        <v>47</v>
      </c>
      <c r="D310" t="s">
        <v>378</v>
      </c>
      <c r="E310" t="s">
        <v>49</v>
      </c>
      <c r="F310" t="s">
        <v>50</v>
      </c>
      <c r="G310" t="s">
        <v>51</v>
      </c>
      <c r="H310" s="17" t="s">
        <v>52</v>
      </c>
      <c r="I310" t="s">
        <v>53</v>
      </c>
      <c r="J310" t="s">
        <v>54</v>
      </c>
      <c r="K310">
        <v>1</v>
      </c>
      <c r="L310" t="s">
        <v>55</v>
      </c>
      <c r="M310" t="s">
        <v>56</v>
      </c>
      <c r="N310" t="s">
        <v>57</v>
      </c>
      <c r="O310" s="18" t="s">
        <v>58</v>
      </c>
      <c r="P310" s="18" t="s">
        <v>99</v>
      </c>
      <c r="Q310" s="17" t="s">
        <v>100</v>
      </c>
      <c r="R310" s="18" t="s">
        <v>101</v>
      </c>
      <c r="S310" s="32">
        <v>191</v>
      </c>
      <c r="T310" s="19">
        <v>191</v>
      </c>
      <c r="U310" s="17" t="s">
        <v>62</v>
      </c>
      <c r="V310" s="17">
        <v>45797</v>
      </c>
      <c r="W310" s="18">
        <v>5</v>
      </c>
      <c r="X310" s="17">
        <v>45891</v>
      </c>
      <c r="Y310" s="17">
        <v>45812</v>
      </c>
      <c r="Z310" s="45">
        <v>6</v>
      </c>
      <c r="AA310">
        <v>2025</v>
      </c>
      <c r="AB310" s="42">
        <v>58064</v>
      </c>
      <c r="AC310" s="42">
        <v>58064</v>
      </c>
    </row>
    <row r="311" spans="1:29">
      <c r="A311" t="s">
        <v>45</v>
      </c>
      <c r="B311" t="s">
        <v>46</v>
      </c>
      <c r="C311" t="s">
        <v>47</v>
      </c>
      <c r="D311" t="s">
        <v>378</v>
      </c>
      <c r="E311" t="s">
        <v>49</v>
      </c>
      <c r="F311" t="s">
        <v>63</v>
      </c>
      <c r="G311" t="s">
        <v>51</v>
      </c>
      <c r="H311" s="17" t="s">
        <v>52</v>
      </c>
      <c r="I311" t="s">
        <v>53</v>
      </c>
      <c r="J311" t="s">
        <v>54</v>
      </c>
      <c r="K311">
        <v>1</v>
      </c>
      <c r="L311" t="s">
        <v>55</v>
      </c>
      <c r="M311" t="s">
        <v>56</v>
      </c>
      <c r="N311" t="s">
        <v>57</v>
      </c>
      <c r="O311" s="18" t="s">
        <v>58</v>
      </c>
      <c r="P311" s="18" t="s">
        <v>86</v>
      </c>
      <c r="Q311" s="17" t="s">
        <v>379</v>
      </c>
      <c r="R311" s="18" t="s">
        <v>380</v>
      </c>
      <c r="S311" s="32">
        <v>191</v>
      </c>
      <c r="T311" s="19">
        <v>191</v>
      </c>
      <c r="U311" s="17" t="s">
        <v>62</v>
      </c>
      <c r="V311" s="17">
        <v>45797</v>
      </c>
      <c r="W311" s="18">
        <v>5</v>
      </c>
      <c r="X311" s="17">
        <v>45891</v>
      </c>
      <c r="Y311" s="17">
        <v>45812</v>
      </c>
      <c r="Z311" s="45">
        <v>6</v>
      </c>
      <c r="AA311">
        <v>2025</v>
      </c>
      <c r="AB311" s="42">
        <v>12852008</v>
      </c>
      <c r="AC311" s="42">
        <v>12852008</v>
      </c>
    </row>
    <row r="312" spans="1:29">
      <c r="A312" t="s">
        <v>45</v>
      </c>
      <c r="B312" t="s">
        <v>46</v>
      </c>
      <c r="C312" t="s">
        <v>47</v>
      </c>
      <c r="D312" t="s">
        <v>381</v>
      </c>
      <c r="E312" t="s">
        <v>49</v>
      </c>
      <c r="F312" t="s">
        <v>50</v>
      </c>
      <c r="G312" t="s">
        <v>51</v>
      </c>
      <c r="H312" s="17" t="s">
        <v>58</v>
      </c>
      <c r="I312" t="s">
        <v>53</v>
      </c>
      <c r="J312" t="s">
        <v>382</v>
      </c>
      <c r="K312">
        <v>1</v>
      </c>
      <c r="L312" t="s">
        <v>55</v>
      </c>
      <c r="M312" t="s">
        <v>56</v>
      </c>
      <c r="N312" t="s">
        <v>57</v>
      </c>
      <c r="O312" s="18" t="s">
        <v>58</v>
      </c>
      <c r="P312" s="18" t="s">
        <v>86</v>
      </c>
      <c r="Q312" s="17" t="s">
        <v>289</v>
      </c>
      <c r="R312" s="18" t="s">
        <v>290</v>
      </c>
      <c r="S312" s="32">
        <v>12</v>
      </c>
      <c r="T312" s="19">
        <v>0</v>
      </c>
      <c r="U312" s="17" t="s">
        <v>62</v>
      </c>
      <c r="V312" s="17">
        <v>45832</v>
      </c>
      <c r="W312" s="18">
        <v>6</v>
      </c>
      <c r="X312" s="17">
        <v>45833</v>
      </c>
      <c r="Z312" s="45">
        <v>6</v>
      </c>
      <c r="AA312">
        <v>2025</v>
      </c>
      <c r="AB312" s="42">
        <v>174636</v>
      </c>
      <c r="AC312" s="42">
        <v>0</v>
      </c>
    </row>
    <row r="313" spans="1:29">
      <c r="A313" t="s">
        <v>45</v>
      </c>
      <c r="B313" t="s">
        <v>46</v>
      </c>
      <c r="C313" t="s">
        <v>47</v>
      </c>
      <c r="D313" t="s">
        <v>381</v>
      </c>
      <c r="E313" t="s">
        <v>49</v>
      </c>
      <c r="F313" t="s">
        <v>63</v>
      </c>
      <c r="G313" t="s">
        <v>51</v>
      </c>
      <c r="H313" s="17" t="s">
        <v>58</v>
      </c>
      <c r="I313" t="s">
        <v>53</v>
      </c>
      <c r="J313" t="s">
        <v>382</v>
      </c>
      <c r="K313">
        <v>1</v>
      </c>
      <c r="L313" t="s">
        <v>55</v>
      </c>
      <c r="M313" t="s">
        <v>56</v>
      </c>
      <c r="N313" t="s">
        <v>57</v>
      </c>
      <c r="O313" s="18" t="s">
        <v>58</v>
      </c>
      <c r="P313" s="18" t="s">
        <v>80</v>
      </c>
      <c r="Q313" s="17" t="s">
        <v>81</v>
      </c>
      <c r="R313" s="18" t="s">
        <v>82</v>
      </c>
      <c r="S313" s="32">
        <v>5</v>
      </c>
      <c r="T313" s="19">
        <v>0</v>
      </c>
      <c r="U313" s="17" t="s">
        <v>62</v>
      </c>
      <c r="V313" s="17">
        <v>45832</v>
      </c>
      <c r="W313" s="18">
        <v>6</v>
      </c>
      <c r="X313" s="17">
        <v>45833</v>
      </c>
      <c r="Z313" s="45">
        <v>6</v>
      </c>
      <c r="AA313">
        <v>2025</v>
      </c>
      <c r="AB313" s="42">
        <v>6370</v>
      </c>
      <c r="AC313" s="42">
        <v>0</v>
      </c>
    </row>
    <row r="314" spans="1:29">
      <c r="A314" t="s">
        <v>45</v>
      </c>
      <c r="B314" t="s">
        <v>46</v>
      </c>
      <c r="C314" t="s">
        <v>47</v>
      </c>
      <c r="D314" t="s">
        <v>381</v>
      </c>
      <c r="E314" t="s">
        <v>49</v>
      </c>
      <c r="F314" t="s">
        <v>67</v>
      </c>
      <c r="G314" t="s">
        <v>51</v>
      </c>
      <c r="H314" s="17" t="s">
        <v>58</v>
      </c>
      <c r="I314" t="s">
        <v>53</v>
      </c>
      <c r="J314" t="s">
        <v>382</v>
      </c>
      <c r="K314">
        <v>1</v>
      </c>
      <c r="L314" t="s">
        <v>55</v>
      </c>
      <c r="M314" t="s">
        <v>56</v>
      </c>
      <c r="N314" t="s">
        <v>57</v>
      </c>
      <c r="O314" s="18" t="s">
        <v>58</v>
      </c>
      <c r="P314" s="18" t="s">
        <v>132</v>
      </c>
      <c r="Q314" s="17" t="s">
        <v>162</v>
      </c>
      <c r="R314" s="18" t="s">
        <v>163</v>
      </c>
      <c r="S314" s="32">
        <v>1</v>
      </c>
      <c r="T314" s="19">
        <v>0</v>
      </c>
      <c r="U314" s="17" t="s">
        <v>62</v>
      </c>
      <c r="V314" s="17">
        <v>45832</v>
      </c>
      <c r="W314" s="18">
        <v>6</v>
      </c>
      <c r="X314" s="17">
        <v>45833</v>
      </c>
      <c r="Z314" s="45">
        <v>6</v>
      </c>
      <c r="AA314">
        <v>2025</v>
      </c>
      <c r="AB314" s="42">
        <v>8594</v>
      </c>
      <c r="AC314" s="42">
        <v>0</v>
      </c>
    </row>
    <row r="315" spans="1:29">
      <c r="A315" t="s">
        <v>45</v>
      </c>
      <c r="B315" t="s">
        <v>46</v>
      </c>
      <c r="C315" t="s">
        <v>47</v>
      </c>
      <c r="D315" t="s">
        <v>381</v>
      </c>
      <c r="E315" t="s">
        <v>49</v>
      </c>
      <c r="F315" t="s">
        <v>71</v>
      </c>
      <c r="G315" t="s">
        <v>51</v>
      </c>
      <c r="H315" s="17" t="s">
        <v>58</v>
      </c>
      <c r="I315" t="s">
        <v>53</v>
      </c>
      <c r="J315" t="s">
        <v>382</v>
      </c>
      <c r="K315">
        <v>1</v>
      </c>
      <c r="L315" t="s">
        <v>55</v>
      </c>
      <c r="M315" t="s">
        <v>56</v>
      </c>
      <c r="N315" t="s">
        <v>57</v>
      </c>
      <c r="O315" s="18" t="s">
        <v>58</v>
      </c>
      <c r="P315" s="18" t="s">
        <v>68</v>
      </c>
      <c r="Q315" s="17" t="s">
        <v>225</v>
      </c>
      <c r="R315" s="18" t="s">
        <v>226</v>
      </c>
      <c r="S315" s="32">
        <v>3</v>
      </c>
      <c r="T315" s="19">
        <v>0</v>
      </c>
      <c r="U315" s="17" t="s">
        <v>227</v>
      </c>
      <c r="V315" s="17">
        <v>45832</v>
      </c>
      <c r="W315" s="18">
        <v>6</v>
      </c>
      <c r="X315" s="17">
        <v>45833</v>
      </c>
      <c r="Z315" s="45">
        <v>6</v>
      </c>
      <c r="AA315">
        <v>2025</v>
      </c>
      <c r="AB315" s="42">
        <v>41772</v>
      </c>
      <c r="AC315" s="42">
        <v>0</v>
      </c>
    </row>
    <row r="316" spans="1:29">
      <c r="A316" t="s">
        <v>45</v>
      </c>
      <c r="B316" t="s">
        <v>46</v>
      </c>
      <c r="C316" t="s">
        <v>47</v>
      </c>
      <c r="D316" t="s">
        <v>381</v>
      </c>
      <c r="E316" t="s">
        <v>49</v>
      </c>
      <c r="F316" t="s">
        <v>75</v>
      </c>
      <c r="G316" t="s">
        <v>51</v>
      </c>
      <c r="H316" s="17" t="s">
        <v>58</v>
      </c>
      <c r="I316" t="s">
        <v>53</v>
      </c>
      <c r="J316" t="s">
        <v>382</v>
      </c>
      <c r="K316">
        <v>1</v>
      </c>
      <c r="L316" t="s">
        <v>55</v>
      </c>
      <c r="M316" t="s">
        <v>56</v>
      </c>
      <c r="N316" t="s">
        <v>57</v>
      </c>
      <c r="O316" s="18" t="s">
        <v>58</v>
      </c>
      <c r="P316" s="18" t="s">
        <v>137</v>
      </c>
      <c r="Q316" s="17" t="s">
        <v>183</v>
      </c>
      <c r="R316" s="18" t="s">
        <v>184</v>
      </c>
      <c r="S316" s="32">
        <v>2</v>
      </c>
      <c r="T316" s="19">
        <v>0</v>
      </c>
      <c r="U316" s="17" t="s">
        <v>62</v>
      </c>
      <c r="V316" s="17">
        <v>45832</v>
      </c>
      <c r="W316" s="18">
        <v>6</v>
      </c>
      <c r="X316" s="17">
        <v>45833</v>
      </c>
      <c r="Z316" s="45">
        <v>6</v>
      </c>
      <c r="AA316">
        <v>2025</v>
      </c>
      <c r="AB316" s="42">
        <v>79574</v>
      </c>
      <c r="AC316" s="42">
        <v>0</v>
      </c>
    </row>
    <row r="317" spans="1:29">
      <c r="A317" t="s">
        <v>45</v>
      </c>
      <c r="B317" t="s">
        <v>46</v>
      </c>
      <c r="C317" t="s">
        <v>47</v>
      </c>
      <c r="D317" t="s">
        <v>381</v>
      </c>
      <c r="E317" t="s">
        <v>49</v>
      </c>
      <c r="F317" t="s">
        <v>79</v>
      </c>
      <c r="G317" t="s">
        <v>51</v>
      </c>
      <c r="H317" s="17" t="s">
        <v>58</v>
      </c>
      <c r="I317" t="s">
        <v>53</v>
      </c>
      <c r="J317" t="s">
        <v>382</v>
      </c>
      <c r="K317">
        <v>1</v>
      </c>
      <c r="L317" t="s">
        <v>55</v>
      </c>
      <c r="M317" t="s">
        <v>56</v>
      </c>
      <c r="N317" t="s">
        <v>57</v>
      </c>
      <c r="O317" s="18" t="s">
        <v>58</v>
      </c>
      <c r="P317" s="18" t="s">
        <v>72</v>
      </c>
      <c r="Q317" s="17" t="s">
        <v>151</v>
      </c>
      <c r="R317" s="18" t="s">
        <v>152</v>
      </c>
      <c r="S317" s="32">
        <v>12</v>
      </c>
      <c r="T317" s="19">
        <v>0</v>
      </c>
      <c r="U317" s="17" t="s">
        <v>62</v>
      </c>
      <c r="V317" s="17">
        <v>45832</v>
      </c>
      <c r="W317" s="18">
        <v>6</v>
      </c>
      <c r="X317" s="17">
        <v>45833</v>
      </c>
      <c r="Z317" s="45">
        <v>6</v>
      </c>
      <c r="AA317">
        <v>2025</v>
      </c>
      <c r="AB317" s="42">
        <v>354000</v>
      </c>
      <c r="AC317" s="42">
        <v>0</v>
      </c>
    </row>
    <row r="318" spans="1:29">
      <c r="A318" t="s">
        <v>45</v>
      </c>
      <c r="B318" t="s">
        <v>46</v>
      </c>
      <c r="C318" t="s">
        <v>47</v>
      </c>
      <c r="D318" t="s">
        <v>381</v>
      </c>
      <c r="E318" t="s">
        <v>49</v>
      </c>
      <c r="F318" t="s">
        <v>98</v>
      </c>
      <c r="G318" t="s">
        <v>51</v>
      </c>
      <c r="H318" s="17" t="s">
        <v>58</v>
      </c>
      <c r="I318" t="s">
        <v>53</v>
      </c>
      <c r="J318" t="s">
        <v>382</v>
      </c>
      <c r="K318">
        <v>1</v>
      </c>
      <c r="L318" t="s">
        <v>55</v>
      </c>
      <c r="M318" t="s">
        <v>56</v>
      </c>
      <c r="N318" t="s">
        <v>57</v>
      </c>
      <c r="O318" s="18" t="s">
        <v>58</v>
      </c>
      <c r="P318" s="18" t="s">
        <v>59</v>
      </c>
      <c r="Q318" s="17" t="s">
        <v>60</v>
      </c>
      <c r="R318" s="18" t="s">
        <v>61</v>
      </c>
      <c r="S318" s="32">
        <v>5</v>
      </c>
      <c r="T318" s="19">
        <v>0</v>
      </c>
      <c r="U318" s="17" t="s">
        <v>62</v>
      </c>
      <c r="V318" s="17">
        <v>45832</v>
      </c>
      <c r="W318" s="18">
        <v>6</v>
      </c>
      <c r="X318" s="17">
        <v>45833</v>
      </c>
      <c r="Z318" s="45">
        <v>6</v>
      </c>
      <c r="AA318">
        <v>2025</v>
      </c>
      <c r="AB318" s="42">
        <v>83275</v>
      </c>
      <c r="AC318" s="42">
        <v>0</v>
      </c>
    </row>
    <row r="319" spans="1:29">
      <c r="A319" t="s">
        <v>45</v>
      </c>
      <c r="B319" t="s">
        <v>46</v>
      </c>
      <c r="C319" t="s">
        <v>47</v>
      </c>
      <c r="D319" t="s">
        <v>381</v>
      </c>
      <c r="E319" t="s">
        <v>49</v>
      </c>
      <c r="F319" t="s">
        <v>334</v>
      </c>
      <c r="G319" t="s">
        <v>51</v>
      </c>
      <c r="H319" s="17" t="s">
        <v>58</v>
      </c>
      <c r="I319" t="s">
        <v>53</v>
      </c>
      <c r="J319" t="s">
        <v>382</v>
      </c>
      <c r="K319">
        <v>1</v>
      </c>
      <c r="L319" t="s">
        <v>55</v>
      </c>
      <c r="M319" t="s">
        <v>56</v>
      </c>
      <c r="N319" t="s">
        <v>57</v>
      </c>
      <c r="O319" s="18" t="s">
        <v>58</v>
      </c>
      <c r="P319" s="18" t="s">
        <v>68</v>
      </c>
      <c r="Q319" s="17" t="s">
        <v>69</v>
      </c>
      <c r="R319" s="18" t="s">
        <v>70</v>
      </c>
      <c r="S319" s="32">
        <v>1</v>
      </c>
      <c r="T319" s="19">
        <v>0</v>
      </c>
      <c r="U319" s="17" t="s">
        <v>62</v>
      </c>
      <c r="V319" s="17">
        <v>45832</v>
      </c>
      <c r="W319" s="18">
        <v>6</v>
      </c>
      <c r="X319" s="17">
        <v>45833</v>
      </c>
      <c r="Z319" s="45">
        <v>6</v>
      </c>
      <c r="AA319">
        <v>2025</v>
      </c>
      <c r="AB319" s="42">
        <v>14369</v>
      </c>
      <c r="AC319" s="42">
        <v>0</v>
      </c>
    </row>
    <row r="320" spans="1:29">
      <c r="A320" t="s">
        <v>45</v>
      </c>
      <c r="B320" t="s">
        <v>46</v>
      </c>
      <c r="C320" t="s">
        <v>47</v>
      </c>
      <c r="D320" t="s">
        <v>381</v>
      </c>
      <c r="E320" t="s">
        <v>49</v>
      </c>
      <c r="F320" t="s">
        <v>335</v>
      </c>
      <c r="G320" t="s">
        <v>51</v>
      </c>
      <c r="H320" s="17" t="s">
        <v>58</v>
      </c>
      <c r="I320" t="s">
        <v>53</v>
      </c>
      <c r="J320" t="s">
        <v>382</v>
      </c>
      <c r="K320">
        <v>1</v>
      </c>
      <c r="L320" t="s">
        <v>55</v>
      </c>
      <c r="M320" t="s">
        <v>56</v>
      </c>
      <c r="N320" t="s">
        <v>57</v>
      </c>
      <c r="O320" s="18" t="s">
        <v>58</v>
      </c>
      <c r="P320" s="18" t="s">
        <v>383</v>
      </c>
      <c r="Q320" s="17" t="s">
        <v>384</v>
      </c>
      <c r="R320" s="18" t="s">
        <v>385</v>
      </c>
      <c r="S320" s="32">
        <v>1</v>
      </c>
      <c r="T320" s="19">
        <v>0</v>
      </c>
      <c r="U320" s="17" t="s">
        <v>62</v>
      </c>
      <c r="V320" s="17">
        <v>45832</v>
      </c>
      <c r="W320" s="18">
        <v>6</v>
      </c>
      <c r="X320" s="17">
        <v>45833</v>
      </c>
      <c r="Z320" s="45">
        <v>6</v>
      </c>
      <c r="AA320">
        <v>2025</v>
      </c>
      <c r="AB320" s="42">
        <v>76090</v>
      </c>
      <c r="AC320" s="42">
        <v>0</v>
      </c>
    </row>
    <row r="321" spans="1:29">
      <c r="A321" t="s">
        <v>45</v>
      </c>
      <c r="B321" t="s">
        <v>46</v>
      </c>
      <c r="C321" t="s">
        <v>47</v>
      </c>
      <c r="D321" t="s">
        <v>381</v>
      </c>
      <c r="E321" t="s">
        <v>49</v>
      </c>
      <c r="F321" t="s">
        <v>336</v>
      </c>
      <c r="G321" t="s">
        <v>51</v>
      </c>
      <c r="H321" s="17" t="s">
        <v>58</v>
      </c>
      <c r="I321" t="s">
        <v>53</v>
      </c>
      <c r="J321" t="s">
        <v>382</v>
      </c>
      <c r="K321">
        <v>1</v>
      </c>
      <c r="L321" t="s">
        <v>55</v>
      </c>
      <c r="M321" t="s">
        <v>56</v>
      </c>
      <c r="N321" t="s">
        <v>57</v>
      </c>
      <c r="O321" s="18" t="s">
        <v>58</v>
      </c>
      <c r="P321" s="18" t="s">
        <v>99</v>
      </c>
      <c r="Q321" s="17" t="s">
        <v>100</v>
      </c>
      <c r="R321" s="18" t="s">
        <v>101</v>
      </c>
      <c r="S321" s="32">
        <v>1</v>
      </c>
      <c r="T321" s="19">
        <v>0</v>
      </c>
      <c r="U321" s="17" t="s">
        <v>62</v>
      </c>
      <c r="V321" s="17">
        <v>45832</v>
      </c>
      <c r="W321" s="18">
        <v>6</v>
      </c>
      <c r="X321" s="17">
        <v>45833</v>
      </c>
      <c r="Z321" s="45">
        <v>6</v>
      </c>
      <c r="AA321">
        <v>2025</v>
      </c>
      <c r="AB321" s="42">
        <v>58000</v>
      </c>
      <c r="AC321" s="42">
        <v>0</v>
      </c>
    </row>
    <row r="322" spans="1:29">
      <c r="A322" t="s">
        <v>45</v>
      </c>
      <c r="B322" t="s">
        <v>46</v>
      </c>
      <c r="C322" t="s">
        <v>47</v>
      </c>
      <c r="D322" t="s">
        <v>386</v>
      </c>
      <c r="E322" t="s">
        <v>49</v>
      </c>
      <c r="F322" t="s">
        <v>50</v>
      </c>
      <c r="G322" t="s">
        <v>51</v>
      </c>
      <c r="H322" s="17" t="s">
        <v>52</v>
      </c>
      <c r="I322" t="s">
        <v>53</v>
      </c>
      <c r="J322" t="s">
        <v>224</v>
      </c>
      <c r="K322">
        <v>1</v>
      </c>
      <c r="L322" t="s">
        <v>55</v>
      </c>
      <c r="M322" t="s">
        <v>56</v>
      </c>
      <c r="N322" t="s">
        <v>57</v>
      </c>
      <c r="O322" s="18" t="s">
        <v>58</v>
      </c>
      <c r="P322" s="18" t="s">
        <v>72</v>
      </c>
      <c r="Q322" s="17" t="s">
        <v>151</v>
      </c>
      <c r="R322" s="18" t="s">
        <v>152</v>
      </c>
      <c r="S322" s="32">
        <v>175</v>
      </c>
      <c r="T322" s="19">
        <v>175</v>
      </c>
      <c r="U322" s="17" t="s">
        <v>62</v>
      </c>
      <c r="V322" s="17">
        <v>45799</v>
      </c>
      <c r="W322" s="18">
        <v>5</v>
      </c>
      <c r="X322" s="17">
        <v>45799</v>
      </c>
      <c r="Y322" s="17">
        <v>45832</v>
      </c>
      <c r="Z322" s="45">
        <v>6</v>
      </c>
      <c r="AA322">
        <v>2025</v>
      </c>
      <c r="AB322" s="42">
        <v>5020400</v>
      </c>
      <c r="AC322" s="42">
        <v>5020400</v>
      </c>
    </row>
    <row r="323" spans="1:29">
      <c r="A323" t="s">
        <v>45</v>
      </c>
      <c r="B323" t="s">
        <v>46</v>
      </c>
      <c r="C323" t="s">
        <v>47</v>
      </c>
      <c r="D323" t="s">
        <v>386</v>
      </c>
      <c r="E323" t="s">
        <v>49</v>
      </c>
      <c r="F323" t="s">
        <v>63</v>
      </c>
      <c r="G323" t="s">
        <v>51</v>
      </c>
      <c r="H323" s="17" t="s">
        <v>52</v>
      </c>
      <c r="I323" t="s">
        <v>53</v>
      </c>
      <c r="J323" t="s">
        <v>224</v>
      </c>
      <c r="K323">
        <v>1</v>
      </c>
      <c r="L323" t="s">
        <v>55</v>
      </c>
      <c r="M323" t="s">
        <v>56</v>
      </c>
      <c r="N323" t="s">
        <v>57</v>
      </c>
      <c r="O323" s="18" t="s">
        <v>58</v>
      </c>
      <c r="P323" s="18" t="s">
        <v>99</v>
      </c>
      <c r="Q323" s="17" t="s">
        <v>100</v>
      </c>
      <c r="R323" s="18" t="s">
        <v>101</v>
      </c>
      <c r="S323" s="32">
        <v>175</v>
      </c>
      <c r="T323" s="19">
        <v>175</v>
      </c>
      <c r="U323" s="17" t="s">
        <v>62</v>
      </c>
      <c r="V323" s="17">
        <v>45799</v>
      </c>
      <c r="W323" s="18">
        <v>5</v>
      </c>
      <c r="X323" s="17">
        <v>45799</v>
      </c>
      <c r="Y323" s="17">
        <v>45832</v>
      </c>
      <c r="Z323" s="45">
        <v>6</v>
      </c>
      <c r="AA323">
        <v>2025</v>
      </c>
      <c r="AB323" s="42">
        <v>32200</v>
      </c>
      <c r="AC323" s="42">
        <v>32200</v>
      </c>
    </row>
    <row r="324" spans="1:29">
      <c r="A324" t="s">
        <v>45</v>
      </c>
      <c r="B324" t="s">
        <v>46</v>
      </c>
      <c r="C324" t="s">
        <v>47</v>
      </c>
      <c r="D324" t="s">
        <v>386</v>
      </c>
      <c r="E324" t="s">
        <v>49</v>
      </c>
      <c r="F324" t="s">
        <v>67</v>
      </c>
      <c r="G324" t="s">
        <v>51</v>
      </c>
      <c r="H324" s="17" t="s">
        <v>52</v>
      </c>
      <c r="I324" t="s">
        <v>53</v>
      </c>
      <c r="J324" t="s">
        <v>224</v>
      </c>
      <c r="K324">
        <v>1</v>
      </c>
      <c r="L324" t="s">
        <v>55</v>
      </c>
      <c r="M324" t="s">
        <v>56</v>
      </c>
      <c r="N324" t="s">
        <v>57</v>
      </c>
      <c r="O324" s="18" t="s">
        <v>58</v>
      </c>
      <c r="P324" s="18" t="s">
        <v>72</v>
      </c>
      <c r="Q324" s="17" t="s">
        <v>221</v>
      </c>
      <c r="R324" s="18" t="s">
        <v>222</v>
      </c>
      <c r="S324" s="32">
        <v>195</v>
      </c>
      <c r="T324" s="19">
        <v>195</v>
      </c>
      <c r="U324" s="17" t="s">
        <v>62</v>
      </c>
      <c r="V324" s="17">
        <v>45799</v>
      </c>
      <c r="W324" s="18">
        <v>5</v>
      </c>
      <c r="X324" s="17">
        <v>45799</v>
      </c>
      <c r="Y324" s="17">
        <v>45832</v>
      </c>
      <c r="Z324" s="45">
        <v>6</v>
      </c>
      <c r="AA324">
        <v>2025</v>
      </c>
      <c r="AB324" s="42">
        <v>1750125</v>
      </c>
      <c r="AC324" s="42">
        <v>1750125</v>
      </c>
    </row>
    <row r="325" spans="1:29">
      <c r="A325" t="s">
        <v>45</v>
      </c>
      <c r="B325" t="s">
        <v>46</v>
      </c>
      <c r="C325" t="s">
        <v>47</v>
      </c>
      <c r="D325" t="s">
        <v>386</v>
      </c>
      <c r="E325" t="s">
        <v>49</v>
      </c>
      <c r="F325" t="s">
        <v>71</v>
      </c>
      <c r="G325" t="s">
        <v>51</v>
      </c>
      <c r="H325" s="17" t="s">
        <v>52</v>
      </c>
      <c r="I325" t="s">
        <v>53</v>
      </c>
      <c r="J325" t="s">
        <v>224</v>
      </c>
      <c r="K325">
        <v>1</v>
      </c>
      <c r="L325" t="s">
        <v>55</v>
      </c>
      <c r="M325" t="s">
        <v>56</v>
      </c>
      <c r="N325" t="s">
        <v>57</v>
      </c>
      <c r="O325" s="18" t="s">
        <v>58</v>
      </c>
      <c r="P325" s="18" t="s">
        <v>99</v>
      </c>
      <c r="Q325" s="17" t="s">
        <v>100</v>
      </c>
      <c r="R325" s="18" t="s">
        <v>101</v>
      </c>
      <c r="S325" s="32">
        <v>195</v>
      </c>
      <c r="T325" s="19">
        <v>195</v>
      </c>
      <c r="U325" s="17" t="s">
        <v>62</v>
      </c>
      <c r="V325" s="17">
        <v>45799</v>
      </c>
      <c r="W325" s="18">
        <v>5</v>
      </c>
      <c r="X325" s="17">
        <v>45799</v>
      </c>
      <c r="Y325" s="17">
        <v>45832</v>
      </c>
      <c r="Z325" s="45">
        <v>6</v>
      </c>
      <c r="AA325">
        <v>2025</v>
      </c>
      <c r="AB325" s="42">
        <v>33735</v>
      </c>
      <c r="AC325" s="42">
        <v>33735</v>
      </c>
    </row>
    <row r="326" spans="1:29">
      <c r="A326" t="s">
        <v>45</v>
      </c>
      <c r="B326" t="s">
        <v>46</v>
      </c>
      <c r="C326" t="s">
        <v>47</v>
      </c>
      <c r="D326" t="s">
        <v>387</v>
      </c>
      <c r="E326" t="s">
        <v>49</v>
      </c>
      <c r="F326" t="s">
        <v>50</v>
      </c>
      <c r="G326" t="s">
        <v>51</v>
      </c>
      <c r="H326" s="17" t="s">
        <v>52</v>
      </c>
      <c r="I326" t="s">
        <v>53</v>
      </c>
      <c r="J326" t="s">
        <v>110</v>
      </c>
      <c r="K326">
        <v>1</v>
      </c>
      <c r="L326" t="s">
        <v>55</v>
      </c>
      <c r="M326" t="s">
        <v>56</v>
      </c>
      <c r="N326" t="s">
        <v>57</v>
      </c>
      <c r="O326" s="18" t="s">
        <v>58</v>
      </c>
      <c r="P326" s="18" t="s">
        <v>72</v>
      </c>
      <c r="Q326" s="17" t="s">
        <v>388</v>
      </c>
      <c r="R326" s="18" t="s">
        <v>389</v>
      </c>
      <c r="S326" s="32">
        <v>100</v>
      </c>
      <c r="T326" s="19">
        <v>100</v>
      </c>
      <c r="U326" s="17" t="s">
        <v>113</v>
      </c>
      <c r="V326" s="17">
        <v>45803</v>
      </c>
      <c r="W326" s="18">
        <v>5</v>
      </c>
      <c r="X326" s="17">
        <v>45803</v>
      </c>
      <c r="Y326" s="17">
        <v>45820</v>
      </c>
      <c r="Z326" s="45">
        <v>6</v>
      </c>
      <c r="AA326">
        <v>2025</v>
      </c>
      <c r="AB326" s="42">
        <v>926800</v>
      </c>
      <c r="AC326" s="42">
        <v>926800</v>
      </c>
    </row>
    <row r="327" spans="1:29">
      <c r="A327" t="s">
        <v>45</v>
      </c>
      <c r="B327" t="s">
        <v>46</v>
      </c>
      <c r="C327" t="s">
        <v>47</v>
      </c>
      <c r="D327" t="s">
        <v>387</v>
      </c>
      <c r="E327" t="s">
        <v>49</v>
      </c>
      <c r="F327" t="s">
        <v>63</v>
      </c>
      <c r="G327" t="s">
        <v>51</v>
      </c>
      <c r="H327" s="17" t="s">
        <v>52</v>
      </c>
      <c r="I327" t="s">
        <v>53</v>
      </c>
      <c r="J327" t="s">
        <v>110</v>
      </c>
      <c r="K327">
        <v>1</v>
      </c>
      <c r="L327" t="s">
        <v>55</v>
      </c>
      <c r="M327" t="s">
        <v>56</v>
      </c>
      <c r="N327" t="s">
        <v>57</v>
      </c>
      <c r="O327" s="18" t="s">
        <v>58</v>
      </c>
      <c r="P327" s="18" t="s">
        <v>72</v>
      </c>
      <c r="Q327" s="17" t="s">
        <v>390</v>
      </c>
      <c r="R327" s="18" t="s">
        <v>391</v>
      </c>
      <c r="S327" s="32">
        <v>30</v>
      </c>
      <c r="T327" s="19">
        <v>30</v>
      </c>
      <c r="U327" s="17" t="s">
        <v>113</v>
      </c>
      <c r="V327" s="17">
        <v>45803</v>
      </c>
      <c r="W327" s="18">
        <v>5</v>
      </c>
      <c r="X327" s="17">
        <v>45803</v>
      </c>
      <c r="Y327" s="17">
        <v>45820</v>
      </c>
      <c r="Z327" s="45">
        <v>6</v>
      </c>
      <c r="AA327">
        <v>2025</v>
      </c>
      <c r="AB327" s="42">
        <v>196590</v>
      </c>
      <c r="AC327" s="42">
        <v>196590</v>
      </c>
    </row>
    <row r="328" spans="1:29">
      <c r="A328" t="s">
        <v>45</v>
      </c>
      <c r="B328" t="s">
        <v>46</v>
      </c>
      <c r="C328" t="s">
        <v>47</v>
      </c>
      <c r="D328" t="s">
        <v>387</v>
      </c>
      <c r="E328" t="s">
        <v>49</v>
      </c>
      <c r="F328" t="s">
        <v>67</v>
      </c>
      <c r="G328" t="s">
        <v>51</v>
      </c>
      <c r="H328" s="17" t="s">
        <v>52</v>
      </c>
      <c r="I328" t="s">
        <v>53</v>
      </c>
      <c r="J328" t="s">
        <v>110</v>
      </c>
      <c r="K328">
        <v>1</v>
      </c>
      <c r="L328" t="s">
        <v>55</v>
      </c>
      <c r="M328" t="s">
        <v>56</v>
      </c>
      <c r="N328" t="s">
        <v>57</v>
      </c>
      <c r="O328" s="18" t="s">
        <v>58</v>
      </c>
      <c r="P328" s="18" t="s">
        <v>72</v>
      </c>
      <c r="Q328" s="17" t="s">
        <v>193</v>
      </c>
      <c r="R328" s="18" t="s">
        <v>194</v>
      </c>
      <c r="S328" s="32">
        <v>25</v>
      </c>
      <c r="T328" s="19">
        <v>25</v>
      </c>
      <c r="U328" s="17" t="s">
        <v>62</v>
      </c>
      <c r="V328" s="17">
        <v>45803</v>
      </c>
      <c r="W328" s="18">
        <v>5</v>
      </c>
      <c r="X328" s="17">
        <v>45803</v>
      </c>
      <c r="Y328" s="17">
        <v>45820</v>
      </c>
      <c r="Z328" s="45">
        <v>6</v>
      </c>
      <c r="AA328">
        <v>2025</v>
      </c>
      <c r="AB328" s="42">
        <v>251325</v>
      </c>
      <c r="AC328" s="42">
        <v>251325</v>
      </c>
    </row>
    <row r="329" spans="1:29">
      <c r="A329" t="s">
        <v>45</v>
      </c>
      <c r="B329" t="s">
        <v>46</v>
      </c>
      <c r="C329" t="s">
        <v>47</v>
      </c>
      <c r="D329" t="s">
        <v>387</v>
      </c>
      <c r="E329" t="s">
        <v>49</v>
      </c>
      <c r="F329" t="s">
        <v>71</v>
      </c>
      <c r="G329" t="s">
        <v>51</v>
      </c>
      <c r="H329" s="17" t="s">
        <v>52</v>
      </c>
      <c r="I329" t="s">
        <v>53</v>
      </c>
      <c r="J329" t="s">
        <v>110</v>
      </c>
      <c r="K329">
        <v>1</v>
      </c>
      <c r="L329" t="s">
        <v>55</v>
      </c>
      <c r="M329" t="s">
        <v>56</v>
      </c>
      <c r="N329" t="s">
        <v>57</v>
      </c>
      <c r="O329" s="18" t="s">
        <v>58</v>
      </c>
      <c r="P329" s="18" t="s">
        <v>72</v>
      </c>
      <c r="Q329" s="17" t="s">
        <v>127</v>
      </c>
      <c r="R329" s="18" t="s">
        <v>128</v>
      </c>
      <c r="S329" s="32">
        <v>25</v>
      </c>
      <c r="T329" s="19">
        <v>25</v>
      </c>
      <c r="U329" s="17" t="s">
        <v>62</v>
      </c>
      <c r="V329" s="17">
        <v>45803</v>
      </c>
      <c r="W329" s="18">
        <v>5</v>
      </c>
      <c r="X329" s="17">
        <v>45803</v>
      </c>
      <c r="Y329" s="17">
        <v>45820</v>
      </c>
      <c r="Z329" s="45">
        <v>6</v>
      </c>
      <c r="AA329">
        <v>2025</v>
      </c>
      <c r="AB329" s="42">
        <v>178250</v>
      </c>
      <c r="AC329" s="42">
        <v>178250</v>
      </c>
    </row>
    <row r="330" spans="1:29">
      <c r="A330" t="s">
        <v>45</v>
      </c>
      <c r="B330" t="s">
        <v>46</v>
      </c>
      <c r="C330" t="s">
        <v>47</v>
      </c>
      <c r="D330" t="s">
        <v>387</v>
      </c>
      <c r="E330" t="s">
        <v>49</v>
      </c>
      <c r="F330" t="s">
        <v>75</v>
      </c>
      <c r="G330" t="s">
        <v>51</v>
      </c>
      <c r="H330" s="17" t="s">
        <v>52</v>
      </c>
      <c r="I330" t="s">
        <v>53</v>
      </c>
      <c r="J330" t="s">
        <v>110</v>
      </c>
      <c r="K330">
        <v>1</v>
      </c>
      <c r="L330" t="s">
        <v>55</v>
      </c>
      <c r="M330" t="s">
        <v>56</v>
      </c>
      <c r="N330" t="s">
        <v>57</v>
      </c>
      <c r="O330" s="18" t="s">
        <v>58</v>
      </c>
      <c r="P330" s="18" t="s">
        <v>72</v>
      </c>
      <c r="Q330" s="17" t="s">
        <v>73</v>
      </c>
      <c r="R330" s="18" t="s">
        <v>74</v>
      </c>
      <c r="S330" s="32">
        <v>8</v>
      </c>
      <c r="T330" s="19">
        <v>8</v>
      </c>
      <c r="U330" s="17" t="s">
        <v>62</v>
      </c>
      <c r="V330" s="17">
        <v>45803</v>
      </c>
      <c r="W330" s="18">
        <v>5</v>
      </c>
      <c r="X330" s="17">
        <v>45803</v>
      </c>
      <c r="Y330" s="17">
        <v>45820</v>
      </c>
      <c r="Z330" s="45">
        <v>6</v>
      </c>
      <c r="AA330">
        <v>2025</v>
      </c>
      <c r="AB330" s="42">
        <v>161304</v>
      </c>
      <c r="AC330" s="42">
        <v>161304</v>
      </c>
    </row>
    <row r="331" spans="1:29">
      <c r="A331" t="s">
        <v>45</v>
      </c>
      <c r="B331" t="s">
        <v>46</v>
      </c>
      <c r="C331" t="s">
        <v>47</v>
      </c>
      <c r="D331" t="s">
        <v>387</v>
      </c>
      <c r="E331" t="s">
        <v>49</v>
      </c>
      <c r="F331" t="s">
        <v>79</v>
      </c>
      <c r="G331" t="s">
        <v>51</v>
      </c>
      <c r="H331" s="17" t="s">
        <v>52</v>
      </c>
      <c r="I331" t="s">
        <v>53</v>
      </c>
      <c r="J331" t="s">
        <v>110</v>
      </c>
      <c r="K331">
        <v>1</v>
      </c>
      <c r="L331" t="s">
        <v>55</v>
      </c>
      <c r="M331" t="s">
        <v>56</v>
      </c>
      <c r="N331" t="s">
        <v>57</v>
      </c>
      <c r="O331" s="18" t="s">
        <v>58</v>
      </c>
      <c r="P331" s="18" t="s">
        <v>72</v>
      </c>
      <c r="Q331" s="17" t="s">
        <v>122</v>
      </c>
      <c r="R331" s="18" t="s">
        <v>123</v>
      </c>
      <c r="S331" s="32">
        <v>10</v>
      </c>
      <c r="T331" s="19">
        <v>10</v>
      </c>
      <c r="U331" s="17" t="s">
        <v>62</v>
      </c>
      <c r="V331" s="17">
        <v>45803</v>
      </c>
      <c r="W331" s="18">
        <v>5</v>
      </c>
      <c r="X331" s="17">
        <v>45803</v>
      </c>
      <c r="Y331" s="17">
        <v>45820</v>
      </c>
      <c r="Z331" s="45">
        <v>6</v>
      </c>
      <c r="AA331">
        <v>2025</v>
      </c>
      <c r="AB331" s="42">
        <v>45650</v>
      </c>
      <c r="AC331" s="42">
        <v>45650</v>
      </c>
    </row>
    <row r="332" spans="1:29">
      <c r="A332" t="s">
        <v>45</v>
      </c>
      <c r="B332" t="s">
        <v>46</v>
      </c>
      <c r="C332" t="s">
        <v>47</v>
      </c>
      <c r="D332" t="s">
        <v>392</v>
      </c>
      <c r="E332" t="s">
        <v>115</v>
      </c>
      <c r="F332" t="s">
        <v>50</v>
      </c>
      <c r="G332" t="s">
        <v>116</v>
      </c>
      <c r="H332" s="17" t="s">
        <v>52</v>
      </c>
      <c r="I332" t="s">
        <v>53</v>
      </c>
      <c r="J332" t="s">
        <v>110</v>
      </c>
      <c r="K332">
        <v>1</v>
      </c>
      <c r="L332" t="s">
        <v>55</v>
      </c>
      <c r="M332" t="s">
        <v>56</v>
      </c>
      <c r="N332" t="s">
        <v>57</v>
      </c>
      <c r="O332" s="18" t="s">
        <v>58</v>
      </c>
      <c r="P332" s="18" t="s">
        <v>72</v>
      </c>
      <c r="Q332" s="17" t="s">
        <v>122</v>
      </c>
      <c r="R332" s="18" t="s">
        <v>372</v>
      </c>
      <c r="S332" s="32">
        <v>2</v>
      </c>
      <c r="T332" s="19">
        <v>2</v>
      </c>
      <c r="U332" s="17" t="s">
        <v>119</v>
      </c>
      <c r="V332" s="17">
        <v>45827</v>
      </c>
      <c r="W332" s="18">
        <v>6</v>
      </c>
      <c r="X332" s="17">
        <v>45840</v>
      </c>
      <c r="Y332" s="17">
        <v>45833</v>
      </c>
      <c r="Z332" s="45">
        <v>6</v>
      </c>
      <c r="AA332">
        <v>2025</v>
      </c>
      <c r="AB332" s="42">
        <v>702660</v>
      </c>
      <c r="AC332" s="42">
        <v>702660</v>
      </c>
    </row>
    <row r="333" spans="1:29">
      <c r="A333" t="s">
        <v>45</v>
      </c>
      <c r="B333" t="s">
        <v>46</v>
      </c>
      <c r="C333" t="s">
        <v>47</v>
      </c>
      <c r="D333" t="s">
        <v>392</v>
      </c>
      <c r="E333" t="s">
        <v>115</v>
      </c>
      <c r="F333" t="s">
        <v>63</v>
      </c>
      <c r="G333" t="s">
        <v>116</v>
      </c>
      <c r="H333" s="17" t="s">
        <v>52</v>
      </c>
      <c r="I333" t="s">
        <v>53</v>
      </c>
      <c r="J333" t="s">
        <v>110</v>
      </c>
      <c r="K333">
        <v>1</v>
      </c>
      <c r="L333" t="s">
        <v>55</v>
      </c>
      <c r="M333" t="s">
        <v>56</v>
      </c>
      <c r="N333" t="s">
        <v>57</v>
      </c>
      <c r="O333" s="18" t="s">
        <v>58</v>
      </c>
      <c r="P333" s="18" t="s">
        <v>72</v>
      </c>
      <c r="Q333" s="17" t="s">
        <v>117</v>
      </c>
      <c r="R333" s="18" t="s">
        <v>393</v>
      </c>
      <c r="S333" s="32">
        <v>4</v>
      </c>
      <c r="T333" s="19">
        <v>4</v>
      </c>
      <c r="U333" s="17" t="s">
        <v>119</v>
      </c>
      <c r="V333" s="17">
        <v>45827</v>
      </c>
      <c r="W333" s="18">
        <v>6</v>
      </c>
      <c r="X333" s="17">
        <v>45840</v>
      </c>
      <c r="Y333" s="17">
        <v>45833</v>
      </c>
      <c r="Z333" s="45">
        <v>6</v>
      </c>
      <c r="AA333">
        <v>2025</v>
      </c>
      <c r="AB333" s="42">
        <v>1406000</v>
      </c>
      <c r="AC333" s="42">
        <v>1406000</v>
      </c>
    </row>
    <row r="334" spans="1:29">
      <c r="A334" t="s">
        <v>45</v>
      </c>
      <c r="B334" t="s">
        <v>46</v>
      </c>
      <c r="C334" t="s">
        <v>47</v>
      </c>
      <c r="D334" t="s">
        <v>394</v>
      </c>
      <c r="E334" t="s">
        <v>49</v>
      </c>
      <c r="F334" t="s">
        <v>50</v>
      </c>
      <c r="G334" t="s">
        <v>51</v>
      </c>
      <c r="H334" s="17" t="s">
        <v>58</v>
      </c>
      <c r="I334" t="s">
        <v>53</v>
      </c>
      <c r="J334" t="s">
        <v>224</v>
      </c>
      <c r="K334">
        <v>1</v>
      </c>
      <c r="L334" t="s">
        <v>55</v>
      </c>
      <c r="M334" t="s">
        <v>56</v>
      </c>
      <c r="N334" t="s">
        <v>57</v>
      </c>
      <c r="O334" s="18" t="s">
        <v>58</v>
      </c>
      <c r="P334" s="18" t="s">
        <v>68</v>
      </c>
      <c r="Q334" s="17" t="s">
        <v>225</v>
      </c>
      <c r="R334" s="18" t="s">
        <v>226</v>
      </c>
      <c r="S334" s="32">
        <v>300</v>
      </c>
      <c r="T334" s="19">
        <v>0</v>
      </c>
      <c r="U334" s="17" t="s">
        <v>227</v>
      </c>
      <c r="V334" s="17">
        <v>45812</v>
      </c>
      <c r="W334" s="18">
        <v>6</v>
      </c>
      <c r="X334" s="17">
        <v>45813</v>
      </c>
      <c r="Z334" s="45">
        <v>6</v>
      </c>
      <c r="AA334">
        <v>2025</v>
      </c>
      <c r="AB334" s="42">
        <v>3628800</v>
      </c>
      <c r="AC334" s="42">
        <v>0</v>
      </c>
    </row>
    <row r="335" spans="1:29">
      <c r="A335" t="s">
        <v>45</v>
      </c>
      <c r="B335" t="s">
        <v>46</v>
      </c>
      <c r="C335" t="s">
        <v>47</v>
      </c>
      <c r="D335" t="s">
        <v>394</v>
      </c>
      <c r="E335" t="s">
        <v>49</v>
      </c>
      <c r="F335" t="s">
        <v>63</v>
      </c>
      <c r="G335" t="s">
        <v>51</v>
      </c>
      <c r="H335" s="17" t="s">
        <v>58</v>
      </c>
      <c r="I335" t="s">
        <v>53</v>
      </c>
      <c r="J335" t="s">
        <v>224</v>
      </c>
      <c r="K335">
        <v>1</v>
      </c>
      <c r="L335" t="s">
        <v>55</v>
      </c>
      <c r="M335" t="s">
        <v>56</v>
      </c>
      <c r="N335" t="s">
        <v>57</v>
      </c>
      <c r="O335" s="18" t="s">
        <v>58</v>
      </c>
      <c r="P335" s="18" t="s">
        <v>99</v>
      </c>
      <c r="Q335" s="17" t="s">
        <v>100</v>
      </c>
      <c r="R335" s="18" t="s">
        <v>101</v>
      </c>
      <c r="S335" s="32">
        <v>300</v>
      </c>
      <c r="T335" s="19">
        <v>0</v>
      </c>
      <c r="U335" s="17" t="s">
        <v>62</v>
      </c>
      <c r="V335" s="17">
        <v>45812</v>
      </c>
      <c r="W335" s="18">
        <v>6</v>
      </c>
      <c r="X335" s="17">
        <v>45813</v>
      </c>
      <c r="Z335" s="45">
        <v>6</v>
      </c>
      <c r="AA335">
        <v>2025</v>
      </c>
      <c r="AB335" s="42">
        <v>1080000</v>
      </c>
      <c r="AC335" s="42">
        <v>0</v>
      </c>
    </row>
    <row r="336" spans="1:29">
      <c r="A336" t="s">
        <v>45</v>
      </c>
      <c r="B336" t="s">
        <v>46</v>
      </c>
      <c r="C336" t="s">
        <v>47</v>
      </c>
      <c r="D336" t="s">
        <v>395</v>
      </c>
      <c r="E336" t="s">
        <v>49</v>
      </c>
      <c r="F336" t="s">
        <v>50</v>
      </c>
      <c r="G336" t="s">
        <v>51</v>
      </c>
      <c r="H336" s="17" t="s">
        <v>52</v>
      </c>
      <c r="I336" t="s">
        <v>53</v>
      </c>
      <c r="J336" t="s">
        <v>110</v>
      </c>
      <c r="K336">
        <v>1</v>
      </c>
      <c r="L336" t="s">
        <v>55</v>
      </c>
      <c r="M336" t="s">
        <v>56</v>
      </c>
      <c r="N336" t="s">
        <v>57</v>
      </c>
      <c r="O336" s="18" t="s">
        <v>58</v>
      </c>
      <c r="P336" s="18" t="s">
        <v>72</v>
      </c>
      <c r="Q336" s="17" t="s">
        <v>73</v>
      </c>
      <c r="R336" s="18" t="s">
        <v>74</v>
      </c>
      <c r="S336" s="32">
        <v>80</v>
      </c>
      <c r="T336" s="19">
        <v>80</v>
      </c>
      <c r="U336" s="17" t="s">
        <v>62</v>
      </c>
      <c r="V336" s="17">
        <v>45814</v>
      </c>
      <c r="W336" s="18">
        <v>6</v>
      </c>
      <c r="X336" s="17">
        <v>45818</v>
      </c>
      <c r="Y336" s="17">
        <v>45821</v>
      </c>
      <c r="Z336" s="45">
        <v>6</v>
      </c>
      <c r="AA336">
        <v>2025</v>
      </c>
      <c r="AB336" s="42">
        <v>1613040</v>
      </c>
      <c r="AC336" s="42">
        <v>1613040</v>
      </c>
    </row>
    <row r="337" spans="1:29">
      <c r="A337" t="s">
        <v>45</v>
      </c>
      <c r="B337" t="s">
        <v>46</v>
      </c>
      <c r="C337" t="s">
        <v>47</v>
      </c>
      <c r="D337" t="s">
        <v>395</v>
      </c>
      <c r="E337" t="s">
        <v>49</v>
      </c>
      <c r="F337" t="s">
        <v>63</v>
      </c>
      <c r="G337" t="s">
        <v>51</v>
      </c>
      <c r="H337" s="17" t="s">
        <v>52</v>
      </c>
      <c r="I337" t="s">
        <v>53</v>
      </c>
      <c r="J337" t="s">
        <v>110</v>
      </c>
      <c r="K337">
        <v>1</v>
      </c>
      <c r="L337" t="s">
        <v>55</v>
      </c>
      <c r="M337" t="s">
        <v>56</v>
      </c>
      <c r="N337" t="s">
        <v>57</v>
      </c>
      <c r="O337" s="18" t="s">
        <v>58</v>
      </c>
      <c r="P337" s="18" t="s">
        <v>72</v>
      </c>
      <c r="Q337" s="17" t="s">
        <v>388</v>
      </c>
      <c r="R337" s="18" t="s">
        <v>389</v>
      </c>
      <c r="S337" s="32">
        <v>150</v>
      </c>
      <c r="T337" s="19">
        <v>150</v>
      </c>
      <c r="U337" s="17" t="s">
        <v>113</v>
      </c>
      <c r="V337" s="17">
        <v>45814</v>
      </c>
      <c r="W337" s="18">
        <v>6</v>
      </c>
      <c r="X337" s="17">
        <v>45818</v>
      </c>
      <c r="Y337" s="17">
        <v>45821</v>
      </c>
      <c r="Z337" s="45">
        <v>6</v>
      </c>
      <c r="AA337">
        <v>2025</v>
      </c>
      <c r="AB337" s="42">
        <v>1390200</v>
      </c>
      <c r="AC337" s="42">
        <v>1390200</v>
      </c>
    </row>
    <row r="338" spans="1:29">
      <c r="A338" t="s">
        <v>45</v>
      </c>
      <c r="B338" t="s">
        <v>46</v>
      </c>
      <c r="C338" t="s">
        <v>47</v>
      </c>
      <c r="D338" t="s">
        <v>395</v>
      </c>
      <c r="E338" t="s">
        <v>49</v>
      </c>
      <c r="F338" t="s">
        <v>67</v>
      </c>
      <c r="G338" t="s">
        <v>51</v>
      </c>
      <c r="H338" s="17" t="s">
        <v>52</v>
      </c>
      <c r="I338" t="s">
        <v>53</v>
      </c>
      <c r="J338" t="s">
        <v>110</v>
      </c>
      <c r="K338">
        <v>1</v>
      </c>
      <c r="L338" t="s">
        <v>55</v>
      </c>
      <c r="M338" t="s">
        <v>56</v>
      </c>
      <c r="N338" t="s">
        <v>57</v>
      </c>
      <c r="O338" s="18" t="s">
        <v>58</v>
      </c>
      <c r="P338" s="18" t="s">
        <v>72</v>
      </c>
      <c r="Q338" s="17" t="s">
        <v>390</v>
      </c>
      <c r="R338" s="18" t="s">
        <v>391</v>
      </c>
      <c r="S338" s="32">
        <v>60</v>
      </c>
      <c r="T338" s="19">
        <v>60</v>
      </c>
      <c r="U338" s="17" t="s">
        <v>113</v>
      </c>
      <c r="V338" s="17">
        <v>45814</v>
      </c>
      <c r="W338" s="18">
        <v>6</v>
      </c>
      <c r="X338" s="17">
        <v>45818</v>
      </c>
      <c r="Y338" s="17">
        <v>45821</v>
      </c>
      <c r="Z338" s="45">
        <v>6</v>
      </c>
      <c r="AA338">
        <v>2025</v>
      </c>
      <c r="AB338" s="42">
        <v>393180</v>
      </c>
      <c r="AC338" s="42">
        <v>393180</v>
      </c>
    </row>
    <row r="339" spans="1:29">
      <c r="A339" t="s">
        <v>45</v>
      </c>
      <c r="B339" t="s">
        <v>46</v>
      </c>
      <c r="C339" t="s">
        <v>47</v>
      </c>
      <c r="D339" t="s">
        <v>396</v>
      </c>
      <c r="E339" t="s">
        <v>49</v>
      </c>
      <c r="F339" t="s">
        <v>50</v>
      </c>
      <c r="G339" t="s">
        <v>51</v>
      </c>
      <c r="H339" s="17" t="s">
        <v>58</v>
      </c>
      <c r="I339" t="s">
        <v>53</v>
      </c>
      <c r="J339" t="s">
        <v>224</v>
      </c>
      <c r="K339">
        <v>1</v>
      </c>
      <c r="L339" t="s">
        <v>55</v>
      </c>
      <c r="M339" t="s">
        <v>56</v>
      </c>
      <c r="N339" t="s">
        <v>57</v>
      </c>
      <c r="O339" s="18" t="s">
        <v>58</v>
      </c>
      <c r="P339" s="18" t="s">
        <v>68</v>
      </c>
      <c r="Q339" s="17" t="s">
        <v>225</v>
      </c>
      <c r="R339" s="18" t="s">
        <v>226</v>
      </c>
      <c r="S339" s="32">
        <v>300</v>
      </c>
      <c r="T339" s="19">
        <v>0</v>
      </c>
      <c r="U339" s="17" t="s">
        <v>227</v>
      </c>
      <c r="V339" s="17">
        <v>45814</v>
      </c>
      <c r="W339" s="18">
        <v>6</v>
      </c>
      <c r="X339" s="17">
        <v>45814</v>
      </c>
      <c r="Z339" s="45">
        <v>6</v>
      </c>
      <c r="AA339">
        <v>2025</v>
      </c>
      <c r="AB339" s="42">
        <v>3628800</v>
      </c>
      <c r="AC339" s="42">
        <v>0</v>
      </c>
    </row>
    <row r="340" spans="1:29">
      <c r="A340" t="s">
        <v>45</v>
      </c>
      <c r="B340" t="s">
        <v>46</v>
      </c>
      <c r="C340" t="s">
        <v>47</v>
      </c>
      <c r="D340" t="s">
        <v>396</v>
      </c>
      <c r="E340" t="s">
        <v>49</v>
      </c>
      <c r="F340" t="s">
        <v>63</v>
      </c>
      <c r="G340" t="s">
        <v>51</v>
      </c>
      <c r="H340" s="17" t="s">
        <v>58</v>
      </c>
      <c r="I340" t="s">
        <v>53</v>
      </c>
      <c r="J340" t="s">
        <v>224</v>
      </c>
      <c r="K340">
        <v>1</v>
      </c>
      <c r="L340" t="s">
        <v>55</v>
      </c>
      <c r="M340" t="s">
        <v>56</v>
      </c>
      <c r="N340" t="s">
        <v>57</v>
      </c>
      <c r="O340" s="18" t="s">
        <v>58</v>
      </c>
      <c r="P340" s="18" t="s">
        <v>99</v>
      </c>
      <c r="Q340" s="17" t="s">
        <v>100</v>
      </c>
      <c r="R340" s="18" t="s">
        <v>101</v>
      </c>
      <c r="S340" s="32">
        <v>300</v>
      </c>
      <c r="T340" s="19">
        <v>0</v>
      </c>
      <c r="U340" s="17" t="s">
        <v>62</v>
      </c>
      <c r="V340" s="17">
        <v>45814</v>
      </c>
      <c r="W340" s="18">
        <v>6</v>
      </c>
      <c r="X340" s="17">
        <v>45814</v>
      </c>
      <c r="Z340" s="45">
        <v>6</v>
      </c>
      <c r="AA340">
        <v>2025</v>
      </c>
      <c r="AB340" s="42">
        <v>1080000</v>
      </c>
      <c r="AC340" s="42">
        <v>0</v>
      </c>
    </row>
    <row r="341" spans="1:29">
      <c r="A341" t="s">
        <v>45</v>
      </c>
      <c r="B341" t="s">
        <v>46</v>
      </c>
      <c r="C341" t="s">
        <v>47</v>
      </c>
      <c r="D341" t="s">
        <v>397</v>
      </c>
      <c r="E341" t="s">
        <v>49</v>
      </c>
      <c r="F341" t="s">
        <v>50</v>
      </c>
      <c r="G341" t="s">
        <v>51</v>
      </c>
      <c r="H341" s="17" t="s">
        <v>52</v>
      </c>
      <c r="I341" t="s">
        <v>53</v>
      </c>
      <c r="J341" t="s">
        <v>136</v>
      </c>
      <c r="K341">
        <v>1</v>
      </c>
      <c r="L341" t="s">
        <v>55</v>
      </c>
      <c r="M341" t="s">
        <v>56</v>
      </c>
      <c r="N341" t="s">
        <v>57</v>
      </c>
      <c r="O341" s="18" t="s">
        <v>58</v>
      </c>
      <c r="P341" s="18" t="s">
        <v>86</v>
      </c>
      <c r="Q341" s="17" t="s">
        <v>379</v>
      </c>
      <c r="R341" s="18" t="s">
        <v>380</v>
      </c>
      <c r="S341" s="32">
        <v>41</v>
      </c>
      <c r="T341" s="19">
        <v>41</v>
      </c>
      <c r="U341" s="17" t="s">
        <v>62</v>
      </c>
      <c r="V341" s="17">
        <v>45817</v>
      </c>
      <c r="W341" s="18">
        <v>6</v>
      </c>
      <c r="X341" s="17">
        <v>45818</v>
      </c>
      <c r="Y341" s="17">
        <v>45827</v>
      </c>
      <c r="Z341" s="45">
        <v>6</v>
      </c>
      <c r="AA341">
        <v>2025</v>
      </c>
      <c r="AB341" s="42">
        <v>1886615</v>
      </c>
      <c r="AC341" s="42">
        <v>1886615</v>
      </c>
    </row>
    <row r="342" spans="1:29">
      <c r="A342" t="s">
        <v>45</v>
      </c>
      <c r="B342" t="s">
        <v>46</v>
      </c>
      <c r="C342" t="s">
        <v>47</v>
      </c>
      <c r="D342" t="s">
        <v>397</v>
      </c>
      <c r="E342" t="s">
        <v>49</v>
      </c>
      <c r="F342" t="s">
        <v>63</v>
      </c>
      <c r="G342" t="s">
        <v>51</v>
      </c>
      <c r="H342" s="17" t="s">
        <v>52</v>
      </c>
      <c r="I342" t="s">
        <v>53</v>
      </c>
      <c r="J342" t="s">
        <v>136</v>
      </c>
      <c r="K342">
        <v>1</v>
      </c>
      <c r="L342" t="s">
        <v>55</v>
      </c>
      <c r="M342" t="s">
        <v>56</v>
      </c>
      <c r="N342" t="s">
        <v>57</v>
      </c>
      <c r="O342" s="18" t="s">
        <v>58</v>
      </c>
      <c r="P342" s="18" t="s">
        <v>297</v>
      </c>
      <c r="Q342" s="17" t="s">
        <v>398</v>
      </c>
      <c r="R342" s="18" t="s">
        <v>399</v>
      </c>
      <c r="S342" s="32">
        <v>2</v>
      </c>
      <c r="T342" s="19">
        <v>2</v>
      </c>
      <c r="U342" s="17" t="s">
        <v>62</v>
      </c>
      <c r="V342" s="17">
        <v>45817</v>
      </c>
      <c r="W342" s="18">
        <v>6</v>
      </c>
      <c r="X342" s="17">
        <v>45818</v>
      </c>
      <c r="Y342" s="17">
        <v>45827</v>
      </c>
      <c r="Z342" s="45">
        <v>6</v>
      </c>
      <c r="AA342">
        <v>2025</v>
      </c>
      <c r="AB342" s="42">
        <v>207098</v>
      </c>
      <c r="AC342" s="42">
        <v>207098</v>
      </c>
    </row>
    <row r="343" spans="1:29">
      <c r="A343" t="s">
        <v>45</v>
      </c>
      <c r="B343" t="s">
        <v>46</v>
      </c>
      <c r="C343" t="s">
        <v>47</v>
      </c>
      <c r="D343" t="s">
        <v>397</v>
      </c>
      <c r="E343" t="s">
        <v>49</v>
      </c>
      <c r="F343" t="s">
        <v>67</v>
      </c>
      <c r="G343" t="s">
        <v>51</v>
      </c>
      <c r="H343" s="17" t="s">
        <v>52</v>
      </c>
      <c r="I343" t="s">
        <v>53</v>
      </c>
      <c r="J343" t="s">
        <v>136</v>
      </c>
      <c r="K343">
        <v>1</v>
      </c>
      <c r="L343" t="s">
        <v>55</v>
      </c>
      <c r="M343" t="s">
        <v>56</v>
      </c>
      <c r="N343" t="s">
        <v>57</v>
      </c>
      <c r="O343" s="18" t="s">
        <v>58</v>
      </c>
      <c r="P343" s="18" t="s">
        <v>297</v>
      </c>
      <c r="Q343" s="17" t="s">
        <v>300</v>
      </c>
      <c r="R343" s="18" t="s">
        <v>301</v>
      </c>
      <c r="S343" s="32">
        <v>5</v>
      </c>
      <c r="T343" s="19">
        <v>5</v>
      </c>
      <c r="U343" s="17" t="s">
        <v>62</v>
      </c>
      <c r="V343" s="17">
        <v>45817</v>
      </c>
      <c r="W343" s="18">
        <v>6</v>
      </c>
      <c r="X343" s="17">
        <v>45818</v>
      </c>
      <c r="Y343" s="17">
        <v>45827</v>
      </c>
      <c r="Z343" s="45">
        <v>6</v>
      </c>
      <c r="AA343">
        <v>2025</v>
      </c>
      <c r="AB343" s="42">
        <v>380015</v>
      </c>
      <c r="AC343" s="42">
        <v>380015</v>
      </c>
    </row>
    <row r="344" spans="1:29">
      <c r="A344" t="s">
        <v>45</v>
      </c>
      <c r="B344" t="s">
        <v>46</v>
      </c>
      <c r="C344" t="s">
        <v>47</v>
      </c>
      <c r="D344" t="s">
        <v>397</v>
      </c>
      <c r="E344" t="s">
        <v>49</v>
      </c>
      <c r="F344" t="s">
        <v>71</v>
      </c>
      <c r="G344" t="s">
        <v>51</v>
      </c>
      <c r="H344" s="17" t="s">
        <v>52</v>
      </c>
      <c r="I344" t="s">
        <v>53</v>
      </c>
      <c r="J344" t="s">
        <v>136</v>
      </c>
      <c r="K344">
        <v>1</v>
      </c>
      <c r="L344" t="s">
        <v>55</v>
      </c>
      <c r="M344" t="s">
        <v>56</v>
      </c>
      <c r="N344" t="s">
        <v>57</v>
      </c>
      <c r="O344" s="18" t="s">
        <v>58</v>
      </c>
      <c r="P344" s="18" t="s">
        <v>297</v>
      </c>
      <c r="Q344" s="17" t="s">
        <v>359</v>
      </c>
      <c r="R344" s="18" t="s">
        <v>360</v>
      </c>
      <c r="S344" s="32">
        <v>4</v>
      </c>
      <c r="T344" s="19">
        <v>4</v>
      </c>
      <c r="U344" s="17" t="s">
        <v>62</v>
      </c>
      <c r="V344" s="17">
        <v>45817</v>
      </c>
      <c r="W344" s="18">
        <v>6</v>
      </c>
      <c r="X344" s="17">
        <v>45818</v>
      </c>
      <c r="Y344" s="17">
        <v>45827</v>
      </c>
      <c r="Z344" s="45">
        <v>6</v>
      </c>
      <c r="AA344">
        <v>2025</v>
      </c>
      <c r="AB344" s="42">
        <v>244140</v>
      </c>
      <c r="AC344" s="42">
        <v>244140</v>
      </c>
    </row>
    <row r="345" spans="1:29">
      <c r="A345" t="s">
        <v>45</v>
      </c>
      <c r="B345" t="s">
        <v>46</v>
      </c>
      <c r="C345" t="s">
        <v>47</v>
      </c>
      <c r="D345" t="s">
        <v>397</v>
      </c>
      <c r="E345" t="s">
        <v>49</v>
      </c>
      <c r="F345" t="s">
        <v>75</v>
      </c>
      <c r="G345" t="s">
        <v>51</v>
      </c>
      <c r="H345" s="17" t="s">
        <v>52</v>
      </c>
      <c r="I345" t="s">
        <v>53</v>
      </c>
      <c r="J345" t="s">
        <v>136</v>
      </c>
      <c r="K345">
        <v>1</v>
      </c>
      <c r="L345" t="s">
        <v>55</v>
      </c>
      <c r="M345" t="s">
        <v>56</v>
      </c>
      <c r="N345" t="s">
        <v>57</v>
      </c>
      <c r="O345" s="18" t="s">
        <v>58</v>
      </c>
      <c r="P345" s="18" t="s">
        <v>297</v>
      </c>
      <c r="Q345" s="17" t="s">
        <v>302</v>
      </c>
      <c r="R345" s="18" t="s">
        <v>303</v>
      </c>
      <c r="S345" s="32">
        <v>1</v>
      </c>
      <c r="T345" s="19">
        <v>1</v>
      </c>
      <c r="U345" s="17" t="s">
        <v>62</v>
      </c>
      <c r="V345" s="17">
        <v>45817</v>
      </c>
      <c r="W345" s="18">
        <v>6</v>
      </c>
      <c r="X345" s="17">
        <v>45818</v>
      </c>
      <c r="Y345" s="17">
        <v>45827</v>
      </c>
      <c r="Z345" s="45">
        <v>6</v>
      </c>
      <c r="AA345">
        <v>2025</v>
      </c>
      <c r="AB345" s="42">
        <v>100026</v>
      </c>
      <c r="AC345" s="42">
        <v>100026</v>
      </c>
    </row>
    <row r="346" spans="1:29">
      <c r="A346" t="s">
        <v>45</v>
      </c>
      <c r="B346" t="s">
        <v>46</v>
      </c>
      <c r="C346" t="s">
        <v>47</v>
      </c>
      <c r="D346" t="s">
        <v>400</v>
      </c>
      <c r="E346" t="s">
        <v>49</v>
      </c>
      <c r="F346" t="s">
        <v>50</v>
      </c>
      <c r="G346" t="s">
        <v>51</v>
      </c>
      <c r="H346" s="17" t="s">
        <v>52</v>
      </c>
      <c r="I346" t="s">
        <v>53</v>
      </c>
      <c r="J346" t="s">
        <v>224</v>
      </c>
      <c r="K346">
        <v>1</v>
      </c>
      <c r="L346" t="s">
        <v>55</v>
      </c>
      <c r="M346" t="s">
        <v>56</v>
      </c>
      <c r="N346" t="s">
        <v>57</v>
      </c>
      <c r="O346" s="18" t="s">
        <v>58</v>
      </c>
      <c r="P346" s="18" t="s">
        <v>68</v>
      </c>
      <c r="Q346" s="17" t="s">
        <v>225</v>
      </c>
      <c r="R346" s="18" t="s">
        <v>226</v>
      </c>
      <c r="S346" s="32">
        <v>600</v>
      </c>
      <c r="T346" s="19">
        <v>600</v>
      </c>
      <c r="U346" s="17" t="s">
        <v>227</v>
      </c>
      <c r="V346" s="17">
        <v>45818</v>
      </c>
      <c r="W346" s="18">
        <v>6</v>
      </c>
      <c r="X346" s="17">
        <v>45819</v>
      </c>
      <c r="Y346" s="17">
        <v>45832</v>
      </c>
      <c r="Z346" s="45">
        <v>6</v>
      </c>
      <c r="AA346">
        <v>2025</v>
      </c>
      <c r="AB346" s="42">
        <v>7257600</v>
      </c>
      <c r="AC346" s="42">
        <v>7257600</v>
      </c>
    </row>
    <row r="347" spans="1:29">
      <c r="A347" t="s">
        <v>45</v>
      </c>
      <c r="B347" t="s">
        <v>46</v>
      </c>
      <c r="C347" t="s">
        <v>47</v>
      </c>
      <c r="D347" t="s">
        <v>400</v>
      </c>
      <c r="E347" t="s">
        <v>49</v>
      </c>
      <c r="F347" t="s">
        <v>63</v>
      </c>
      <c r="G347" t="s">
        <v>51</v>
      </c>
      <c r="H347" s="17" t="s">
        <v>52</v>
      </c>
      <c r="I347" t="s">
        <v>53</v>
      </c>
      <c r="J347" t="s">
        <v>224</v>
      </c>
      <c r="K347">
        <v>1</v>
      </c>
      <c r="L347" t="s">
        <v>55</v>
      </c>
      <c r="M347" t="s">
        <v>56</v>
      </c>
      <c r="N347" t="s">
        <v>57</v>
      </c>
      <c r="O347" s="18" t="s">
        <v>58</v>
      </c>
      <c r="P347" s="18" t="s">
        <v>99</v>
      </c>
      <c r="Q347" s="17" t="s">
        <v>100</v>
      </c>
      <c r="R347" s="18" t="s">
        <v>101</v>
      </c>
      <c r="S347" s="32">
        <v>600</v>
      </c>
      <c r="T347" s="19">
        <v>600</v>
      </c>
      <c r="U347" s="17" t="s">
        <v>62</v>
      </c>
      <c r="V347" s="17">
        <v>45818</v>
      </c>
      <c r="W347" s="18">
        <v>6</v>
      </c>
      <c r="X347" s="17">
        <v>45819</v>
      </c>
      <c r="Y347" s="17">
        <v>45832</v>
      </c>
      <c r="Z347" s="45">
        <v>6</v>
      </c>
      <c r="AA347">
        <v>2025</v>
      </c>
      <c r="AB347" s="42">
        <v>2400</v>
      </c>
      <c r="AC347" s="42">
        <v>2400</v>
      </c>
    </row>
    <row r="348" spans="1:29">
      <c r="A348" t="s">
        <v>45</v>
      </c>
      <c r="B348" t="s">
        <v>46</v>
      </c>
      <c r="C348" t="s">
        <v>47</v>
      </c>
      <c r="D348" t="s">
        <v>401</v>
      </c>
      <c r="E348" t="s">
        <v>49</v>
      </c>
      <c r="F348" t="s">
        <v>50</v>
      </c>
      <c r="G348" t="s">
        <v>51</v>
      </c>
      <c r="H348" s="17" t="s">
        <v>52</v>
      </c>
      <c r="I348" t="s">
        <v>53</v>
      </c>
      <c r="J348" t="s">
        <v>54</v>
      </c>
      <c r="K348">
        <v>1</v>
      </c>
      <c r="L348" t="s">
        <v>55</v>
      </c>
      <c r="M348" t="s">
        <v>56</v>
      </c>
      <c r="N348" t="s">
        <v>57</v>
      </c>
      <c r="O348" s="18" t="s">
        <v>58</v>
      </c>
      <c r="P348" s="18" t="s">
        <v>402</v>
      </c>
      <c r="Q348" s="17" t="s">
        <v>403</v>
      </c>
      <c r="R348" s="18" t="s">
        <v>404</v>
      </c>
      <c r="S348" s="32">
        <v>1566</v>
      </c>
      <c r="T348" s="19">
        <v>1566</v>
      </c>
      <c r="U348" s="17" t="s">
        <v>62</v>
      </c>
      <c r="V348" s="17">
        <v>45763</v>
      </c>
      <c r="W348" s="18">
        <v>4</v>
      </c>
      <c r="X348" s="17">
        <v>45826</v>
      </c>
      <c r="Y348" s="17">
        <v>45834</v>
      </c>
      <c r="Z348" s="45">
        <v>6</v>
      </c>
      <c r="AA348">
        <v>2025</v>
      </c>
      <c r="AB348" s="42">
        <v>12642318</v>
      </c>
      <c r="AC348" s="42">
        <v>12642318</v>
      </c>
    </row>
    <row r="349" spans="1:29">
      <c r="A349" t="s">
        <v>45</v>
      </c>
      <c r="B349" t="s">
        <v>46</v>
      </c>
      <c r="C349" t="s">
        <v>47</v>
      </c>
      <c r="D349" t="s">
        <v>401</v>
      </c>
      <c r="E349" t="s">
        <v>49</v>
      </c>
      <c r="F349" t="s">
        <v>63</v>
      </c>
      <c r="G349" t="s">
        <v>51</v>
      </c>
      <c r="H349" s="17" t="s">
        <v>52</v>
      </c>
      <c r="I349" t="s">
        <v>53</v>
      </c>
      <c r="J349" t="s">
        <v>54</v>
      </c>
      <c r="K349">
        <v>1</v>
      </c>
      <c r="L349" t="s">
        <v>55</v>
      </c>
      <c r="M349" t="s">
        <v>56</v>
      </c>
      <c r="N349" t="s">
        <v>57</v>
      </c>
      <c r="O349" s="18" t="s">
        <v>58</v>
      </c>
      <c r="P349" s="18" t="s">
        <v>99</v>
      </c>
      <c r="Q349" s="17" t="s">
        <v>100</v>
      </c>
      <c r="R349" s="18" t="s">
        <v>101</v>
      </c>
      <c r="S349" s="32">
        <v>1566</v>
      </c>
      <c r="T349" s="19">
        <v>1566</v>
      </c>
      <c r="U349" s="17" t="s">
        <v>62</v>
      </c>
      <c r="V349" s="17">
        <v>45763</v>
      </c>
      <c r="W349" s="18">
        <v>4</v>
      </c>
      <c r="X349" s="17">
        <v>45826</v>
      </c>
      <c r="Y349" s="17">
        <v>45834</v>
      </c>
      <c r="Z349" s="45">
        <v>6</v>
      </c>
      <c r="AA349">
        <v>2025</v>
      </c>
      <c r="AB349" s="42">
        <v>447876</v>
      </c>
      <c r="AC349" s="42">
        <v>447876</v>
      </c>
    </row>
    <row r="350" spans="1:29">
      <c r="A350" t="s">
        <v>45</v>
      </c>
      <c r="B350" t="s">
        <v>46</v>
      </c>
      <c r="C350" t="s">
        <v>47</v>
      </c>
      <c r="D350" t="s">
        <v>405</v>
      </c>
      <c r="E350" t="s">
        <v>49</v>
      </c>
      <c r="F350" t="s">
        <v>75</v>
      </c>
      <c r="G350" t="s">
        <v>51</v>
      </c>
      <c r="H350" s="17" t="s">
        <v>52</v>
      </c>
      <c r="I350" t="s">
        <v>53</v>
      </c>
      <c r="J350" t="s">
        <v>54</v>
      </c>
      <c r="K350">
        <v>1</v>
      </c>
      <c r="L350" t="s">
        <v>55</v>
      </c>
      <c r="M350" t="s">
        <v>56</v>
      </c>
      <c r="N350" t="s">
        <v>57</v>
      </c>
      <c r="O350" s="18" t="s">
        <v>58</v>
      </c>
      <c r="P350" s="18" t="s">
        <v>86</v>
      </c>
      <c r="Q350" s="17" t="s">
        <v>406</v>
      </c>
      <c r="R350" s="18" t="s">
        <v>407</v>
      </c>
      <c r="S350" s="32">
        <v>301</v>
      </c>
      <c r="T350" s="19">
        <v>237</v>
      </c>
      <c r="U350" s="17" t="s">
        <v>62</v>
      </c>
      <c r="V350" s="17">
        <v>45791</v>
      </c>
      <c r="W350" s="18">
        <v>5</v>
      </c>
      <c r="X350" s="17">
        <v>45883</v>
      </c>
      <c r="Y350" s="17">
        <v>45812</v>
      </c>
      <c r="Z350" s="45">
        <v>6</v>
      </c>
      <c r="AA350">
        <v>2025</v>
      </c>
      <c r="AB350" s="42">
        <v>4581822</v>
      </c>
      <c r="AC350" s="42">
        <v>3607614</v>
      </c>
    </row>
    <row r="351" spans="1:29">
      <c r="A351" t="s">
        <v>45</v>
      </c>
      <c r="B351" t="s">
        <v>46</v>
      </c>
      <c r="C351" t="s">
        <v>47</v>
      </c>
      <c r="D351" t="s">
        <v>405</v>
      </c>
      <c r="E351" t="s">
        <v>49</v>
      </c>
      <c r="F351" t="s">
        <v>98</v>
      </c>
      <c r="G351" t="s">
        <v>51</v>
      </c>
      <c r="H351" s="17" t="s">
        <v>52</v>
      </c>
      <c r="I351" t="s">
        <v>53</v>
      </c>
      <c r="J351" t="s">
        <v>54</v>
      </c>
      <c r="K351">
        <v>1</v>
      </c>
      <c r="L351" t="s">
        <v>55</v>
      </c>
      <c r="M351" t="s">
        <v>56</v>
      </c>
      <c r="N351" t="s">
        <v>57</v>
      </c>
      <c r="O351" s="18" t="s">
        <v>58</v>
      </c>
      <c r="P351" s="18" t="s">
        <v>72</v>
      </c>
      <c r="Q351" s="17" t="s">
        <v>408</v>
      </c>
      <c r="R351" s="18" t="s">
        <v>393</v>
      </c>
      <c r="S351" s="32">
        <v>1003</v>
      </c>
      <c r="T351" s="19">
        <v>870</v>
      </c>
      <c r="U351" s="17" t="s">
        <v>62</v>
      </c>
      <c r="V351" s="17">
        <v>45791</v>
      </c>
      <c r="W351" s="18">
        <v>5</v>
      </c>
      <c r="X351" s="17">
        <v>45883</v>
      </c>
      <c r="Y351" s="17">
        <v>45812</v>
      </c>
      <c r="Z351" s="45">
        <v>6</v>
      </c>
      <c r="AA351">
        <v>2025</v>
      </c>
      <c r="AB351" s="42">
        <v>5610782</v>
      </c>
      <c r="AC351" s="42">
        <v>4866780</v>
      </c>
    </row>
    <row r="352" spans="1:29">
      <c r="A352" t="s">
        <v>45</v>
      </c>
      <c r="B352" t="s">
        <v>46</v>
      </c>
      <c r="C352" t="s">
        <v>47</v>
      </c>
      <c r="D352" t="s">
        <v>409</v>
      </c>
      <c r="E352" t="s">
        <v>115</v>
      </c>
      <c r="F352" t="s">
        <v>50</v>
      </c>
      <c r="G352" t="s">
        <v>116</v>
      </c>
      <c r="H352" s="17" t="s">
        <v>52</v>
      </c>
      <c r="I352" t="s">
        <v>53</v>
      </c>
      <c r="J352" t="s">
        <v>110</v>
      </c>
      <c r="K352">
        <v>1</v>
      </c>
      <c r="L352" t="s">
        <v>55</v>
      </c>
      <c r="M352" t="s">
        <v>56</v>
      </c>
      <c r="N352" t="s">
        <v>57</v>
      </c>
      <c r="O352" s="18" t="s">
        <v>58</v>
      </c>
      <c r="P352" s="18" t="s">
        <v>72</v>
      </c>
      <c r="Q352" s="17" t="s">
        <v>122</v>
      </c>
      <c r="R352" s="18" t="s">
        <v>372</v>
      </c>
      <c r="S352" s="32">
        <v>4</v>
      </c>
      <c r="T352" s="19">
        <v>4</v>
      </c>
      <c r="U352" s="17" t="s">
        <v>119</v>
      </c>
      <c r="V352" s="17">
        <v>45817</v>
      </c>
      <c r="W352" s="18">
        <v>6</v>
      </c>
      <c r="X352" s="17">
        <v>45827</v>
      </c>
      <c r="Y352" s="17">
        <v>45826</v>
      </c>
      <c r="Z352" s="45">
        <v>6</v>
      </c>
      <c r="AA352">
        <v>2025</v>
      </c>
      <c r="AB352" s="42">
        <v>1405320</v>
      </c>
      <c r="AC352" s="42">
        <v>1405320</v>
      </c>
    </row>
    <row r="353" spans="1:29">
      <c r="A353" t="s">
        <v>45</v>
      </c>
      <c r="B353" t="s">
        <v>46</v>
      </c>
      <c r="C353" t="s">
        <v>47</v>
      </c>
      <c r="D353" t="s">
        <v>409</v>
      </c>
      <c r="E353" t="s">
        <v>115</v>
      </c>
      <c r="F353" t="s">
        <v>63</v>
      </c>
      <c r="G353" t="s">
        <v>116</v>
      </c>
      <c r="H353" s="17" t="s">
        <v>52</v>
      </c>
      <c r="I353" t="s">
        <v>53</v>
      </c>
      <c r="J353" t="s">
        <v>110</v>
      </c>
      <c r="K353">
        <v>1</v>
      </c>
      <c r="L353" t="s">
        <v>55</v>
      </c>
      <c r="M353" t="s">
        <v>56</v>
      </c>
      <c r="N353" t="s">
        <v>57</v>
      </c>
      <c r="O353" s="18" t="s">
        <v>58</v>
      </c>
      <c r="P353" s="18" t="s">
        <v>72</v>
      </c>
      <c r="Q353" s="17" t="s">
        <v>117</v>
      </c>
      <c r="R353" s="18" t="s">
        <v>393</v>
      </c>
      <c r="S353" s="32">
        <v>4</v>
      </c>
      <c r="T353" s="19">
        <v>4</v>
      </c>
      <c r="U353" s="17" t="s">
        <v>119</v>
      </c>
      <c r="V353" s="17">
        <v>45817</v>
      </c>
      <c r="W353" s="18">
        <v>6</v>
      </c>
      <c r="X353" s="17">
        <v>45827</v>
      </c>
      <c r="Y353" s="17">
        <v>45826</v>
      </c>
      <c r="Z353" s="45">
        <v>6</v>
      </c>
      <c r="AA353">
        <v>2025</v>
      </c>
      <c r="AB353" s="42">
        <v>1406000</v>
      </c>
      <c r="AC353" s="42">
        <v>1406000</v>
      </c>
    </row>
    <row r="354" spans="1:29">
      <c r="A354" t="s">
        <v>45</v>
      </c>
      <c r="B354" t="s">
        <v>46</v>
      </c>
      <c r="C354" t="s">
        <v>47</v>
      </c>
      <c r="D354" t="s">
        <v>410</v>
      </c>
      <c r="E354" t="s">
        <v>115</v>
      </c>
      <c r="F354" t="s">
        <v>50</v>
      </c>
      <c r="G354" t="s">
        <v>116</v>
      </c>
      <c r="H354" s="17" t="s">
        <v>52</v>
      </c>
      <c r="I354" t="s">
        <v>53</v>
      </c>
      <c r="J354" t="s">
        <v>121</v>
      </c>
      <c r="K354">
        <v>1</v>
      </c>
      <c r="L354" t="s">
        <v>55</v>
      </c>
      <c r="M354" t="s">
        <v>56</v>
      </c>
      <c r="N354" t="s">
        <v>57</v>
      </c>
      <c r="O354" s="18" t="s">
        <v>58</v>
      </c>
      <c r="P354" s="18" t="s">
        <v>72</v>
      </c>
      <c r="Q354" s="17" t="s">
        <v>145</v>
      </c>
      <c r="R354" s="18" t="s">
        <v>411</v>
      </c>
      <c r="S354" s="32">
        <v>1</v>
      </c>
      <c r="T354" s="19">
        <v>1</v>
      </c>
      <c r="U354" s="17" t="s">
        <v>119</v>
      </c>
      <c r="V354" s="17">
        <v>45817</v>
      </c>
      <c r="W354" s="18">
        <v>6</v>
      </c>
      <c r="X354" s="17">
        <v>45835</v>
      </c>
      <c r="Y354" s="17">
        <v>45833</v>
      </c>
      <c r="Z354" s="45">
        <v>6</v>
      </c>
      <c r="AA354">
        <v>2025</v>
      </c>
      <c r="AB354" s="42">
        <v>732480</v>
      </c>
      <c r="AC354" s="42">
        <v>732480</v>
      </c>
    </row>
    <row r="355" spans="1:29">
      <c r="A355" t="s">
        <v>45</v>
      </c>
      <c r="B355" t="s">
        <v>46</v>
      </c>
      <c r="C355" t="s">
        <v>47</v>
      </c>
      <c r="D355" t="s">
        <v>410</v>
      </c>
      <c r="E355" t="s">
        <v>115</v>
      </c>
      <c r="F355" t="s">
        <v>63</v>
      </c>
      <c r="G355" t="s">
        <v>116</v>
      </c>
      <c r="H355" s="17" t="s">
        <v>52</v>
      </c>
      <c r="I355" t="s">
        <v>53</v>
      </c>
      <c r="J355" t="s">
        <v>121</v>
      </c>
      <c r="K355">
        <v>1</v>
      </c>
      <c r="L355" t="s">
        <v>55</v>
      </c>
      <c r="M355" t="s">
        <v>56</v>
      </c>
      <c r="N355" t="s">
        <v>57</v>
      </c>
      <c r="O355" s="18" t="s">
        <v>58</v>
      </c>
      <c r="P355" s="18" t="s">
        <v>72</v>
      </c>
      <c r="Q355" s="17" t="s">
        <v>122</v>
      </c>
      <c r="R355" s="18" t="s">
        <v>372</v>
      </c>
      <c r="S355" s="32">
        <v>5</v>
      </c>
      <c r="T355" s="19">
        <v>5</v>
      </c>
      <c r="U355" s="17" t="s">
        <v>119</v>
      </c>
      <c r="V355" s="17">
        <v>45817</v>
      </c>
      <c r="W355" s="18">
        <v>6</v>
      </c>
      <c r="X355" s="17">
        <v>45835</v>
      </c>
      <c r="Y355" s="17">
        <v>45833</v>
      </c>
      <c r="Z355" s="45">
        <v>6</v>
      </c>
      <c r="AA355">
        <v>2025</v>
      </c>
      <c r="AB355" s="42">
        <v>1756650</v>
      </c>
      <c r="AC355" s="42">
        <v>1756650</v>
      </c>
    </row>
    <row r="356" spans="1:29">
      <c r="A356" t="s">
        <v>45</v>
      </c>
      <c r="B356" t="s">
        <v>46</v>
      </c>
      <c r="C356" t="s">
        <v>47</v>
      </c>
      <c r="D356" t="s">
        <v>410</v>
      </c>
      <c r="E356" t="s">
        <v>115</v>
      </c>
      <c r="F356" t="s">
        <v>67</v>
      </c>
      <c r="G356" t="s">
        <v>116</v>
      </c>
      <c r="H356" s="17" t="s">
        <v>52</v>
      </c>
      <c r="I356" s="18" t="s">
        <v>53</v>
      </c>
      <c r="J356" s="18" t="s">
        <v>121</v>
      </c>
      <c r="K356" s="18">
        <v>1</v>
      </c>
      <c r="L356" t="s">
        <v>55</v>
      </c>
      <c r="M356" t="s">
        <v>56</v>
      </c>
      <c r="N356" t="s">
        <v>57</v>
      </c>
      <c r="O356" s="18" t="s">
        <v>58</v>
      </c>
      <c r="P356" s="18" t="s">
        <v>72</v>
      </c>
      <c r="Q356" s="17" t="s">
        <v>117</v>
      </c>
      <c r="R356" s="18" t="s">
        <v>393</v>
      </c>
      <c r="S356" s="32">
        <v>2</v>
      </c>
      <c r="T356" s="19">
        <v>2</v>
      </c>
      <c r="U356" s="17" t="s">
        <v>119</v>
      </c>
      <c r="V356" s="17">
        <v>45817</v>
      </c>
      <c r="W356" s="18">
        <v>6</v>
      </c>
      <c r="X356" s="17">
        <v>45835</v>
      </c>
      <c r="Y356" s="17">
        <v>45833</v>
      </c>
      <c r="Z356" s="45">
        <v>6</v>
      </c>
      <c r="AA356">
        <v>2025</v>
      </c>
      <c r="AB356" s="42">
        <v>703000</v>
      </c>
      <c r="AC356" s="42">
        <v>703000</v>
      </c>
    </row>
    <row r="357" spans="1:29">
      <c r="A357" t="s">
        <v>45</v>
      </c>
      <c r="B357" t="s">
        <v>46</v>
      </c>
      <c r="C357" t="s">
        <v>47</v>
      </c>
      <c r="D357" t="s">
        <v>412</v>
      </c>
      <c r="E357" t="s">
        <v>115</v>
      </c>
      <c r="F357" t="s">
        <v>50</v>
      </c>
      <c r="G357" t="s">
        <v>116</v>
      </c>
      <c r="H357" s="17" t="s">
        <v>52</v>
      </c>
      <c r="I357" t="s">
        <v>53</v>
      </c>
      <c r="J357" t="s">
        <v>125</v>
      </c>
      <c r="K357">
        <v>1</v>
      </c>
      <c r="L357" t="s">
        <v>55</v>
      </c>
      <c r="M357" t="s">
        <v>56</v>
      </c>
      <c r="N357" t="s">
        <v>57</v>
      </c>
      <c r="O357" s="18" t="s">
        <v>58</v>
      </c>
      <c r="P357" s="18" t="s">
        <v>72</v>
      </c>
      <c r="Q357" s="17" t="s">
        <v>122</v>
      </c>
      <c r="R357" s="18" t="s">
        <v>372</v>
      </c>
      <c r="S357" s="32">
        <v>4</v>
      </c>
      <c r="T357" s="19">
        <v>4</v>
      </c>
      <c r="U357" s="17" t="s">
        <v>119</v>
      </c>
      <c r="V357" s="17">
        <v>45817</v>
      </c>
      <c r="W357" s="18">
        <v>6</v>
      </c>
      <c r="X357" s="17">
        <v>45827</v>
      </c>
      <c r="Y357" s="17">
        <v>45827</v>
      </c>
      <c r="Z357" s="45">
        <v>6</v>
      </c>
      <c r="AA357">
        <v>2025</v>
      </c>
      <c r="AB357" s="42">
        <v>1405320</v>
      </c>
      <c r="AC357" s="42">
        <v>1405320</v>
      </c>
    </row>
    <row r="358" spans="1:29">
      <c r="A358" t="s">
        <v>45</v>
      </c>
      <c r="B358" t="s">
        <v>46</v>
      </c>
      <c r="C358" t="s">
        <v>47</v>
      </c>
      <c r="D358" t="s">
        <v>412</v>
      </c>
      <c r="E358" t="s">
        <v>115</v>
      </c>
      <c r="F358" t="s">
        <v>63</v>
      </c>
      <c r="G358" t="s">
        <v>116</v>
      </c>
      <c r="H358" s="17" t="s">
        <v>52</v>
      </c>
      <c r="I358" t="s">
        <v>53</v>
      </c>
      <c r="J358" t="s">
        <v>125</v>
      </c>
      <c r="K358">
        <v>1</v>
      </c>
      <c r="L358" t="s">
        <v>55</v>
      </c>
      <c r="M358" t="s">
        <v>56</v>
      </c>
      <c r="N358" t="s">
        <v>57</v>
      </c>
      <c r="O358" s="18" t="s">
        <v>58</v>
      </c>
      <c r="P358" s="18" t="s">
        <v>72</v>
      </c>
      <c r="Q358" s="17" t="s">
        <v>117</v>
      </c>
      <c r="R358" s="18" t="s">
        <v>393</v>
      </c>
      <c r="S358" s="32">
        <v>2</v>
      </c>
      <c r="T358" s="19">
        <v>2</v>
      </c>
      <c r="U358" s="17" t="s">
        <v>119</v>
      </c>
      <c r="V358" s="17">
        <v>45817</v>
      </c>
      <c r="W358" s="18">
        <v>6</v>
      </c>
      <c r="X358" s="17">
        <v>45827</v>
      </c>
      <c r="Y358" s="17">
        <v>45827</v>
      </c>
      <c r="Z358" s="45">
        <v>6</v>
      </c>
      <c r="AA358">
        <v>2025</v>
      </c>
      <c r="AB358" s="42">
        <v>703000</v>
      </c>
      <c r="AC358" s="42">
        <v>703000</v>
      </c>
    </row>
    <row r="359" spans="1:29">
      <c r="A359" t="s">
        <v>45</v>
      </c>
      <c r="B359" t="s">
        <v>46</v>
      </c>
      <c r="C359" t="s">
        <v>47</v>
      </c>
      <c r="D359" t="s">
        <v>413</v>
      </c>
      <c r="E359" t="s">
        <v>115</v>
      </c>
      <c r="F359" t="s">
        <v>50</v>
      </c>
      <c r="G359" t="s">
        <v>116</v>
      </c>
      <c r="H359" s="17" t="s">
        <v>52</v>
      </c>
      <c r="I359" t="s">
        <v>53</v>
      </c>
      <c r="J359" t="s">
        <v>110</v>
      </c>
      <c r="K359">
        <v>1</v>
      </c>
      <c r="L359" t="s">
        <v>55</v>
      </c>
      <c r="M359" t="s">
        <v>56</v>
      </c>
      <c r="N359" t="s">
        <v>57</v>
      </c>
      <c r="O359" s="18" t="s">
        <v>58</v>
      </c>
      <c r="P359" s="18" t="s">
        <v>72</v>
      </c>
      <c r="Q359" s="17" t="s">
        <v>122</v>
      </c>
      <c r="R359" s="18" t="s">
        <v>372</v>
      </c>
      <c r="S359" s="32">
        <v>4</v>
      </c>
      <c r="T359" s="19">
        <v>4</v>
      </c>
      <c r="U359" s="17" t="s">
        <v>119</v>
      </c>
      <c r="V359" s="17">
        <v>45821</v>
      </c>
      <c r="W359" s="18">
        <v>6</v>
      </c>
      <c r="X359" s="17">
        <v>45833</v>
      </c>
      <c r="Y359" s="17">
        <v>45833</v>
      </c>
      <c r="Z359" s="45">
        <v>6</v>
      </c>
      <c r="AA359">
        <v>2025</v>
      </c>
      <c r="AB359" s="42">
        <v>1405320</v>
      </c>
      <c r="AC359" s="42">
        <v>1405320</v>
      </c>
    </row>
    <row r="360" spans="1:29">
      <c r="A360" t="s">
        <v>45</v>
      </c>
      <c r="B360" t="s">
        <v>46</v>
      </c>
      <c r="C360" t="s">
        <v>47</v>
      </c>
      <c r="D360" t="s">
        <v>414</v>
      </c>
      <c r="E360" t="s">
        <v>115</v>
      </c>
      <c r="F360" t="s">
        <v>50</v>
      </c>
      <c r="G360" t="s">
        <v>116</v>
      </c>
      <c r="H360" s="17" t="s">
        <v>52</v>
      </c>
      <c r="I360" t="s">
        <v>53</v>
      </c>
      <c r="J360" t="s">
        <v>121</v>
      </c>
      <c r="K360">
        <v>1</v>
      </c>
      <c r="L360" t="s">
        <v>55</v>
      </c>
      <c r="M360" t="s">
        <v>56</v>
      </c>
      <c r="N360" t="s">
        <v>57</v>
      </c>
      <c r="O360" s="18" t="s">
        <v>58</v>
      </c>
      <c r="P360" s="18" t="s">
        <v>72</v>
      </c>
      <c r="Q360" s="17" t="s">
        <v>122</v>
      </c>
      <c r="R360" s="18" t="s">
        <v>372</v>
      </c>
      <c r="S360" s="32">
        <v>14</v>
      </c>
      <c r="T360" s="19">
        <v>14</v>
      </c>
      <c r="U360" s="17" t="s">
        <v>119</v>
      </c>
      <c r="V360" s="17">
        <v>45821</v>
      </c>
      <c r="W360" s="18">
        <v>6</v>
      </c>
      <c r="X360" s="17">
        <v>45835</v>
      </c>
      <c r="Y360" s="17">
        <v>45833</v>
      </c>
      <c r="Z360" s="45">
        <v>6</v>
      </c>
      <c r="AA360">
        <v>2025</v>
      </c>
      <c r="AB360" s="42">
        <v>4918620</v>
      </c>
      <c r="AC360" s="42">
        <v>4918620</v>
      </c>
    </row>
    <row r="361" spans="1:29">
      <c r="A361" t="s">
        <v>45</v>
      </c>
      <c r="B361" t="s">
        <v>46</v>
      </c>
      <c r="C361" t="s">
        <v>47</v>
      </c>
      <c r="D361" t="s">
        <v>414</v>
      </c>
      <c r="E361" t="s">
        <v>115</v>
      </c>
      <c r="F361" t="s">
        <v>63</v>
      </c>
      <c r="G361" t="s">
        <v>116</v>
      </c>
      <c r="H361" s="17" t="s">
        <v>52</v>
      </c>
      <c r="I361" t="s">
        <v>53</v>
      </c>
      <c r="J361" t="s">
        <v>121</v>
      </c>
      <c r="K361">
        <v>1</v>
      </c>
      <c r="L361" t="s">
        <v>55</v>
      </c>
      <c r="M361" t="s">
        <v>56</v>
      </c>
      <c r="N361" t="s">
        <v>57</v>
      </c>
      <c r="O361" s="18" t="s">
        <v>58</v>
      </c>
      <c r="P361" s="18" t="s">
        <v>72</v>
      </c>
      <c r="Q361" s="17" t="s">
        <v>117</v>
      </c>
      <c r="R361" s="18" t="s">
        <v>393</v>
      </c>
      <c r="S361" s="32">
        <v>3</v>
      </c>
      <c r="T361" s="19">
        <v>3</v>
      </c>
      <c r="U361" s="17" t="s">
        <v>119</v>
      </c>
      <c r="V361" s="17">
        <v>45821</v>
      </c>
      <c r="W361" s="18">
        <v>6</v>
      </c>
      <c r="X361" s="17">
        <v>45835</v>
      </c>
      <c r="Y361" s="17">
        <v>45833</v>
      </c>
      <c r="Z361" s="45">
        <v>6</v>
      </c>
      <c r="AA361">
        <v>2025</v>
      </c>
      <c r="AB361" s="42">
        <v>1054500</v>
      </c>
      <c r="AC361" s="42">
        <v>1054500</v>
      </c>
    </row>
    <row r="362" spans="1:29">
      <c r="A362" t="s">
        <v>45</v>
      </c>
      <c r="B362" t="s">
        <v>46</v>
      </c>
      <c r="C362" t="s">
        <v>47</v>
      </c>
      <c r="D362" t="s">
        <v>415</v>
      </c>
      <c r="E362" t="s">
        <v>115</v>
      </c>
      <c r="F362" t="s">
        <v>50</v>
      </c>
      <c r="G362" t="s">
        <v>116</v>
      </c>
      <c r="H362" s="17" t="s">
        <v>52</v>
      </c>
      <c r="I362" t="s">
        <v>53</v>
      </c>
      <c r="J362" t="s">
        <v>125</v>
      </c>
      <c r="K362">
        <v>1</v>
      </c>
      <c r="L362" t="s">
        <v>55</v>
      </c>
      <c r="M362" t="s">
        <v>56</v>
      </c>
      <c r="N362" t="s">
        <v>57</v>
      </c>
      <c r="O362" s="18" t="s">
        <v>58</v>
      </c>
      <c r="P362" s="18" t="s">
        <v>72</v>
      </c>
      <c r="Q362" s="17" t="s">
        <v>122</v>
      </c>
      <c r="R362" s="18" t="s">
        <v>372</v>
      </c>
      <c r="S362" s="32">
        <v>4</v>
      </c>
      <c r="T362" s="19">
        <v>4</v>
      </c>
      <c r="U362" s="17" t="s">
        <v>119</v>
      </c>
      <c r="V362" s="17">
        <v>45821</v>
      </c>
      <c r="W362" s="18">
        <v>6</v>
      </c>
      <c r="X362" s="17">
        <v>45833</v>
      </c>
      <c r="Y362" s="17">
        <v>45827</v>
      </c>
      <c r="Z362" s="45">
        <v>6</v>
      </c>
      <c r="AA362">
        <v>2025</v>
      </c>
      <c r="AB362" s="42">
        <v>1405320</v>
      </c>
      <c r="AC362" s="42">
        <v>1405320</v>
      </c>
    </row>
    <row r="363" spans="1:29">
      <c r="A363" t="s">
        <v>45</v>
      </c>
      <c r="B363" t="s">
        <v>46</v>
      </c>
      <c r="C363" t="s">
        <v>47</v>
      </c>
      <c r="D363" t="s">
        <v>415</v>
      </c>
      <c r="E363" t="s">
        <v>115</v>
      </c>
      <c r="F363" t="s">
        <v>63</v>
      </c>
      <c r="G363" t="s">
        <v>116</v>
      </c>
      <c r="H363" s="17" t="s">
        <v>52</v>
      </c>
      <c r="I363" t="s">
        <v>53</v>
      </c>
      <c r="J363" t="s">
        <v>125</v>
      </c>
      <c r="K363">
        <v>1</v>
      </c>
      <c r="L363" t="s">
        <v>55</v>
      </c>
      <c r="M363" t="s">
        <v>56</v>
      </c>
      <c r="N363" t="s">
        <v>57</v>
      </c>
      <c r="O363" s="18" t="s">
        <v>58</v>
      </c>
      <c r="P363" s="18" t="s">
        <v>72</v>
      </c>
      <c r="Q363" s="17" t="s">
        <v>117</v>
      </c>
      <c r="R363" s="18" t="s">
        <v>393</v>
      </c>
      <c r="S363" s="32">
        <v>2</v>
      </c>
      <c r="T363" s="19">
        <v>2</v>
      </c>
      <c r="U363" s="17" t="s">
        <v>119</v>
      </c>
      <c r="V363" s="17">
        <v>45821</v>
      </c>
      <c r="W363" s="18">
        <v>6</v>
      </c>
      <c r="X363" s="17">
        <v>45833</v>
      </c>
      <c r="Y363" s="17">
        <v>45827</v>
      </c>
      <c r="Z363" s="45">
        <v>6</v>
      </c>
      <c r="AA363">
        <v>2025</v>
      </c>
      <c r="AB363" s="42">
        <v>703000</v>
      </c>
      <c r="AC363" s="42">
        <v>703000</v>
      </c>
    </row>
    <row r="364" spans="1:29">
      <c r="A364" t="s">
        <v>45</v>
      </c>
      <c r="B364" t="s">
        <v>46</v>
      </c>
      <c r="C364" t="s">
        <v>47</v>
      </c>
      <c r="D364" t="s">
        <v>416</v>
      </c>
      <c r="E364" t="s">
        <v>49</v>
      </c>
      <c r="F364" t="s">
        <v>50</v>
      </c>
      <c r="G364" t="s">
        <v>51</v>
      </c>
      <c r="H364" s="17" t="s">
        <v>52</v>
      </c>
      <c r="I364" t="s">
        <v>53</v>
      </c>
      <c r="J364" t="s">
        <v>54</v>
      </c>
      <c r="K364">
        <v>1</v>
      </c>
      <c r="L364" t="s">
        <v>55</v>
      </c>
      <c r="M364" t="s">
        <v>56</v>
      </c>
      <c r="N364" t="s">
        <v>57</v>
      </c>
      <c r="O364" s="18" t="s">
        <v>58</v>
      </c>
      <c r="P364" s="18" t="s">
        <v>68</v>
      </c>
      <c r="Q364" s="17" t="s">
        <v>417</v>
      </c>
      <c r="R364" s="18" t="s">
        <v>418</v>
      </c>
      <c r="S364" s="32">
        <v>84</v>
      </c>
      <c r="T364" s="19">
        <v>84</v>
      </c>
      <c r="U364" s="17" t="s">
        <v>227</v>
      </c>
      <c r="V364" s="17">
        <v>45810</v>
      </c>
      <c r="W364" s="18">
        <v>6</v>
      </c>
      <c r="X364" s="17">
        <v>45933</v>
      </c>
      <c r="Y364" s="17">
        <v>45818</v>
      </c>
      <c r="Z364" s="45">
        <v>6</v>
      </c>
      <c r="AA364">
        <v>2025</v>
      </c>
      <c r="AB364" s="42">
        <v>809592</v>
      </c>
      <c r="AC364" s="42">
        <v>809592</v>
      </c>
    </row>
    <row r="365" spans="1:29">
      <c r="A365" t="s">
        <v>45</v>
      </c>
      <c r="B365" t="s">
        <v>46</v>
      </c>
      <c r="C365" t="s">
        <v>47</v>
      </c>
      <c r="D365" t="s">
        <v>333</v>
      </c>
      <c r="E365" t="s">
        <v>49</v>
      </c>
      <c r="F365" t="s">
        <v>63</v>
      </c>
      <c r="G365" t="s">
        <v>51</v>
      </c>
      <c r="H365" s="17" t="s">
        <v>52</v>
      </c>
      <c r="I365" t="s">
        <v>53</v>
      </c>
      <c r="J365" t="s">
        <v>167</v>
      </c>
      <c r="K365">
        <v>1</v>
      </c>
      <c r="L365" t="s">
        <v>55</v>
      </c>
      <c r="M365" t="s">
        <v>56</v>
      </c>
      <c r="N365" t="s">
        <v>57</v>
      </c>
      <c r="O365" s="18" t="s">
        <v>58</v>
      </c>
      <c r="P365" s="18" t="s">
        <v>172</v>
      </c>
      <c r="Q365" s="17" t="s">
        <v>173</v>
      </c>
      <c r="R365" s="18" t="s">
        <v>174</v>
      </c>
      <c r="S365" s="32">
        <v>69</v>
      </c>
      <c r="T365" s="19">
        <v>45</v>
      </c>
      <c r="U365" s="17" t="s">
        <v>62</v>
      </c>
      <c r="V365" s="17">
        <v>45772</v>
      </c>
      <c r="W365" s="18">
        <v>4</v>
      </c>
      <c r="X365" s="17">
        <v>45776</v>
      </c>
      <c r="Y365" s="17">
        <v>45832</v>
      </c>
      <c r="Z365" s="45">
        <v>6</v>
      </c>
      <c r="AA365">
        <v>2025</v>
      </c>
      <c r="AB365" s="42">
        <v>4369287</v>
      </c>
      <c r="AC365" s="42">
        <v>2849535</v>
      </c>
    </row>
    <row r="366" spans="1:29">
      <c r="A366" t="s">
        <v>45</v>
      </c>
      <c r="B366" t="s">
        <v>46</v>
      </c>
      <c r="C366" t="s">
        <v>47</v>
      </c>
      <c r="D366" t="s">
        <v>419</v>
      </c>
      <c r="E366" t="s">
        <v>49</v>
      </c>
      <c r="F366" t="s">
        <v>50</v>
      </c>
      <c r="G366" t="s">
        <v>51</v>
      </c>
      <c r="H366" s="17" t="s">
        <v>52</v>
      </c>
      <c r="I366" t="s">
        <v>53</v>
      </c>
      <c r="J366" t="s">
        <v>420</v>
      </c>
      <c r="K366">
        <v>1</v>
      </c>
      <c r="L366" t="s">
        <v>55</v>
      </c>
      <c r="M366" t="s">
        <v>56</v>
      </c>
      <c r="N366" t="s">
        <v>57</v>
      </c>
      <c r="O366" s="18" t="s">
        <v>58</v>
      </c>
      <c r="P366" s="18" t="s">
        <v>72</v>
      </c>
      <c r="Q366" s="17" t="s">
        <v>408</v>
      </c>
      <c r="R366" s="18" t="s">
        <v>373</v>
      </c>
      <c r="S366" s="32">
        <v>780</v>
      </c>
      <c r="T366" s="19">
        <v>700</v>
      </c>
      <c r="U366" s="17" t="s">
        <v>62</v>
      </c>
      <c r="V366" s="17">
        <v>45811</v>
      </c>
      <c r="W366" s="18">
        <v>6</v>
      </c>
      <c r="X366" s="17">
        <v>45812</v>
      </c>
      <c r="Y366" s="17">
        <v>45869</v>
      </c>
      <c r="Z366" s="45">
        <v>7</v>
      </c>
      <c r="AA366">
        <v>2025</v>
      </c>
      <c r="AB366" s="42">
        <v>4418700</v>
      </c>
      <c r="AC366" s="42">
        <v>3965500</v>
      </c>
    </row>
    <row r="367" spans="1:29">
      <c r="A367" t="s">
        <v>45</v>
      </c>
      <c r="B367" t="s">
        <v>46</v>
      </c>
      <c r="C367" t="s">
        <v>47</v>
      </c>
      <c r="D367" t="s">
        <v>419</v>
      </c>
      <c r="E367" t="s">
        <v>49</v>
      </c>
      <c r="F367" t="s">
        <v>63</v>
      </c>
      <c r="G367" t="s">
        <v>51</v>
      </c>
      <c r="H367" s="17" t="s">
        <v>52</v>
      </c>
      <c r="I367" t="s">
        <v>53</v>
      </c>
      <c r="J367" t="s">
        <v>420</v>
      </c>
      <c r="K367">
        <v>1</v>
      </c>
      <c r="L367" t="s">
        <v>55</v>
      </c>
      <c r="M367" t="s">
        <v>56</v>
      </c>
      <c r="N367" t="s">
        <v>57</v>
      </c>
      <c r="O367" s="18" t="s">
        <v>58</v>
      </c>
      <c r="P367" s="18" t="s">
        <v>72</v>
      </c>
      <c r="Q367" s="17" t="s">
        <v>421</v>
      </c>
      <c r="R367" s="18" t="s">
        <v>422</v>
      </c>
      <c r="S367" s="32">
        <v>294</v>
      </c>
      <c r="T367" s="19">
        <v>294</v>
      </c>
      <c r="U367" s="17" t="s">
        <v>62</v>
      </c>
      <c r="V367" s="17">
        <v>45811</v>
      </c>
      <c r="W367" s="18">
        <v>6</v>
      </c>
      <c r="X367" s="17">
        <v>45812</v>
      </c>
      <c r="Y367" s="17">
        <v>45842</v>
      </c>
      <c r="Z367" s="45">
        <v>7</v>
      </c>
      <c r="AA367">
        <v>2025</v>
      </c>
      <c r="AB367" s="42">
        <v>2783004</v>
      </c>
      <c r="AC367" s="42">
        <v>2783004</v>
      </c>
    </row>
    <row r="368" spans="1:29">
      <c r="A368" t="s">
        <v>45</v>
      </c>
      <c r="B368" t="s">
        <v>46</v>
      </c>
      <c r="C368" t="s">
        <v>47</v>
      </c>
      <c r="D368" t="s">
        <v>419</v>
      </c>
      <c r="E368" t="s">
        <v>49</v>
      </c>
      <c r="F368" t="s">
        <v>67</v>
      </c>
      <c r="G368" t="s">
        <v>51</v>
      </c>
      <c r="H368" s="17" t="s">
        <v>52</v>
      </c>
      <c r="I368" t="s">
        <v>53</v>
      </c>
      <c r="J368" t="s">
        <v>420</v>
      </c>
      <c r="K368">
        <v>1</v>
      </c>
      <c r="L368" t="s">
        <v>55</v>
      </c>
      <c r="M368" t="s">
        <v>56</v>
      </c>
      <c r="N368" t="s">
        <v>57</v>
      </c>
      <c r="O368" s="18" t="s">
        <v>58</v>
      </c>
      <c r="P368" s="18" t="s">
        <v>72</v>
      </c>
      <c r="Q368" s="17" t="s">
        <v>127</v>
      </c>
      <c r="R368" s="18" t="s">
        <v>128</v>
      </c>
      <c r="S368" s="32">
        <v>1373</v>
      </c>
      <c r="T368" s="19">
        <v>400</v>
      </c>
      <c r="U368" s="17" t="s">
        <v>62</v>
      </c>
      <c r="V368" s="17">
        <v>45811</v>
      </c>
      <c r="W368" s="18">
        <v>6</v>
      </c>
      <c r="X368" s="17">
        <v>45812</v>
      </c>
      <c r="Y368" s="17">
        <v>45842</v>
      </c>
      <c r="Z368" s="45">
        <v>7</v>
      </c>
      <c r="AA368">
        <v>2025</v>
      </c>
      <c r="AB368" s="42">
        <v>8747383</v>
      </c>
      <c r="AC368" s="42">
        <v>2548400</v>
      </c>
    </row>
    <row r="369" spans="1:29">
      <c r="A369" t="s">
        <v>45</v>
      </c>
      <c r="B369" t="s">
        <v>46</v>
      </c>
      <c r="C369" t="s">
        <v>47</v>
      </c>
      <c r="D369" t="s">
        <v>419</v>
      </c>
      <c r="E369" t="s">
        <v>49</v>
      </c>
      <c r="F369" t="s">
        <v>71</v>
      </c>
      <c r="G369" t="s">
        <v>51</v>
      </c>
      <c r="H369" s="17" t="s">
        <v>52</v>
      </c>
      <c r="I369" t="s">
        <v>53</v>
      </c>
      <c r="J369" t="s">
        <v>420</v>
      </c>
      <c r="K369">
        <v>1</v>
      </c>
      <c r="L369" t="s">
        <v>55</v>
      </c>
      <c r="M369" t="s">
        <v>56</v>
      </c>
      <c r="N369" t="s">
        <v>57</v>
      </c>
      <c r="O369" s="18" t="s">
        <v>58</v>
      </c>
      <c r="P369" s="18" t="s">
        <v>99</v>
      </c>
      <c r="Q369" s="17" t="s">
        <v>100</v>
      </c>
      <c r="R369" s="18" t="s">
        <v>101</v>
      </c>
      <c r="S369" s="32">
        <v>3</v>
      </c>
      <c r="T369" s="19">
        <v>2</v>
      </c>
      <c r="U369" s="17" t="s">
        <v>62</v>
      </c>
      <c r="V369" s="17">
        <v>45811</v>
      </c>
      <c r="W369" s="18">
        <v>6</v>
      </c>
      <c r="X369" s="17">
        <v>45812</v>
      </c>
      <c r="Y369" s="17">
        <v>45842</v>
      </c>
      <c r="Z369" s="45">
        <v>7</v>
      </c>
      <c r="AA369">
        <v>2025</v>
      </c>
      <c r="AB369" s="42">
        <v>1500000</v>
      </c>
      <c r="AC369" s="42">
        <v>1000000</v>
      </c>
    </row>
    <row r="370" spans="1:29">
      <c r="A370" t="s">
        <v>45</v>
      </c>
      <c r="B370" t="s">
        <v>46</v>
      </c>
      <c r="C370" t="s">
        <v>47</v>
      </c>
      <c r="D370" t="s">
        <v>423</v>
      </c>
      <c r="E370" t="s">
        <v>115</v>
      </c>
      <c r="F370" t="s">
        <v>50</v>
      </c>
      <c r="G370" t="s">
        <v>116</v>
      </c>
      <c r="H370" s="17" t="s">
        <v>52</v>
      </c>
      <c r="I370" t="s">
        <v>53</v>
      </c>
      <c r="J370" t="s">
        <v>190</v>
      </c>
      <c r="K370">
        <v>1</v>
      </c>
      <c r="L370" t="s">
        <v>55</v>
      </c>
      <c r="M370" t="s">
        <v>56</v>
      </c>
      <c r="N370" t="s">
        <v>57</v>
      </c>
      <c r="O370" s="18" t="s">
        <v>58</v>
      </c>
      <c r="P370" s="18" t="s">
        <v>72</v>
      </c>
      <c r="Q370" s="17" t="s">
        <v>122</v>
      </c>
      <c r="R370" s="18" t="s">
        <v>372</v>
      </c>
      <c r="S370" s="32">
        <v>4</v>
      </c>
      <c r="T370" s="19">
        <v>4</v>
      </c>
      <c r="U370" s="17" t="s">
        <v>119</v>
      </c>
      <c r="V370" s="17">
        <v>45827</v>
      </c>
      <c r="W370" s="18">
        <v>6</v>
      </c>
      <c r="X370" s="17">
        <v>45840</v>
      </c>
      <c r="Y370" s="17">
        <v>45839</v>
      </c>
      <c r="Z370" s="45">
        <v>7</v>
      </c>
      <c r="AA370">
        <v>2025</v>
      </c>
      <c r="AB370" s="42">
        <v>1405320</v>
      </c>
      <c r="AC370" s="42">
        <v>1405320</v>
      </c>
    </row>
    <row r="371" spans="1:29">
      <c r="A371" t="s">
        <v>45</v>
      </c>
      <c r="B371" t="s">
        <v>46</v>
      </c>
      <c r="C371" t="s">
        <v>47</v>
      </c>
      <c r="D371" t="s">
        <v>424</v>
      </c>
      <c r="E371" t="s">
        <v>115</v>
      </c>
      <c r="F371" t="s">
        <v>50</v>
      </c>
      <c r="G371" t="s">
        <v>116</v>
      </c>
      <c r="H371" s="17" t="s">
        <v>52</v>
      </c>
      <c r="I371" t="s">
        <v>53</v>
      </c>
      <c r="J371" t="s">
        <v>110</v>
      </c>
      <c r="K371">
        <v>1</v>
      </c>
      <c r="L371" t="s">
        <v>55</v>
      </c>
      <c r="M371" t="s">
        <v>56</v>
      </c>
      <c r="N371" t="s">
        <v>57</v>
      </c>
      <c r="O371" s="18" t="s">
        <v>58</v>
      </c>
      <c r="P371" s="18" t="s">
        <v>72</v>
      </c>
      <c r="Q371" s="17" t="s">
        <v>122</v>
      </c>
      <c r="R371" s="18" t="s">
        <v>425</v>
      </c>
      <c r="S371" s="32">
        <v>2</v>
      </c>
      <c r="T371" s="19">
        <v>2</v>
      </c>
      <c r="U371" s="17" t="s">
        <v>119</v>
      </c>
      <c r="V371" s="17">
        <v>45835</v>
      </c>
      <c r="W371" s="18">
        <v>6</v>
      </c>
      <c r="X371" s="17">
        <v>45847</v>
      </c>
      <c r="Y371" s="17">
        <v>45847</v>
      </c>
      <c r="Z371" s="45">
        <v>7</v>
      </c>
      <c r="AA371">
        <v>2025</v>
      </c>
      <c r="AB371" s="42">
        <v>702660</v>
      </c>
      <c r="AC371" s="42">
        <v>702660</v>
      </c>
    </row>
    <row r="372" spans="1:29">
      <c r="A372" t="s">
        <v>45</v>
      </c>
      <c r="B372" t="s">
        <v>46</v>
      </c>
      <c r="C372" t="s">
        <v>47</v>
      </c>
      <c r="D372" t="s">
        <v>424</v>
      </c>
      <c r="E372" t="s">
        <v>115</v>
      </c>
      <c r="F372" t="s">
        <v>63</v>
      </c>
      <c r="G372" t="s">
        <v>116</v>
      </c>
      <c r="H372" s="17" t="s">
        <v>52</v>
      </c>
      <c r="I372" t="s">
        <v>53</v>
      </c>
      <c r="J372" t="s">
        <v>110</v>
      </c>
      <c r="K372">
        <v>1</v>
      </c>
      <c r="L372" t="s">
        <v>55</v>
      </c>
      <c r="M372" t="s">
        <v>56</v>
      </c>
      <c r="N372" t="s">
        <v>57</v>
      </c>
      <c r="O372" s="18" t="s">
        <v>58</v>
      </c>
      <c r="P372" s="18" t="s">
        <v>72</v>
      </c>
      <c r="Q372" s="17" t="s">
        <v>117</v>
      </c>
      <c r="R372" s="18" t="s">
        <v>393</v>
      </c>
      <c r="S372" s="32">
        <v>2</v>
      </c>
      <c r="T372" s="19">
        <v>2</v>
      </c>
      <c r="U372" s="17" t="s">
        <v>119</v>
      </c>
      <c r="V372" s="17">
        <v>45835</v>
      </c>
      <c r="W372" s="18">
        <v>6</v>
      </c>
      <c r="X372" s="17">
        <v>45847</v>
      </c>
      <c r="Y372" s="17">
        <v>45847</v>
      </c>
      <c r="Z372" s="45">
        <v>7</v>
      </c>
      <c r="AA372">
        <v>2025</v>
      </c>
      <c r="AB372" s="42">
        <v>703000</v>
      </c>
      <c r="AC372" s="42">
        <v>703000</v>
      </c>
    </row>
    <row r="373" spans="1:29">
      <c r="A373" t="s">
        <v>45</v>
      </c>
      <c r="B373" t="s">
        <v>46</v>
      </c>
      <c r="C373" t="s">
        <v>47</v>
      </c>
      <c r="D373" t="s">
        <v>426</v>
      </c>
      <c r="E373" t="s">
        <v>115</v>
      </c>
      <c r="F373" t="s">
        <v>50</v>
      </c>
      <c r="G373" t="s">
        <v>116</v>
      </c>
      <c r="H373" s="17" t="s">
        <v>52</v>
      </c>
      <c r="I373" t="s">
        <v>53</v>
      </c>
      <c r="J373" t="s">
        <v>125</v>
      </c>
      <c r="K373">
        <v>1</v>
      </c>
      <c r="L373" t="s">
        <v>55</v>
      </c>
      <c r="M373" t="s">
        <v>56</v>
      </c>
      <c r="N373" t="s">
        <v>57</v>
      </c>
      <c r="O373" s="18" t="s">
        <v>58</v>
      </c>
      <c r="P373" s="18" t="s">
        <v>72</v>
      </c>
      <c r="Q373" s="17" t="s">
        <v>122</v>
      </c>
      <c r="R373" s="18" t="s">
        <v>425</v>
      </c>
      <c r="S373" s="32">
        <v>4</v>
      </c>
      <c r="T373" s="19">
        <v>4</v>
      </c>
      <c r="U373" s="17" t="s">
        <v>119</v>
      </c>
      <c r="V373" s="17">
        <v>45835</v>
      </c>
      <c r="W373" s="18">
        <v>6</v>
      </c>
      <c r="X373" s="17">
        <v>45847</v>
      </c>
      <c r="Y373" s="17">
        <v>45847</v>
      </c>
      <c r="Z373" s="45">
        <v>7</v>
      </c>
      <c r="AA373">
        <v>2025</v>
      </c>
      <c r="AB373" s="42">
        <v>1405320</v>
      </c>
      <c r="AC373" s="42">
        <v>1405320</v>
      </c>
    </row>
    <row r="374" spans="1:29">
      <c r="A374" t="s">
        <v>45</v>
      </c>
      <c r="B374" t="s">
        <v>46</v>
      </c>
      <c r="C374" t="s">
        <v>47</v>
      </c>
      <c r="D374" t="s">
        <v>427</v>
      </c>
      <c r="E374" t="s">
        <v>49</v>
      </c>
      <c r="F374" t="s">
        <v>50</v>
      </c>
      <c r="G374" t="s">
        <v>51</v>
      </c>
      <c r="H374" s="17" t="s">
        <v>52</v>
      </c>
      <c r="I374" t="s">
        <v>53</v>
      </c>
      <c r="J374" t="s">
        <v>420</v>
      </c>
      <c r="K374">
        <v>1</v>
      </c>
      <c r="L374" t="s">
        <v>55</v>
      </c>
      <c r="M374" t="s">
        <v>56</v>
      </c>
      <c r="N374" t="s">
        <v>57</v>
      </c>
      <c r="O374" s="18" t="s">
        <v>58</v>
      </c>
      <c r="P374" s="18" t="s">
        <v>72</v>
      </c>
      <c r="Q374" s="17" t="s">
        <v>428</v>
      </c>
      <c r="R374" s="18" t="s">
        <v>429</v>
      </c>
      <c r="S374" s="32">
        <v>160</v>
      </c>
      <c r="T374" s="19">
        <v>160</v>
      </c>
      <c r="U374" s="17" t="s">
        <v>62</v>
      </c>
      <c r="V374" s="17">
        <v>45827</v>
      </c>
      <c r="W374" s="18">
        <v>6</v>
      </c>
      <c r="X374" s="17">
        <v>45828</v>
      </c>
      <c r="Y374" s="17">
        <v>45862</v>
      </c>
      <c r="Z374" s="45">
        <v>7</v>
      </c>
      <c r="AA374">
        <v>2025</v>
      </c>
      <c r="AB374" s="42">
        <v>1514560</v>
      </c>
      <c r="AC374" s="42">
        <v>1514560</v>
      </c>
    </row>
    <row r="375" spans="1:29">
      <c r="A375" t="s">
        <v>45</v>
      </c>
      <c r="B375" t="s">
        <v>46</v>
      </c>
      <c r="C375" t="s">
        <v>47</v>
      </c>
      <c r="D375" t="s">
        <v>427</v>
      </c>
      <c r="E375" t="s">
        <v>49</v>
      </c>
      <c r="F375" t="s">
        <v>63</v>
      </c>
      <c r="G375" t="s">
        <v>51</v>
      </c>
      <c r="H375" s="17" t="s">
        <v>52</v>
      </c>
      <c r="I375" t="s">
        <v>53</v>
      </c>
      <c r="J375" t="s">
        <v>420</v>
      </c>
      <c r="K375">
        <v>1</v>
      </c>
      <c r="L375" t="s">
        <v>55</v>
      </c>
      <c r="M375" t="s">
        <v>56</v>
      </c>
      <c r="N375" t="s">
        <v>57</v>
      </c>
      <c r="O375" s="18" t="s">
        <v>58</v>
      </c>
      <c r="P375" s="18" t="s">
        <v>72</v>
      </c>
      <c r="Q375" s="17" t="s">
        <v>181</v>
      </c>
      <c r="R375" s="18" t="s">
        <v>430</v>
      </c>
      <c r="S375" s="32">
        <v>150</v>
      </c>
      <c r="T375" s="19">
        <v>150</v>
      </c>
      <c r="U375" s="17" t="s">
        <v>62</v>
      </c>
      <c r="V375" s="17">
        <v>45827</v>
      </c>
      <c r="W375" s="18">
        <v>6</v>
      </c>
      <c r="X375" s="17">
        <v>45828</v>
      </c>
      <c r="Y375" s="17">
        <v>45862</v>
      </c>
      <c r="Z375" s="45">
        <v>7</v>
      </c>
      <c r="AA375">
        <v>2025</v>
      </c>
      <c r="AB375" s="42">
        <v>794250</v>
      </c>
      <c r="AC375" s="42">
        <v>794250</v>
      </c>
    </row>
    <row r="376" spans="1:29">
      <c r="A376" t="s">
        <v>45</v>
      </c>
      <c r="B376" t="s">
        <v>46</v>
      </c>
      <c r="C376" t="s">
        <v>47</v>
      </c>
      <c r="D376" t="s">
        <v>427</v>
      </c>
      <c r="E376" t="s">
        <v>49</v>
      </c>
      <c r="F376" t="s">
        <v>67</v>
      </c>
      <c r="G376" t="s">
        <v>51</v>
      </c>
      <c r="H376" s="17" t="s">
        <v>52</v>
      </c>
      <c r="I376" t="s">
        <v>53</v>
      </c>
      <c r="J376" t="s">
        <v>420</v>
      </c>
      <c r="K376">
        <v>1</v>
      </c>
      <c r="L376" t="s">
        <v>55</v>
      </c>
      <c r="M376" t="s">
        <v>56</v>
      </c>
      <c r="N376" t="s">
        <v>57</v>
      </c>
      <c r="O376" s="18" t="s">
        <v>58</v>
      </c>
      <c r="P376" s="18" t="s">
        <v>99</v>
      </c>
      <c r="Q376" s="17" t="s">
        <v>100</v>
      </c>
      <c r="R376" s="18" t="s">
        <v>101</v>
      </c>
      <c r="S376" s="32">
        <v>1</v>
      </c>
      <c r="T376" s="19">
        <v>1</v>
      </c>
      <c r="U376" s="17" t="s">
        <v>62</v>
      </c>
      <c r="V376" s="17">
        <v>45827</v>
      </c>
      <c r="W376" s="18">
        <v>6</v>
      </c>
      <c r="X376" s="17">
        <v>45828</v>
      </c>
      <c r="Y376" s="17">
        <v>45862</v>
      </c>
      <c r="Z376" s="45">
        <v>7</v>
      </c>
      <c r="AA376">
        <v>2025</v>
      </c>
      <c r="AB376" s="42">
        <v>500000</v>
      </c>
      <c r="AC376" s="42">
        <v>500000</v>
      </c>
    </row>
    <row r="377" spans="1:29">
      <c r="A377" t="s">
        <v>45</v>
      </c>
      <c r="B377" t="s">
        <v>46</v>
      </c>
      <c r="C377" t="s">
        <v>47</v>
      </c>
      <c r="D377" t="s">
        <v>431</v>
      </c>
      <c r="E377" t="s">
        <v>49</v>
      </c>
      <c r="F377" t="s">
        <v>50</v>
      </c>
      <c r="G377" t="s">
        <v>51</v>
      </c>
      <c r="H377" s="17" t="s">
        <v>52</v>
      </c>
      <c r="I377" t="s">
        <v>53</v>
      </c>
      <c r="J377" t="s">
        <v>54</v>
      </c>
      <c r="K377">
        <v>1</v>
      </c>
      <c r="L377" t="s">
        <v>55</v>
      </c>
      <c r="M377" t="s">
        <v>56</v>
      </c>
      <c r="N377" t="s">
        <v>57</v>
      </c>
      <c r="O377" s="18" t="s">
        <v>58</v>
      </c>
      <c r="P377" s="18" t="s">
        <v>72</v>
      </c>
      <c r="Q377" s="17" t="s">
        <v>122</v>
      </c>
      <c r="R377" s="18" t="s">
        <v>425</v>
      </c>
      <c r="S377" s="32">
        <v>73</v>
      </c>
      <c r="T377" s="19">
        <v>73</v>
      </c>
      <c r="U377" s="17" t="s">
        <v>62</v>
      </c>
      <c r="V377" s="17">
        <v>45831</v>
      </c>
      <c r="W377" s="18">
        <v>6</v>
      </c>
      <c r="X377" s="17">
        <v>45840</v>
      </c>
      <c r="Y377" s="17">
        <v>45845</v>
      </c>
      <c r="Z377" s="45">
        <v>7</v>
      </c>
      <c r="AA377">
        <v>2025</v>
      </c>
      <c r="AB377" s="42">
        <v>306308</v>
      </c>
      <c r="AC377" s="42">
        <v>306308</v>
      </c>
    </row>
    <row r="378" spans="1:29">
      <c r="A378" t="s">
        <v>45</v>
      </c>
      <c r="B378" t="s">
        <v>46</v>
      </c>
      <c r="C378" t="s">
        <v>47</v>
      </c>
      <c r="D378" t="s">
        <v>432</v>
      </c>
      <c r="E378" t="s">
        <v>49</v>
      </c>
      <c r="F378" t="s">
        <v>50</v>
      </c>
      <c r="G378" t="s">
        <v>51</v>
      </c>
      <c r="H378" s="17" t="s">
        <v>52</v>
      </c>
      <c r="I378" t="s">
        <v>53</v>
      </c>
      <c r="J378" t="s">
        <v>54</v>
      </c>
      <c r="K378">
        <v>1</v>
      </c>
      <c r="L378" t="s">
        <v>55</v>
      </c>
      <c r="M378" t="s">
        <v>56</v>
      </c>
      <c r="N378" t="s">
        <v>57</v>
      </c>
      <c r="O378" s="18" t="s">
        <v>58</v>
      </c>
      <c r="P378" s="18" t="s">
        <v>86</v>
      </c>
      <c r="Q378" s="17" t="s">
        <v>379</v>
      </c>
      <c r="R378" s="18" t="s">
        <v>380</v>
      </c>
      <c r="S378" s="32">
        <v>90</v>
      </c>
      <c r="T378" s="19">
        <v>90</v>
      </c>
      <c r="U378" s="17" t="s">
        <v>62</v>
      </c>
      <c r="V378" s="17">
        <v>45832</v>
      </c>
      <c r="W378" s="18">
        <v>6</v>
      </c>
      <c r="X378" s="17">
        <v>45833</v>
      </c>
      <c r="Y378" s="17">
        <v>45847</v>
      </c>
      <c r="Z378" s="45">
        <v>7</v>
      </c>
      <c r="AA378">
        <v>2025</v>
      </c>
      <c r="AB378" s="42">
        <v>6055920</v>
      </c>
      <c r="AC378" s="42">
        <v>6055920</v>
      </c>
    </row>
    <row r="379" spans="1:29">
      <c r="A379" t="s">
        <v>45</v>
      </c>
      <c r="B379" t="s">
        <v>46</v>
      </c>
      <c r="C379" t="s">
        <v>47</v>
      </c>
      <c r="D379" t="s">
        <v>432</v>
      </c>
      <c r="E379" t="s">
        <v>49</v>
      </c>
      <c r="F379" t="s">
        <v>63</v>
      </c>
      <c r="G379" t="s">
        <v>51</v>
      </c>
      <c r="H379" s="17" t="s">
        <v>52</v>
      </c>
      <c r="I379" t="s">
        <v>53</v>
      </c>
      <c r="J379" t="s">
        <v>54</v>
      </c>
      <c r="K379">
        <v>1</v>
      </c>
      <c r="L379" t="s">
        <v>55</v>
      </c>
      <c r="M379" t="s">
        <v>56</v>
      </c>
      <c r="N379" t="s">
        <v>57</v>
      </c>
      <c r="O379" s="18" t="s">
        <v>58</v>
      </c>
      <c r="P379" s="18" t="s">
        <v>99</v>
      </c>
      <c r="Q379" s="17" t="s">
        <v>100</v>
      </c>
      <c r="R379" s="18" t="s">
        <v>101</v>
      </c>
      <c r="S379" s="32">
        <v>90</v>
      </c>
      <c r="T379" s="19">
        <v>90</v>
      </c>
      <c r="U379" s="17" t="s">
        <v>62</v>
      </c>
      <c r="V379" s="17">
        <v>45832</v>
      </c>
      <c r="W379" s="18">
        <v>6</v>
      </c>
      <c r="X379" s="17">
        <v>45833</v>
      </c>
      <c r="Y379" s="17">
        <v>45847</v>
      </c>
      <c r="Z379" s="45">
        <v>7</v>
      </c>
      <c r="AA379">
        <v>2025</v>
      </c>
      <c r="AB379" s="42">
        <v>27360</v>
      </c>
      <c r="AC379" s="42">
        <v>27360</v>
      </c>
    </row>
    <row r="380" spans="1:29">
      <c r="A380" t="s">
        <v>45</v>
      </c>
      <c r="B380" t="s">
        <v>46</v>
      </c>
      <c r="C380" t="s">
        <v>47</v>
      </c>
      <c r="D380" t="s">
        <v>433</v>
      </c>
      <c r="E380" t="s">
        <v>49</v>
      </c>
      <c r="F380" t="s">
        <v>50</v>
      </c>
      <c r="G380" t="s">
        <v>51</v>
      </c>
      <c r="H380" s="17" t="s">
        <v>52</v>
      </c>
      <c r="I380" t="s">
        <v>53</v>
      </c>
      <c r="J380" t="s">
        <v>434</v>
      </c>
      <c r="K380">
        <v>1</v>
      </c>
      <c r="L380" t="s">
        <v>55</v>
      </c>
      <c r="M380" t="s">
        <v>56</v>
      </c>
      <c r="N380" t="s">
        <v>57</v>
      </c>
      <c r="O380" s="18" t="s">
        <v>58</v>
      </c>
      <c r="P380" s="18" t="s">
        <v>86</v>
      </c>
      <c r="Q380" s="17" t="s">
        <v>289</v>
      </c>
      <c r="R380" s="18" t="s">
        <v>290</v>
      </c>
      <c r="S380" s="32">
        <v>12</v>
      </c>
      <c r="T380" s="19">
        <v>12</v>
      </c>
      <c r="U380" s="17" t="s">
        <v>62</v>
      </c>
      <c r="V380" s="17">
        <v>45834</v>
      </c>
      <c r="W380" s="18">
        <v>6</v>
      </c>
      <c r="X380" s="17">
        <v>45835</v>
      </c>
      <c r="Y380" s="17">
        <v>45845</v>
      </c>
      <c r="Z380" s="45">
        <v>7</v>
      </c>
      <c r="AA380">
        <v>2025</v>
      </c>
      <c r="AB380" s="42">
        <v>174636</v>
      </c>
      <c r="AC380" s="42">
        <v>174636</v>
      </c>
    </row>
    <row r="381" spans="1:29">
      <c r="A381" t="s">
        <v>45</v>
      </c>
      <c r="B381" t="s">
        <v>46</v>
      </c>
      <c r="C381" t="s">
        <v>47</v>
      </c>
      <c r="D381" t="s">
        <v>433</v>
      </c>
      <c r="E381" t="s">
        <v>49</v>
      </c>
      <c r="F381" t="s">
        <v>63</v>
      </c>
      <c r="G381" t="s">
        <v>51</v>
      </c>
      <c r="H381" s="17" t="s">
        <v>52</v>
      </c>
      <c r="I381" t="s">
        <v>53</v>
      </c>
      <c r="J381" t="s">
        <v>434</v>
      </c>
      <c r="K381">
        <v>1</v>
      </c>
      <c r="L381" t="s">
        <v>55</v>
      </c>
      <c r="M381" t="s">
        <v>56</v>
      </c>
      <c r="N381" t="s">
        <v>57</v>
      </c>
      <c r="O381" s="18" t="s">
        <v>58</v>
      </c>
      <c r="P381" s="18" t="s">
        <v>80</v>
      </c>
      <c r="Q381" s="17" t="s">
        <v>81</v>
      </c>
      <c r="R381" s="18" t="s">
        <v>82</v>
      </c>
      <c r="S381" s="32">
        <v>5</v>
      </c>
      <c r="T381" s="19">
        <v>5</v>
      </c>
      <c r="U381" s="17" t="s">
        <v>62</v>
      </c>
      <c r="V381" s="17">
        <v>45834</v>
      </c>
      <c r="W381" s="18">
        <v>6</v>
      </c>
      <c r="X381" s="17">
        <v>45835</v>
      </c>
      <c r="Y381" s="17">
        <v>45845</v>
      </c>
      <c r="Z381" s="45">
        <v>7</v>
      </c>
      <c r="AA381">
        <v>2025</v>
      </c>
      <c r="AB381" s="42">
        <v>6370</v>
      </c>
      <c r="AC381" s="42">
        <v>6370</v>
      </c>
    </row>
    <row r="382" spans="1:29">
      <c r="A382" t="s">
        <v>45</v>
      </c>
      <c r="B382" t="s">
        <v>46</v>
      </c>
      <c r="C382" t="s">
        <v>47</v>
      </c>
      <c r="D382" t="s">
        <v>433</v>
      </c>
      <c r="E382" t="s">
        <v>49</v>
      </c>
      <c r="F382" t="s">
        <v>67</v>
      </c>
      <c r="G382" t="s">
        <v>51</v>
      </c>
      <c r="H382" s="17" t="s">
        <v>52</v>
      </c>
      <c r="I382" t="s">
        <v>53</v>
      </c>
      <c r="J382" t="s">
        <v>434</v>
      </c>
      <c r="K382">
        <v>1</v>
      </c>
      <c r="L382" t="s">
        <v>55</v>
      </c>
      <c r="M382" t="s">
        <v>56</v>
      </c>
      <c r="N382" t="s">
        <v>57</v>
      </c>
      <c r="O382" s="18" t="s">
        <v>58</v>
      </c>
      <c r="P382" s="18" t="s">
        <v>132</v>
      </c>
      <c r="Q382" s="17" t="s">
        <v>162</v>
      </c>
      <c r="R382" s="18" t="s">
        <v>163</v>
      </c>
      <c r="S382" s="32">
        <v>1</v>
      </c>
      <c r="T382" s="19">
        <v>1</v>
      </c>
      <c r="U382" s="17" t="s">
        <v>62</v>
      </c>
      <c r="V382" s="17">
        <v>45834</v>
      </c>
      <c r="W382" s="18">
        <v>6</v>
      </c>
      <c r="X382" s="17">
        <v>45835</v>
      </c>
      <c r="Y382" s="17">
        <v>45845</v>
      </c>
      <c r="Z382" s="45">
        <v>7</v>
      </c>
      <c r="AA382">
        <v>2025</v>
      </c>
      <c r="AB382" s="42">
        <v>8594</v>
      </c>
      <c r="AC382" s="42">
        <v>8594</v>
      </c>
    </row>
    <row r="383" spans="1:29">
      <c r="A383" t="s">
        <v>45</v>
      </c>
      <c r="B383" t="s">
        <v>46</v>
      </c>
      <c r="C383" t="s">
        <v>47</v>
      </c>
      <c r="D383" t="s">
        <v>433</v>
      </c>
      <c r="E383" t="s">
        <v>49</v>
      </c>
      <c r="F383" t="s">
        <v>71</v>
      </c>
      <c r="G383" t="s">
        <v>51</v>
      </c>
      <c r="H383" s="17" t="s">
        <v>52</v>
      </c>
      <c r="I383" t="s">
        <v>53</v>
      </c>
      <c r="J383" t="s">
        <v>434</v>
      </c>
      <c r="K383">
        <v>1</v>
      </c>
      <c r="L383" t="s">
        <v>55</v>
      </c>
      <c r="M383" t="s">
        <v>56</v>
      </c>
      <c r="N383" t="s">
        <v>57</v>
      </c>
      <c r="O383" s="18" t="s">
        <v>58</v>
      </c>
      <c r="P383" s="18" t="s">
        <v>68</v>
      </c>
      <c r="Q383" s="17" t="s">
        <v>225</v>
      </c>
      <c r="R383" s="18" t="s">
        <v>226</v>
      </c>
      <c r="S383" s="32">
        <v>3</v>
      </c>
      <c r="T383" s="19">
        <v>3</v>
      </c>
      <c r="U383" s="17" t="s">
        <v>227</v>
      </c>
      <c r="V383" s="17">
        <v>45834</v>
      </c>
      <c r="W383" s="18">
        <v>6</v>
      </c>
      <c r="X383" s="17">
        <v>45835</v>
      </c>
      <c r="Y383" s="17">
        <v>45845</v>
      </c>
      <c r="Z383" s="45">
        <v>7</v>
      </c>
      <c r="AA383">
        <v>2025</v>
      </c>
      <c r="AB383" s="42">
        <v>41772</v>
      </c>
      <c r="AC383" s="42">
        <v>41772</v>
      </c>
    </row>
    <row r="384" spans="1:29">
      <c r="A384" t="s">
        <v>45</v>
      </c>
      <c r="B384" t="s">
        <v>46</v>
      </c>
      <c r="C384" t="s">
        <v>47</v>
      </c>
      <c r="D384" t="s">
        <v>433</v>
      </c>
      <c r="E384" t="s">
        <v>49</v>
      </c>
      <c r="F384" t="s">
        <v>75</v>
      </c>
      <c r="G384" t="s">
        <v>51</v>
      </c>
      <c r="H384" s="17" t="s">
        <v>52</v>
      </c>
      <c r="I384" t="s">
        <v>53</v>
      </c>
      <c r="J384" t="s">
        <v>434</v>
      </c>
      <c r="K384">
        <v>1</v>
      </c>
      <c r="L384" t="s">
        <v>55</v>
      </c>
      <c r="M384" t="s">
        <v>56</v>
      </c>
      <c r="N384" t="s">
        <v>57</v>
      </c>
      <c r="O384" s="18" t="s">
        <v>58</v>
      </c>
      <c r="P384" s="18" t="s">
        <v>137</v>
      </c>
      <c r="Q384" s="17" t="s">
        <v>183</v>
      </c>
      <c r="R384" s="18" t="s">
        <v>184</v>
      </c>
      <c r="S384" s="32">
        <v>2</v>
      </c>
      <c r="T384" s="19">
        <v>0</v>
      </c>
      <c r="U384" s="17" t="s">
        <v>62</v>
      </c>
      <c r="V384" s="17">
        <v>45834</v>
      </c>
      <c r="W384" s="18">
        <v>6</v>
      </c>
      <c r="X384" s="17">
        <v>45869</v>
      </c>
      <c r="Z384" s="45">
        <v>7</v>
      </c>
      <c r="AA384">
        <v>2025</v>
      </c>
      <c r="AB384" s="42">
        <v>79574</v>
      </c>
      <c r="AC384" s="42">
        <v>0</v>
      </c>
    </row>
    <row r="385" spans="1:29">
      <c r="A385" t="s">
        <v>45</v>
      </c>
      <c r="B385" t="s">
        <v>46</v>
      </c>
      <c r="C385" t="s">
        <v>47</v>
      </c>
      <c r="D385" t="s">
        <v>433</v>
      </c>
      <c r="E385" t="s">
        <v>49</v>
      </c>
      <c r="F385" t="s">
        <v>79</v>
      </c>
      <c r="G385" t="s">
        <v>51</v>
      </c>
      <c r="H385" s="17" t="s">
        <v>52</v>
      </c>
      <c r="I385" t="s">
        <v>53</v>
      </c>
      <c r="J385" t="s">
        <v>434</v>
      </c>
      <c r="K385">
        <v>1</v>
      </c>
      <c r="L385" t="s">
        <v>55</v>
      </c>
      <c r="M385" t="s">
        <v>56</v>
      </c>
      <c r="N385" t="s">
        <v>57</v>
      </c>
      <c r="O385" s="18" t="s">
        <v>58</v>
      </c>
      <c r="P385" s="18" t="s">
        <v>72</v>
      </c>
      <c r="Q385" s="17" t="s">
        <v>151</v>
      </c>
      <c r="R385" s="18" t="s">
        <v>152</v>
      </c>
      <c r="S385" s="32">
        <v>12</v>
      </c>
      <c r="T385" s="19">
        <v>12</v>
      </c>
      <c r="U385" s="17" t="s">
        <v>62</v>
      </c>
      <c r="V385" s="17">
        <v>45834</v>
      </c>
      <c r="W385" s="18">
        <v>6</v>
      </c>
      <c r="X385" s="17">
        <v>45835</v>
      </c>
      <c r="Y385" s="17">
        <v>45845</v>
      </c>
      <c r="Z385" s="45">
        <v>7</v>
      </c>
      <c r="AA385">
        <v>2025</v>
      </c>
      <c r="AB385" s="42">
        <v>354000</v>
      </c>
      <c r="AC385" s="42">
        <v>354000</v>
      </c>
    </row>
    <row r="386" spans="1:29">
      <c r="A386" t="s">
        <v>45</v>
      </c>
      <c r="B386" t="s">
        <v>46</v>
      </c>
      <c r="C386" t="s">
        <v>47</v>
      </c>
      <c r="D386" t="s">
        <v>433</v>
      </c>
      <c r="E386" t="s">
        <v>49</v>
      </c>
      <c r="F386" t="s">
        <v>98</v>
      </c>
      <c r="G386" t="s">
        <v>51</v>
      </c>
      <c r="H386" s="17" t="s">
        <v>52</v>
      </c>
      <c r="I386" t="s">
        <v>53</v>
      </c>
      <c r="J386" t="s">
        <v>434</v>
      </c>
      <c r="K386">
        <v>1</v>
      </c>
      <c r="L386" t="s">
        <v>55</v>
      </c>
      <c r="M386" t="s">
        <v>56</v>
      </c>
      <c r="N386" t="s">
        <v>57</v>
      </c>
      <c r="O386" s="18" t="s">
        <v>58</v>
      </c>
      <c r="P386" s="18" t="s">
        <v>59</v>
      </c>
      <c r="Q386" s="17" t="s">
        <v>60</v>
      </c>
      <c r="R386" s="18" t="s">
        <v>61</v>
      </c>
      <c r="S386" s="32">
        <v>5</v>
      </c>
      <c r="T386" s="19">
        <v>5</v>
      </c>
      <c r="U386" s="17" t="s">
        <v>62</v>
      </c>
      <c r="V386" s="17">
        <v>45834</v>
      </c>
      <c r="W386" s="18">
        <v>6</v>
      </c>
      <c r="X386" s="17">
        <v>45835</v>
      </c>
      <c r="Y386" s="17">
        <v>45845</v>
      </c>
      <c r="Z386" s="45">
        <v>7</v>
      </c>
      <c r="AA386">
        <v>2025</v>
      </c>
      <c r="AB386" s="42">
        <v>83275</v>
      </c>
      <c r="AC386" s="42">
        <v>83275</v>
      </c>
    </row>
    <row r="387" spans="1:29">
      <c r="A387" t="s">
        <v>45</v>
      </c>
      <c r="B387" t="s">
        <v>46</v>
      </c>
      <c r="C387" t="s">
        <v>47</v>
      </c>
      <c r="D387" t="s">
        <v>433</v>
      </c>
      <c r="E387" t="s">
        <v>49</v>
      </c>
      <c r="F387" t="s">
        <v>334</v>
      </c>
      <c r="G387" t="s">
        <v>51</v>
      </c>
      <c r="H387" s="17" t="s">
        <v>52</v>
      </c>
      <c r="I387" t="s">
        <v>53</v>
      </c>
      <c r="J387" t="s">
        <v>434</v>
      </c>
      <c r="K387">
        <v>1</v>
      </c>
      <c r="L387" t="s">
        <v>55</v>
      </c>
      <c r="M387" t="s">
        <v>56</v>
      </c>
      <c r="N387" t="s">
        <v>57</v>
      </c>
      <c r="O387" s="18" t="s">
        <v>58</v>
      </c>
      <c r="P387" s="18" t="s">
        <v>68</v>
      </c>
      <c r="Q387" s="17" t="s">
        <v>69</v>
      </c>
      <c r="R387" s="18" t="s">
        <v>70</v>
      </c>
      <c r="S387" s="32">
        <v>1</v>
      </c>
      <c r="T387" s="19">
        <v>1</v>
      </c>
      <c r="U387" s="17" t="s">
        <v>62</v>
      </c>
      <c r="V387" s="17">
        <v>45834</v>
      </c>
      <c r="W387" s="18">
        <v>6</v>
      </c>
      <c r="X387" s="17">
        <v>45835</v>
      </c>
      <c r="Y387" s="17">
        <v>45845</v>
      </c>
      <c r="Z387" s="45">
        <v>7</v>
      </c>
      <c r="AA387">
        <v>2025</v>
      </c>
      <c r="AB387" s="42">
        <v>76090</v>
      </c>
      <c r="AC387" s="42">
        <v>76090</v>
      </c>
    </row>
    <row r="388" spans="1:29">
      <c r="A388" t="s">
        <v>45</v>
      </c>
      <c r="B388" t="s">
        <v>46</v>
      </c>
      <c r="C388" t="s">
        <v>47</v>
      </c>
      <c r="D388" t="s">
        <v>433</v>
      </c>
      <c r="E388" t="s">
        <v>49</v>
      </c>
      <c r="F388" t="s">
        <v>335</v>
      </c>
      <c r="G388" t="s">
        <v>51</v>
      </c>
      <c r="H388" s="17" t="s">
        <v>52</v>
      </c>
      <c r="I388" t="s">
        <v>53</v>
      </c>
      <c r="J388" t="s">
        <v>434</v>
      </c>
      <c r="K388">
        <v>1</v>
      </c>
      <c r="L388" t="s">
        <v>55</v>
      </c>
      <c r="M388" t="s">
        <v>56</v>
      </c>
      <c r="N388" t="s">
        <v>57</v>
      </c>
      <c r="O388" s="18" t="s">
        <v>58</v>
      </c>
      <c r="P388" s="18" t="s">
        <v>64</v>
      </c>
      <c r="Q388" s="17" t="s">
        <v>65</v>
      </c>
      <c r="R388" s="18" t="s">
        <v>66</v>
      </c>
      <c r="S388" s="32">
        <v>1</v>
      </c>
      <c r="T388" s="19">
        <v>1</v>
      </c>
      <c r="U388" s="17" t="s">
        <v>62</v>
      </c>
      <c r="V388" s="17">
        <v>45834</v>
      </c>
      <c r="W388" s="18">
        <v>6</v>
      </c>
      <c r="X388" s="17">
        <v>45835</v>
      </c>
      <c r="Y388" s="17">
        <v>45845</v>
      </c>
      <c r="Z388" s="45">
        <v>7</v>
      </c>
      <c r="AA388">
        <v>2025</v>
      </c>
      <c r="AB388" s="42">
        <v>14369</v>
      </c>
      <c r="AC388" s="42">
        <v>14369</v>
      </c>
    </row>
    <row r="389" spans="1:29">
      <c r="A389" t="s">
        <v>45</v>
      </c>
      <c r="B389" t="s">
        <v>46</v>
      </c>
      <c r="C389" t="s">
        <v>47</v>
      </c>
      <c r="D389" t="s">
        <v>433</v>
      </c>
      <c r="E389" t="s">
        <v>49</v>
      </c>
      <c r="F389" t="s">
        <v>336</v>
      </c>
      <c r="G389" t="s">
        <v>51</v>
      </c>
      <c r="H389" s="17" t="s">
        <v>52</v>
      </c>
      <c r="I389" t="s">
        <v>53</v>
      </c>
      <c r="J389" t="s">
        <v>434</v>
      </c>
      <c r="K389">
        <v>1</v>
      </c>
      <c r="L389" t="s">
        <v>55</v>
      </c>
      <c r="M389" t="s">
        <v>56</v>
      </c>
      <c r="N389" t="s">
        <v>57</v>
      </c>
      <c r="O389" s="18" t="s">
        <v>58</v>
      </c>
      <c r="P389" s="18" t="s">
        <v>99</v>
      </c>
      <c r="Q389" s="17" t="s">
        <v>100</v>
      </c>
      <c r="R389" s="18" t="s">
        <v>101</v>
      </c>
      <c r="S389" s="32">
        <v>1</v>
      </c>
      <c r="T389" s="19">
        <v>1</v>
      </c>
      <c r="U389" s="17" t="s">
        <v>62</v>
      </c>
      <c r="V389" s="17">
        <v>45834</v>
      </c>
      <c r="W389" s="18">
        <v>6</v>
      </c>
      <c r="X389" s="17">
        <v>45835</v>
      </c>
      <c r="Y389" s="17">
        <v>45845</v>
      </c>
      <c r="Z389" s="45">
        <v>7</v>
      </c>
      <c r="AA389">
        <v>2025</v>
      </c>
      <c r="AB389" s="42">
        <v>58000</v>
      </c>
      <c r="AC389" s="42">
        <v>58000</v>
      </c>
    </row>
    <row r="390" spans="1:29">
      <c r="A390" t="s">
        <v>45</v>
      </c>
      <c r="B390" t="s">
        <v>46</v>
      </c>
      <c r="C390" t="s">
        <v>47</v>
      </c>
      <c r="D390" t="s">
        <v>435</v>
      </c>
      <c r="E390" t="s">
        <v>49</v>
      </c>
      <c r="F390" t="s">
        <v>98</v>
      </c>
      <c r="G390" t="s">
        <v>51</v>
      </c>
      <c r="H390" s="17" t="s">
        <v>52</v>
      </c>
      <c r="I390" t="s">
        <v>53</v>
      </c>
      <c r="J390" t="s">
        <v>54</v>
      </c>
      <c r="K390">
        <v>1</v>
      </c>
      <c r="L390" t="s">
        <v>55</v>
      </c>
      <c r="M390" t="s">
        <v>56</v>
      </c>
      <c r="N390" t="s">
        <v>57</v>
      </c>
      <c r="O390" s="18" t="s">
        <v>58</v>
      </c>
      <c r="P390" s="18" t="s">
        <v>99</v>
      </c>
      <c r="Q390" s="17" t="s">
        <v>100</v>
      </c>
      <c r="R390" s="18" t="s">
        <v>101</v>
      </c>
      <c r="S390" s="32">
        <v>350</v>
      </c>
      <c r="T390" s="19">
        <v>350</v>
      </c>
      <c r="U390" s="17" t="s">
        <v>62</v>
      </c>
      <c r="V390" s="17">
        <v>45842</v>
      </c>
      <c r="W390" s="18">
        <v>7</v>
      </c>
      <c r="X390" s="17">
        <v>45933</v>
      </c>
      <c r="Y390" s="17">
        <v>45867</v>
      </c>
      <c r="Z390" s="45">
        <v>7</v>
      </c>
      <c r="AA390">
        <v>2025</v>
      </c>
      <c r="AB390" s="42">
        <v>65800</v>
      </c>
      <c r="AC390" s="42">
        <v>65800</v>
      </c>
    </row>
    <row r="391" spans="1:29">
      <c r="A391" t="s">
        <v>45</v>
      </c>
      <c r="B391" t="s">
        <v>46</v>
      </c>
      <c r="C391" t="s">
        <v>47</v>
      </c>
      <c r="D391" t="s">
        <v>435</v>
      </c>
      <c r="E391" t="s">
        <v>49</v>
      </c>
      <c r="F391" t="s">
        <v>334</v>
      </c>
      <c r="G391" t="s">
        <v>51</v>
      </c>
      <c r="H391" s="17" t="s">
        <v>52</v>
      </c>
      <c r="I391" t="s">
        <v>53</v>
      </c>
      <c r="J391" t="s">
        <v>54</v>
      </c>
      <c r="K391">
        <v>1</v>
      </c>
      <c r="L391" t="s">
        <v>55</v>
      </c>
      <c r="M391" t="s">
        <v>56</v>
      </c>
      <c r="N391" t="s">
        <v>57</v>
      </c>
      <c r="O391" s="18" t="s">
        <v>58</v>
      </c>
      <c r="P391" s="18" t="s">
        <v>436</v>
      </c>
      <c r="Q391" s="17" t="s">
        <v>437</v>
      </c>
      <c r="R391" s="18" t="s">
        <v>438</v>
      </c>
      <c r="S391" s="32">
        <v>350</v>
      </c>
      <c r="T391" s="19">
        <v>350</v>
      </c>
      <c r="U391" s="17" t="s">
        <v>62</v>
      </c>
      <c r="V391" s="17">
        <v>45842</v>
      </c>
      <c r="W391" s="18">
        <v>7</v>
      </c>
      <c r="X391" s="17">
        <v>45933</v>
      </c>
      <c r="Y391" s="17">
        <v>45867</v>
      </c>
      <c r="Z391" s="45">
        <v>7</v>
      </c>
      <c r="AA391">
        <v>2025</v>
      </c>
      <c r="AB391" s="42">
        <v>3752350</v>
      </c>
      <c r="AC391" s="42">
        <v>3752350</v>
      </c>
    </row>
    <row r="392" spans="1:29">
      <c r="A392" t="s">
        <v>45</v>
      </c>
      <c r="B392" t="s">
        <v>46</v>
      </c>
      <c r="C392" t="s">
        <v>47</v>
      </c>
      <c r="D392" t="s">
        <v>435</v>
      </c>
      <c r="E392" t="s">
        <v>49</v>
      </c>
      <c r="F392" t="s">
        <v>335</v>
      </c>
      <c r="G392" t="s">
        <v>51</v>
      </c>
      <c r="H392" s="17" t="s">
        <v>52</v>
      </c>
      <c r="I392" t="s">
        <v>53</v>
      </c>
      <c r="J392" t="s">
        <v>54</v>
      </c>
      <c r="K392">
        <v>1</v>
      </c>
      <c r="L392" t="s">
        <v>55</v>
      </c>
      <c r="M392" t="s">
        <v>56</v>
      </c>
      <c r="N392" t="s">
        <v>57</v>
      </c>
      <c r="O392" s="18" t="s">
        <v>58</v>
      </c>
      <c r="P392" s="18" t="s">
        <v>99</v>
      </c>
      <c r="Q392" s="17" t="s">
        <v>100</v>
      </c>
      <c r="R392" s="18" t="s">
        <v>101</v>
      </c>
      <c r="S392" s="32">
        <v>32</v>
      </c>
      <c r="T392" s="19">
        <v>32</v>
      </c>
      <c r="U392" s="17" t="s">
        <v>62</v>
      </c>
      <c r="V392" s="17">
        <v>45842</v>
      </c>
      <c r="W392" s="18">
        <v>7</v>
      </c>
      <c r="X392" s="17">
        <v>45933</v>
      </c>
      <c r="Y392" s="17">
        <v>45867</v>
      </c>
      <c r="Z392" s="45">
        <v>7</v>
      </c>
      <c r="AA392">
        <v>2025</v>
      </c>
      <c r="AB392" s="42">
        <v>6016</v>
      </c>
      <c r="AC392" s="42">
        <v>6016</v>
      </c>
    </row>
    <row r="393" spans="1:29">
      <c r="A393" t="s">
        <v>45</v>
      </c>
      <c r="B393" t="s">
        <v>46</v>
      </c>
      <c r="C393" t="s">
        <v>47</v>
      </c>
      <c r="D393" t="s">
        <v>435</v>
      </c>
      <c r="E393" t="s">
        <v>49</v>
      </c>
      <c r="F393" t="s">
        <v>336</v>
      </c>
      <c r="G393" t="s">
        <v>51</v>
      </c>
      <c r="H393" s="17" t="s">
        <v>52</v>
      </c>
      <c r="I393" t="s">
        <v>53</v>
      </c>
      <c r="J393" t="s">
        <v>54</v>
      </c>
      <c r="K393">
        <v>1</v>
      </c>
      <c r="L393" t="s">
        <v>55</v>
      </c>
      <c r="M393" t="s">
        <v>56</v>
      </c>
      <c r="N393" t="s">
        <v>57</v>
      </c>
      <c r="O393" s="18" t="s">
        <v>58</v>
      </c>
      <c r="P393" s="18" t="s">
        <v>59</v>
      </c>
      <c r="Q393" s="17" t="s">
        <v>60</v>
      </c>
      <c r="R393" s="18" t="s">
        <v>61</v>
      </c>
      <c r="S393" s="32">
        <v>32</v>
      </c>
      <c r="T393" s="19">
        <v>32</v>
      </c>
      <c r="U393" s="17" t="s">
        <v>62</v>
      </c>
      <c r="V393" s="17">
        <v>45842</v>
      </c>
      <c r="W393" s="18">
        <v>7</v>
      </c>
      <c r="X393" s="17">
        <v>45933</v>
      </c>
      <c r="Y393" s="17">
        <v>45867</v>
      </c>
      <c r="Z393" s="45">
        <v>7</v>
      </c>
      <c r="AA393">
        <v>2025</v>
      </c>
      <c r="AB393" s="42">
        <v>532960</v>
      </c>
      <c r="AC393" s="42">
        <v>532960</v>
      </c>
    </row>
    <row r="394" spans="1:29">
      <c r="A394" t="s">
        <v>45</v>
      </c>
      <c r="B394" t="s">
        <v>46</v>
      </c>
      <c r="C394" t="s">
        <v>47</v>
      </c>
      <c r="D394" t="s">
        <v>435</v>
      </c>
      <c r="E394" t="s">
        <v>49</v>
      </c>
      <c r="F394" t="s">
        <v>439</v>
      </c>
      <c r="G394" t="s">
        <v>51</v>
      </c>
      <c r="H394" s="17" t="s">
        <v>52</v>
      </c>
      <c r="I394" t="s">
        <v>53</v>
      </c>
      <c r="J394" t="s">
        <v>54</v>
      </c>
      <c r="K394">
        <v>1</v>
      </c>
      <c r="L394" t="s">
        <v>55</v>
      </c>
      <c r="M394" t="s">
        <v>56</v>
      </c>
      <c r="N394" t="s">
        <v>57</v>
      </c>
      <c r="O394" s="18" t="s">
        <v>58</v>
      </c>
      <c r="P394" s="18" t="s">
        <v>99</v>
      </c>
      <c r="Q394" s="17" t="s">
        <v>100</v>
      </c>
      <c r="R394" s="18" t="s">
        <v>101</v>
      </c>
      <c r="S394" s="32">
        <v>69</v>
      </c>
      <c r="T394" s="19">
        <v>69</v>
      </c>
      <c r="U394" s="17" t="s">
        <v>62</v>
      </c>
      <c r="V394" s="17">
        <v>45842</v>
      </c>
      <c r="W394" s="18">
        <v>7</v>
      </c>
      <c r="X394" s="17">
        <v>45933</v>
      </c>
      <c r="Y394" s="17">
        <v>45867</v>
      </c>
      <c r="Z394" s="45">
        <v>7</v>
      </c>
      <c r="AA394">
        <v>2025</v>
      </c>
      <c r="AB394" s="42">
        <v>1035</v>
      </c>
      <c r="AC394" s="42">
        <v>1035</v>
      </c>
    </row>
    <row r="395" spans="1:29">
      <c r="A395" t="s">
        <v>45</v>
      </c>
      <c r="B395" t="s">
        <v>46</v>
      </c>
      <c r="C395" t="s">
        <v>47</v>
      </c>
      <c r="D395" t="s">
        <v>435</v>
      </c>
      <c r="E395" t="s">
        <v>49</v>
      </c>
      <c r="F395" t="s">
        <v>440</v>
      </c>
      <c r="G395" t="s">
        <v>51</v>
      </c>
      <c r="H395" s="17" t="s">
        <v>52</v>
      </c>
      <c r="I395" t="s">
        <v>53</v>
      </c>
      <c r="J395" t="s">
        <v>54</v>
      </c>
      <c r="K395">
        <v>1</v>
      </c>
      <c r="L395" t="s">
        <v>55</v>
      </c>
      <c r="M395" t="s">
        <v>56</v>
      </c>
      <c r="N395" t="s">
        <v>57</v>
      </c>
      <c r="O395" s="18" t="s">
        <v>58</v>
      </c>
      <c r="P395" s="18" t="s">
        <v>94</v>
      </c>
      <c r="Q395" s="17" t="s">
        <v>441</v>
      </c>
      <c r="R395" s="18" t="s">
        <v>442</v>
      </c>
      <c r="S395" s="32">
        <v>69</v>
      </c>
      <c r="T395" s="19">
        <v>69</v>
      </c>
      <c r="U395" s="17" t="s">
        <v>62</v>
      </c>
      <c r="V395" s="17">
        <v>45842</v>
      </c>
      <c r="W395" s="18">
        <v>7</v>
      </c>
      <c r="X395" s="17">
        <v>45933</v>
      </c>
      <c r="Y395" s="17">
        <v>45867</v>
      </c>
      <c r="Z395" s="45">
        <v>7</v>
      </c>
      <c r="AA395">
        <v>2025</v>
      </c>
      <c r="AB395" s="42">
        <v>778251</v>
      </c>
      <c r="AC395" s="42">
        <v>778251</v>
      </c>
    </row>
    <row r="396" spans="1:29">
      <c r="A396" t="s">
        <v>45</v>
      </c>
      <c r="B396" t="s">
        <v>46</v>
      </c>
      <c r="C396" t="s">
        <v>47</v>
      </c>
      <c r="D396" t="s">
        <v>443</v>
      </c>
      <c r="E396" t="s">
        <v>49</v>
      </c>
      <c r="F396" t="s">
        <v>50</v>
      </c>
      <c r="G396" t="s">
        <v>51</v>
      </c>
      <c r="H396" s="17" t="s">
        <v>52</v>
      </c>
      <c r="I396" t="s">
        <v>53</v>
      </c>
      <c r="J396" t="s">
        <v>136</v>
      </c>
      <c r="K396">
        <v>1</v>
      </c>
      <c r="L396" t="s">
        <v>55</v>
      </c>
      <c r="M396" t="s">
        <v>56</v>
      </c>
      <c r="N396" t="s">
        <v>57</v>
      </c>
      <c r="O396" s="18" t="s">
        <v>58</v>
      </c>
      <c r="P396" s="18" t="s">
        <v>86</v>
      </c>
      <c r="Q396" s="17" t="s">
        <v>87</v>
      </c>
      <c r="R396" s="18" t="s">
        <v>88</v>
      </c>
      <c r="S396" s="32">
        <v>30</v>
      </c>
      <c r="T396" s="19">
        <v>30</v>
      </c>
      <c r="U396" s="17" t="s">
        <v>62</v>
      </c>
      <c r="V396" s="17">
        <v>45838</v>
      </c>
      <c r="W396" s="18">
        <v>6</v>
      </c>
      <c r="X396" s="17">
        <v>45839</v>
      </c>
      <c r="Y396" s="17">
        <v>45841</v>
      </c>
      <c r="Z396" s="45">
        <v>7</v>
      </c>
      <c r="AA396">
        <v>2025</v>
      </c>
      <c r="AB396" s="42">
        <v>922920</v>
      </c>
      <c r="AC396" s="42">
        <v>922920</v>
      </c>
    </row>
    <row r="397" spans="1:29">
      <c r="A397" t="s">
        <v>45</v>
      </c>
      <c r="B397" t="s">
        <v>46</v>
      </c>
      <c r="C397" t="s">
        <v>47</v>
      </c>
      <c r="D397" t="s">
        <v>443</v>
      </c>
      <c r="E397" t="s">
        <v>49</v>
      </c>
      <c r="F397" t="s">
        <v>63</v>
      </c>
      <c r="G397" t="s">
        <v>51</v>
      </c>
      <c r="H397" s="17" t="s">
        <v>52</v>
      </c>
      <c r="I397" t="s">
        <v>53</v>
      </c>
      <c r="J397" t="s">
        <v>136</v>
      </c>
      <c r="K397">
        <v>1</v>
      </c>
      <c r="L397" t="s">
        <v>55</v>
      </c>
      <c r="M397" t="s">
        <v>56</v>
      </c>
      <c r="N397" t="s">
        <v>57</v>
      </c>
      <c r="O397" s="18" t="s">
        <v>58</v>
      </c>
      <c r="P397" s="18" t="s">
        <v>72</v>
      </c>
      <c r="Q397" s="17" t="s">
        <v>127</v>
      </c>
      <c r="R397" s="18" t="s">
        <v>128</v>
      </c>
      <c r="S397" s="32">
        <v>22</v>
      </c>
      <c r="T397" s="19">
        <v>22</v>
      </c>
      <c r="U397" s="17" t="s">
        <v>62</v>
      </c>
      <c r="V397" s="17">
        <v>45838</v>
      </c>
      <c r="W397" s="18">
        <v>6</v>
      </c>
      <c r="X397" s="17">
        <v>45839</v>
      </c>
      <c r="Y397" s="17">
        <v>45841</v>
      </c>
      <c r="Z397" s="45">
        <v>7</v>
      </c>
      <c r="AA397">
        <v>2025</v>
      </c>
      <c r="AB397" s="42">
        <v>156860</v>
      </c>
      <c r="AC397" s="42">
        <v>156860</v>
      </c>
    </row>
    <row r="398" spans="1:29">
      <c r="A398" t="s">
        <v>45</v>
      </c>
      <c r="B398" t="s">
        <v>46</v>
      </c>
      <c r="C398" t="s">
        <v>47</v>
      </c>
      <c r="D398" t="s">
        <v>443</v>
      </c>
      <c r="E398" t="s">
        <v>49</v>
      </c>
      <c r="F398" t="s">
        <v>67</v>
      </c>
      <c r="G398" t="s">
        <v>51</v>
      </c>
      <c r="H398" s="17" t="s">
        <v>52</v>
      </c>
      <c r="I398" t="s">
        <v>53</v>
      </c>
      <c r="J398" t="s">
        <v>136</v>
      </c>
      <c r="K398">
        <v>1</v>
      </c>
      <c r="L398" t="s">
        <v>55</v>
      </c>
      <c r="M398" t="s">
        <v>56</v>
      </c>
      <c r="N398" t="s">
        <v>57</v>
      </c>
      <c r="O398" s="18" t="s">
        <v>58</v>
      </c>
      <c r="P398" s="18" t="s">
        <v>72</v>
      </c>
      <c r="Q398" s="17" t="s">
        <v>193</v>
      </c>
      <c r="R398" s="18" t="s">
        <v>194</v>
      </c>
      <c r="S398" s="32">
        <v>20</v>
      </c>
      <c r="T398" s="19">
        <v>20</v>
      </c>
      <c r="U398" s="17" t="s">
        <v>62</v>
      </c>
      <c r="V398" s="17">
        <v>45838</v>
      </c>
      <c r="W398" s="18">
        <v>6</v>
      </c>
      <c r="X398" s="17">
        <v>45839</v>
      </c>
      <c r="Y398" s="17">
        <v>45841</v>
      </c>
      <c r="Z398" s="45">
        <v>7</v>
      </c>
      <c r="AA398">
        <v>2025</v>
      </c>
      <c r="AB398" s="42">
        <v>201080</v>
      </c>
      <c r="AC398" s="42">
        <v>201080</v>
      </c>
    </row>
    <row r="399" spans="1:29">
      <c r="A399" t="s">
        <v>45</v>
      </c>
      <c r="B399" t="s">
        <v>46</v>
      </c>
      <c r="C399" t="s">
        <v>47</v>
      </c>
      <c r="D399" t="s">
        <v>444</v>
      </c>
      <c r="E399" t="s">
        <v>115</v>
      </c>
      <c r="F399" t="s">
        <v>50</v>
      </c>
      <c r="G399" t="s">
        <v>116</v>
      </c>
      <c r="H399" s="17" t="s">
        <v>52</v>
      </c>
      <c r="I399" t="s">
        <v>53</v>
      </c>
      <c r="J399" t="s">
        <v>110</v>
      </c>
      <c r="K399">
        <v>1</v>
      </c>
      <c r="L399" t="s">
        <v>55</v>
      </c>
      <c r="M399" t="s">
        <v>56</v>
      </c>
      <c r="N399" t="s">
        <v>57</v>
      </c>
      <c r="O399" s="18" t="s">
        <v>58</v>
      </c>
      <c r="P399" s="18" t="s">
        <v>72</v>
      </c>
      <c r="Q399" s="17" t="s">
        <v>122</v>
      </c>
      <c r="R399" s="18" t="s">
        <v>425</v>
      </c>
      <c r="S399" s="32">
        <v>4</v>
      </c>
      <c r="T399" s="19">
        <v>4</v>
      </c>
      <c r="U399" s="17" t="s">
        <v>119</v>
      </c>
      <c r="V399" s="17">
        <v>45842</v>
      </c>
      <c r="W399" s="18">
        <v>7</v>
      </c>
      <c r="X399" s="17">
        <v>45855</v>
      </c>
      <c r="Y399" s="17">
        <v>45847</v>
      </c>
      <c r="Z399" s="45">
        <v>7</v>
      </c>
      <c r="AA399">
        <v>2025</v>
      </c>
      <c r="AB399" s="42">
        <v>1405320</v>
      </c>
      <c r="AC399" s="42">
        <v>1405320</v>
      </c>
    </row>
    <row r="400" spans="1:29">
      <c r="A400" t="s">
        <v>45</v>
      </c>
      <c r="B400" t="s">
        <v>46</v>
      </c>
      <c r="C400" t="s">
        <v>47</v>
      </c>
      <c r="D400" t="s">
        <v>444</v>
      </c>
      <c r="E400" t="s">
        <v>115</v>
      </c>
      <c r="F400" t="s">
        <v>63</v>
      </c>
      <c r="G400" t="s">
        <v>116</v>
      </c>
      <c r="H400" s="17" t="s">
        <v>52</v>
      </c>
      <c r="I400" t="s">
        <v>53</v>
      </c>
      <c r="J400" t="s">
        <v>110</v>
      </c>
      <c r="K400">
        <v>1</v>
      </c>
      <c r="L400" t="s">
        <v>55</v>
      </c>
      <c r="M400" t="s">
        <v>56</v>
      </c>
      <c r="N400" t="s">
        <v>57</v>
      </c>
      <c r="O400" s="18" t="s">
        <v>58</v>
      </c>
      <c r="P400" s="18" t="s">
        <v>72</v>
      </c>
      <c r="Q400" s="17" t="s">
        <v>117</v>
      </c>
      <c r="R400" s="18" t="s">
        <v>393</v>
      </c>
      <c r="S400" s="32">
        <v>4</v>
      </c>
      <c r="T400" s="19">
        <v>4</v>
      </c>
      <c r="U400" s="17" t="s">
        <v>119</v>
      </c>
      <c r="V400" s="17">
        <v>45842</v>
      </c>
      <c r="W400" s="18">
        <v>7</v>
      </c>
      <c r="X400" s="17">
        <v>45855</v>
      </c>
      <c r="Y400" s="17">
        <v>45847</v>
      </c>
      <c r="Z400" s="45">
        <v>7</v>
      </c>
      <c r="AA400">
        <v>2025</v>
      </c>
      <c r="AB400" s="42">
        <v>1406000</v>
      </c>
      <c r="AC400" s="42">
        <v>1406000</v>
      </c>
    </row>
    <row r="401" spans="1:29">
      <c r="A401" t="s">
        <v>45</v>
      </c>
      <c r="B401" t="s">
        <v>46</v>
      </c>
      <c r="C401" t="s">
        <v>47</v>
      </c>
      <c r="D401" t="s">
        <v>445</v>
      </c>
      <c r="E401" t="s">
        <v>115</v>
      </c>
      <c r="F401" t="s">
        <v>50</v>
      </c>
      <c r="G401" t="s">
        <v>116</v>
      </c>
      <c r="H401" s="17" t="s">
        <v>52</v>
      </c>
      <c r="I401" t="s">
        <v>53</v>
      </c>
      <c r="J401" t="s">
        <v>121</v>
      </c>
      <c r="K401">
        <v>1</v>
      </c>
      <c r="L401" t="s">
        <v>55</v>
      </c>
      <c r="M401" t="s">
        <v>56</v>
      </c>
      <c r="N401" t="s">
        <v>57</v>
      </c>
      <c r="O401" s="18" t="s">
        <v>58</v>
      </c>
      <c r="P401" s="18" t="s">
        <v>72</v>
      </c>
      <c r="Q401" s="17" t="s">
        <v>147</v>
      </c>
      <c r="R401" s="18" t="s">
        <v>148</v>
      </c>
      <c r="S401" s="32">
        <v>2</v>
      </c>
      <c r="T401" s="19">
        <v>1</v>
      </c>
      <c r="U401" s="17" t="s">
        <v>119</v>
      </c>
      <c r="V401" s="17">
        <v>45842</v>
      </c>
      <c r="W401" s="18">
        <v>7</v>
      </c>
      <c r="X401" s="17">
        <v>45855</v>
      </c>
      <c r="Y401" s="17">
        <v>45855</v>
      </c>
      <c r="Z401" s="45">
        <v>7</v>
      </c>
      <c r="AA401">
        <v>2025</v>
      </c>
      <c r="AB401" s="42">
        <v>837440</v>
      </c>
      <c r="AC401" s="42">
        <v>418720</v>
      </c>
    </row>
    <row r="402" spans="1:29">
      <c r="A402" t="s">
        <v>45</v>
      </c>
      <c r="B402" t="s">
        <v>46</v>
      </c>
      <c r="C402" t="s">
        <v>47</v>
      </c>
      <c r="D402" t="s">
        <v>445</v>
      </c>
      <c r="E402" t="s">
        <v>115</v>
      </c>
      <c r="F402" t="s">
        <v>63</v>
      </c>
      <c r="G402" t="s">
        <v>116</v>
      </c>
      <c r="H402" s="17" t="s">
        <v>52</v>
      </c>
      <c r="I402" t="s">
        <v>53</v>
      </c>
      <c r="J402" t="s">
        <v>121</v>
      </c>
      <c r="K402">
        <v>1</v>
      </c>
      <c r="L402" t="s">
        <v>55</v>
      </c>
      <c r="M402" t="s">
        <v>56</v>
      </c>
      <c r="N402" t="s">
        <v>57</v>
      </c>
      <c r="O402" s="18" t="s">
        <v>58</v>
      </c>
      <c r="P402" s="18" t="s">
        <v>72</v>
      </c>
      <c r="Q402" s="17" t="s">
        <v>122</v>
      </c>
      <c r="R402" s="18" t="s">
        <v>425</v>
      </c>
      <c r="S402" s="32">
        <v>4</v>
      </c>
      <c r="T402" s="19">
        <v>4</v>
      </c>
      <c r="U402" s="17" t="s">
        <v>119</v>
      </c>
      <c r="V402" s="17">
        <v>45842</v>
      </c>
      <c r="W402" s="18">
        <v>7</v>
      </c>
      <c r="X402" s="17">
        <v>45855</v>
      </c>
      <c r="Y402" s="17">
        <v>45855</v>
      </c>
      <c r="Z402" s="45">
        <v>7</v>
      </c>
      <c r="AA402">
        <v>2025</v>
      </c>
      <c r="AB402" s="42">
        <v>1405320</v>
      </c>
      <c r="AC402" s="42">
        <v>1405320</v>
      </c>
    </row>
    <row r="403" spans="1:29">
      <c r="A403" t="s">
        <v>45</v>
      </c>
      <c r="B403" t="s">
        <v>46</v>
      </c>
      <c r="C403" t="s">
        <v>47</v>
      </c>
      <c r="D403" t="s">
        <v>446</v>
      </c>
      <c r="E403" t="s">
        <v>115</v>
      </c>
      <c r="F403" t="s">
        <v>50</v>
      </c>
      <c r="G403" t="s">
        <v>116</v>
      </c>
      <c r="H403" s="17" t="s">
        <v>52</v>
      </c>
      <c r="I403" t="s">
        <v>53</v>
      </c>
      <c r="J403" t="s">
        <v>125</v>
      </c>
      <c r="K403">
        <v>1</v>
      </c>
      <c r="L403" t="s">
        <v>55</v>
      </c>
      <c r="M403" t="s">
        <v>56</v>
      </c>
      <c r="N403" t="s">
        <v>57</v>
      </c>
      <c r="O403" s="18" t="s">
        <v>58</v>
      </c>
      <c r="P403" s="18" t="s">
        <v>72</v>
      </c>
      <c r="Q403" s="17" t="s">
        <v>122</v>
      </c>
      <c r="R403" s="18" t="s">
        <v>425</v>
      </c>
      <c r="S403" s="32">
        <v>4</v>
      </c>
      <c r="T403" s="19">
        <v>4</v>
      </c>
      <c r="U403" s="17" t="s">
        <v>119</v>
      </c>
      <c r="V403" s="17">
        <v>45842</v>
      </c>
      <c r="W403" s="18">
        <v>7</v>
      </c>
      <c r="X403" s="17">
        <v>45855</v>
      </c>
      <c r="Y403" s="17">
        <v>45847</v>
      </c>
      <c r="Z403" s="45">
        <v>7</v>
      </c>
      <c r="AA403">
        <v>2025</v>
      </c>
      <c r="AB403" s="42">
        <v>1405320</v>
      </c>
      <c r="AC403" s="42">
        <v>1405320</v>
      </c>
    </row>
    <row r="404" spans="1:29">
      <c r="A404" t="s">
        <v>45</v>
      </c>
      <c r="B404" t="s">
        <v>46</v>
      </c>
      <c r="C404" t="s">
        <v>47</v>
      </c>
      <c r="D404" t="s">
        <v>446</v>
      </c>
      <c r="E404" t="s">
        <v>115</v>
      </c>
      <c r="F404" t="s">
        <v>63</v>
      </c>
      <c r="G404" t="s">
        <v>116</v>
      </c>
      <c r="H404" s="17" t="s">
        <v>52</v>
      </c>
      <c r="I404" t="s">
        <v>53</v>
      </c>
      <c r="J404" t="s">
        <v>125</v>
      </c>
      <c r="K404">
        <v>1</v>
      </c>
      <c r="L404" t="s">
        <v>55</v>
      </c>
      <c r="M404" t="s">
        <v>56</v>
      </c>
      <c r="N404" t="s">
        <v>57</v>
      </c>
      <c r="O404" s="18" t="s">
        <v>58</v>
      </c>
      <c r="P404" s="18" t="s">
        <v>72</v>
      </c>
      <c r="Q404" s="17" t="s">
        <v>117</v>
      </c>
      <c r="R404" s="18" t="s">
        <v>393</v>
      </c>
      <c r="S404" s="32">
        <v>1</v>
      </c>
      <c r="T404" s="19">
        <v>1</v>
      </c>
      <c r="U404" s="17" t="s">
        <v>119</v>
      </c>
      <c r="V404" s="17">
        <v>45842</v>
      </c>
      <c r="W404" s="18">
        <v>7</v>
      </c>
      <c r="X404" s="17">
        <v>45855</v>
      </c>
      <c r="Y404" s="17">
        <v>45847</v>
      </c>
      <c r="Z404" s="45">
        <v>7</v>
      </c>
      <c r="AA404">
        <v>2025</v>
      </c>
      <c r="AB404" s="42">
        <v>351500</v>
      </c>
      <c r="AC404" s="42">
        <v>351500</v>
      </c>
    </row>
    <row r="405" spans="1:29">
      <c r="A405" t="s">
        <v>45</v>
      </c>
      <c r="B405" t="s">
        <v>46</v>
      </c>
      <c r="C405" t="s">
        <v>47</v>
      </c>
      <c r="D405" t="s">
        <v>447</v>
      </c>
      <c r="E405" t="s">
        <v>115</v>
      </c>
      <c r="F405" t="s">
        <v>50</v>
      </c>
      <c r="G405" t="s">
        <v>116</v>
      </c>
      <c r="H405" s="17" t="s">
        <v>52</v>
      </c>
      <c r="I405" t="s">
        <v>53</v>
      </c>
      <c r="J405" t="s">
        <v>110</v>
      </c>
      <c r="K405">
        <v>1</v>
      </c>
      <c r="L405" t="s">
        <v>55</v>
      </c>
      <c r="M405" t="s">
        <v>56</v>
      </c>
      <c r="N405" t="s">
        <v>57</v>
      </c>
      <c r="O405" s="18" t="s">
        <v>58</v>
      </c>
      <c r="P405" s="18" t="s">
        <v>72</v>
      </c>
      <c r="Q405" s="17" t="s">
        <v>122</v>
      </c>
      <c r="R405" s="18" t="s">
        <v>425</v>
      </c>
      <c r="S405" s="32">
        <v>6</v>
      </c>
      <c r="T405" s="19">
        <v>6</v>
      </c>
      <c r="U405" s="17" t="s">
        <v>119</v>
      </c>
      <c r="V405" s="17">
        <v>45849</v>
      </c>
      <c r="W405" s="18">
        <v>7</v>
      </c>
      <c r="X405" s="17">
        <v>45862</v>
      </c>
      <c r="Y405" s="17">
        <v>45856</v>
      </c>
      <c r="Z405" s="45">
        <v>7</v>
      </c>
      <c r="AA405">
        <v>2025</v>
      </c>
      <c r="AB405" s="42">
        <v>2107980</v>
      </c>
      <c r="AC405" s="42">
        <v>2107980</v>
      </c>
    </row>
    <row r="406" spans="1:29">
      <c r="A406" t="s">
        <v>45</v>
      </c>
      <c r="B406" t="s">
        <v>46</v>
      </c>
      <c r="C406" t="s">
        <v>47</v>
      </c>
      <c r="D406" t="s">
        <v>447</v>
      </c>
      <c r="E406" t="s">
        <v>115</v>
      </c>
      <c r="F406" t="s">
        <v>63</v>
      </c>
      <c r="G406" t="s">
        <v>116</v>
      </c>
      <c r="H406" s="17" t="s">
        <v>52</v>
      </c>
      <c r="I406" t="s">
        <v>53</v>
      </c>
      <c r="J406" t="s">
        <v>110</v>
      </c>
      <c r="K406">
        <v>1</v>
      </c>
      <c r="L406" t="s">
        <v>55</v>
      </c>
      <c r="M406" t="s">
        <v>56</v>
      </c>
      <c r="N406" t="s">
        <v>57</v>
      </c>
      <c r="O406" s="18" t="s">
        <v>58</v>
      </c>
      <c r="P406" s="18" t="s">
        <v>72</v>
      </c>
      <c r="Q406" s="17" t="s">
        <v>117</v>
      </c>
      <c r="R406" s="18" t="s">
        <v>393</v>
      </c>
      <c r="S406" s="32">
        <v>4</v>
      </c>
      <c r="T406" s="19">
        <v>4</v>
      </c>
      <c r="U406" s="17" t="s">
        <v>119</v>
      </c>
      <c r="V406" s="17">
        <v>45849</v>
      </c>
      <c r="W406" s="18">
        <v>7</v>
      </c>
      <c r="X406" s="17">
        <v>45862</v>
      </c>
      <c r="Y406" s="17">
        <v>45856</v>
      </c>
      <c r="Z406" s="45">
        <v>7</v>
      </c>
      <c r="AA406">
        <v>2025</v>
      </c>
      <c r="AB406" s="42">
        <v>1406000</v>
      </c>
      <c r="AC406" s="42">
        <v>1406000</v>
      </c>
    </row>
    <row r="407" spans="1:29">
      <c r="A407" t="s">
        <v>45</v>
      </c>
      <c r="B407" t="s">
        <v>46</v>
      </c>
      <c r="C407" t="s">
        <v>47</v>
      </c>
      <c r="D407" t="s">
        <v>448</v>
      </c>
      <c r="E407" t="s">
        <v>115</v>
      </c>
      <c r="F407" t="s">
        <v>50</v>
      </c>
      <c r="G407" t="s">
        <v>116</v>
      </c>
      <c r="H407" s="17" t="s">
        <v>52</v>
      </c>
      <c r="I407" t="s">
        <v>53</v>
      </c>
      <c r="J407" t="s">
        <v>190</v>
      </c>
      <c r="K407">
        <v>1</v>
      </c>
      <c r="L407" t="s">
        <v>55</v>
      </c>
      <c r="M407" t="s">
        <v>56</v>
      </c>
      <c r="N407" t="s">
        <v>57</v>
      </c>
      <c r="O407" s="18" t="s">
        <v>58</v>
      </c>
      <c r="P407" s="18" t="s">
        <v>72</v>
      </c>
      <c r="Q407" s="17" t="s">
        <v>122</v>
      </c>
      <c r="R407" s="18" t="s">
        <v>425</v>
      </c>
      <c r="S407" s="32">
        <v>2</v>
      </c>
      <c r="T407" s="19">
        <v>2</v>
      </c>
      <c r="U407" s="17" t="s">
        <v>119</v>
      </c>
      <c r="V407" s="17">
        <v>45849</v>
      </c>
      <c r="W407" s="18">
        <v>7</v>
      </c>
      <c r="X407" s="17">
        <v>45862</v>
      </c>
      <c r="Y407" s="17">
        <v>45855</v>
      </c>
      <c r="Z407" s="45">
        <v>7</v>
      </c>
      <c r="AA407">
        <v>2025</v>
      </c>
      <c r="AB407" s="42">
        <v>702660</v>
      </c>
      <c r="AC407" s="42">
        <v>702660</v>
      </c>
    </row>
    <row r="408" spans="1:29">
      <c r="A408" t="s">
        <v>45</v>
      </c>
      <c r="B408" t="s">
        <v>46</v>
      </c>
      <c r="C408" t="s">
        <v>47</v>
      </c>
      <c r="D408" t="s">
        <v>448</v>
      </c>
      <c r="E408" t="s">
        <v>115</v>
      </c>
      <c r="F408" t="s">
        <v>63</v>
      </c>
      <c r="G408" t="s">
        <v>116</v>
      </c>
      <c r="H408" s="17" t="s">
        <v>52</v>
      </c>
      <c r="I408" t="s">
        <v>53</v>
      </c>
      <c r="J408" t="s">
        <v>190</v>
      </c>
      <c r="K408">
        <v>1</v>
      </c>
      <c r="L408" t="s">
        <v>55</v>
      </c>
      <c r="M408" t="s">
        <v>56</v>
      </c>
      <c r="N408" t="s">
        <v>57</v>
      </c>
      <c r="O408" s="18" t="s">
        <v>58</v>
      </c>
      <c r="P408" s="18" t="s">
        <v>72</v>
      </c>
      <c r="Q408" s="17" t="s">
        <v>117</v>
      </c>
      <c r="R408" s="18" t="s">
        <v>393</v>
      </c>
      <c r="S408" s="32">
        <v>4</v>
      </c>
      <c r="T408" s="19">
        <v>4</v>
      </c>
      <c r="U408" s="17" t="s">
        <v>119</v>
      </c>
      <c r="V408" s="17">
        <v>45849</v>
      </c>
      <c r="W408" s="18">
        <v>7</v>
      </c>
      <c r="X408" s="17">
        <v>45862</v>
      </c>
      <c r="Y408" s="17">
        <v>45855</v>
      </c>
      <c r="Z408" s="45">
        <v>7</v>
      </c>
      <c r="AA408">
        <v>2025</v>
      </c>
      <c r="AB408" s="42">
        <v>1406000</v>
      </c>
      <c r="AC408" s="42">
        <v>1406000</v>
      </c>
    </row>
    <row r="409" spans="1:29">
      <c r="A409" t="s">
        <v>45</v>
      </c>
      <c r="B409" t="s">
        <v>46</v>
      </c>
      <c r="C409" t="s">
        <v>47</v>
      </c>
      <c r="D409" t="s">
        <v>448</v>
      </c>
      <c r="E409" t="s">
        <v>115</v>
      </c>
      <c r="F409" t="s">
        <v>67</v>
      </c>
      <c r="G409" t="s">
        <v>116</v>
      </c>
      <c r="H409" s="17" t="s">
        <v>52</v>
      </c>
      <c r="I409" t="s">
        <v>53</v>
      </c>
      <c r="J409" t="s">
        <v>190</v>
      </c>
      <c r="K409">
        <v>1</v>
      </c>
      <c r="L409" t="s">
        <v>55</v>
      </c>
      <c r="M409" t="s">
        <v>56</v>
      </c>
      <c r="N409" t="s">
        <v>57</v>
      </c>
      <c r="O409" s="18" t="s">
        <v>58</v>
      </c>
      <c r="P409" s="18" t="s">
        <v>132</v>
      </c>
      <c r="Q409" s="17" t="s">
        <v>449</v>
      </c>
      <c r="R409" s="18" t="s">
        <v>450</v>
      </c>
      <c r="S409" s="32">
        <v>1</v>
      </c>
      <c r="T409" s="19">
        <v>1</v>
      </c>
      <c r="U409" s="17" t="s">
        <v>239</v>
      </c>
      <c r="V409" s="17">
        <v>45849</v>
      </c>
      <c r="W409" s="18">
        <v>7</v>
      </c>
      <c r="X409" s="17">
        <v>45862</v>
      </c>
      <c r="Y409" s="17">
        <v>45855</v>
      </c>
      <c r="Z409" s="45">
        <v>7</v>
      </c>
      <c r="AA409">
        <v>2025</v>
      </c>
      <c r="AB409" s="42">
        <v>18864</v>
      </c>
      <c r="AC409" s="42">
        <v>18864</v>
      </c>
    </row>
    <row r="410" spans="1:29">
      <c r="A410" t="s">
        <v>45</v>
      </c>
      <c r="B410" t="s">
        <v>46</v>
      </c>
      <c r="C410" t="s">
        <v>47</v>
      </c>
      <c r="D410" t="s">
        <v>451</v>
      </c>
      <c r="E410" t="s">
        <v>115</v>
      </c>
      <c r="F410" t="s">
        <v>50</v>
      </c>
      <c r="G410" t="s">
        <v>116</v>
      </c>
      <c r="H410" s="17" t="s">
        <v>52</v>
      </c>
      <c r="I410" t="s">
        <v>53</v>
      </c>
      <c r="J410" t="s">
        <v>125</v>
      </c>
      <c r="K410">
        <v>1</v>
      </c>
      <c r="L410" t="s">
        <v>55</v>
      </c>
      <c r="M410" t="s">
        <v>56</v>
      </c>
      <c r="N410" t="s">
        <v>57</v>
      </c>
      <c r="O410" s="18" t="s">
        <v>58</v>
      </c>
      <c r="P410" s="18" t="s">
        <v>72</v>
      </c>
      <c r="Q410" s="17" t="s">
        <v>122</v>
      </c>
      <c r="R410" s="18" t="s">
        <v>425</v>
      </c>
      <c r="S410" s="32">
        <v>2</v>
      </c>
      <c r="T410" s="19">
        <v>2</v>
      </c>
      <c r="U410" s="17" t="s">
        <v>119</v>
      </c>
      <c r="V410" s="17">
        <v>45849</v>
      </c>
      <c r="W410" s="18">
        <v>7</v>
      </c>
      <c r="X410" s="17">
        <v>45862</v>
      </c>
      <c r="Y410" s="17">
        <v>45859</v>
      </c>
      <c r="Z410" s="45">
        <v>7</v>
      </c>
      <c r="AA410">
        <v>2025</v>
      </c>
      <c r="AB410" s="42">
        <v>702660</v>
      </c>
      <c r="AC410" s="42">
        <v>702660</v>
      </c>
    </row>
    <row r="411" spans="1:29">
      <c r="A411" t="s">
        <v>45</v>
      </c>
      <c r="B411" t="s">
        <v>46</v>
      </c>
      <c r="C411" t="s">
        <v>47</v>
      </c>
      <c r="D411" t="s">
        <v>451</v>
      </c>
      <c r="E411" t="s">
        <v>115</v>
      </c>
      <c r="F411" t="s">
        <v>63</v>
      </c>
      <c r="G411" t="s">
        <v>116</v>
      </c>
      <c r="H411" s="17" t="s">
        <v>52</v>
      </c>
      <c r="I411" t="s">
        <v>53</v>
      </c>
      <c r="J411" t="s">
        <v>125</v>
      </c>
      <c r="K411">
        <v>1</v>
      </c>
      <c r="L411" t="s">
        <v>55</v>
      </c>
      <c r="M411" t="s">
        <v>56</v>
      </c>
      <c r="N411" t="s">
        <v>57</v>
      </c>
      <c r="O411" s="18" t="s">
        <v>58</v>
      </c>
      <c r="P411" s="18" t="s">
        <v>72</v>
      </c>
      <c r="Q411" s="17" t="s">
        <v>117</v>
      </c>
      <c r="R411" s="18" t="s">
        <v>393</v>
      </c>
      <c r="S411" s="32">
        <v>4</v>
      </c>
      <c r="T411" s="19">
        <v>4</v>
      </c>
      <c r="U411" s="17" t="s">
        <v>119</v>
      </c>
      <c r="V411" s="17">
        <v>45849</v>
      </c>
      <c r="W411" s="18">
        <v>7</v>
      </c>
      <c r="X411" s="17">
        <v>45862</v>
      </c>
      <c r="Y411" s="17">
        <v>45859</v>
      </c>
      <c r="Z411" s="45">
        <v>7</v>
      </c>
      <c r="AA411">
        <v>2025</v>
      </c>
      <c r="AB411" s="42">
        <v>1406000</v>
      </c>
      <c r="AC411" s="42">
        <v>1406000</v>
      </c>
    </row>
    <row r="412" spans="1:29">
      <c r="A412" t="s">
        <v>45</v>
      </c>
      <c r="B412" t="s">
        <v>46</v>
      </c>
      <c r="C412" t="s">
        <v>47</v>
      </c>
      <c r="D412" t="s">
        <v>452</v>
      </c>
      <c r="E412" t="s">
        <v>49</v>
      </c>
      <c r="F412" t="s">
        <v>50</v>
      </c>
      <c r="G412" t="s">
        <v>51</v>
      </c>
      <c r="H412" s="17" t="s">
        <v>52</v>
      </c>
      <c r="I412" t="s">
        <v>53</v>
      </c>
      <c r="J412" t="s">
        <v>54</v>
      </c>
      <c r="K412">
        <v>1</v>
      </c>
      <c r="L412" t="s">
        <v>55</v>
      </c>
      <c r="M412" t="s">
        <v>56</v>
      </c>
      <c r="N412" t="s">
        <v>57</v>
      </c>
      <c r="O412" s="18" t="s">
        <v>58</v>
      </c>
      <c r="P412" s="18" t="s">
        <v>76</v>
      </c>
      <c r="Q412" s="17" t="s">
        <v>77</v>
      </c>
      <c r="R412" s="18" t="s">
        <v>78</v>
      </c>
      <c r="S412" s="32">
        <v>100</v>
      </c>
      <c r="T412" s="19">
        <v>100</v>
      </c>
      <c r="U412" s="17" t="s">
        <v>62</v>
      </c>
      <c r="V412" s="17">
        <v>45839</v>
      </c>
      <c r="W412" s="18">
        <v>7</v>
      </c>
      <c r="X412" s="17">
        <v>45932</v>
      </c>
      <c r="Y412" s="17">
        <v>45856</v>
      </c>
      <c r="Z412" s="45">
        <v>7</v>
      </c>
      <c r="AA412">
        <v>2025</v>
      </c>
      <c r="AB412" s="42">
        <v>774900</v>
      </c>
      <c r="AC412" s="42">
        <v>774900</v>
      </c>
    </row>
    <row r="413" spans="1:29">
      <c r="A413" t="s">
        <v>45</v>
      </c>
      <c r="B413" t="s">
        <v>46</v>
      </c>
      <c r="C413" t="s">
        <v>47</v>
      </c>
      <c r="D413" t="s">
        <v>452</v>
      </c>
      <c r="E413" t="s">
        <v>49</v>
      </c>
      <c r="F413" t="s">
        <v>63</v>
      </c>
      <c r="G413" t="s">
        <v>51</v>
      </c>
      <c r="H413" s="17" t="s">
        <v>52</v>
      </c>
      <c r="I413" t="s">
        <v>53</v>
      </c>
      <c r="J413" t="s">
        <v>54</v>
      </c>
      <c r="K413">
        <v>1</v>
      </c>
      <c r="L413" t="s">
        <v>55</v>
      </c>
      <c r="M413" t="s">
        <v>56</v>
      </c>
      <c r="N413" t="s">
        <v>57</v>
      </c>
      <c r="O413" s="18" t="s">
        <v>58</v>
      </c>
      <c r="P413" s="18" t="s">
        <v>99</v>
      </c>
      <c r="Q413" s="17" t="s">
        <v>100</v>
      </c>
      <c r="R413" s="18" t="s">
        <v>101</v>
      </c>
      <c r="S413" s="32">
        <v>1</v>
      </c>
      <c r="T413" s="19">
        <v>1</v>
      </c>
      <c r="U413" s="17" t="s">
        <v>62</v>
      </c>
      <c r="V413" s="17">
        <v>45839</v>
      </c>
      <c r="W413" s="18">
        <v>7</v>
      </c>
      <c r="X413" s="17">
        <v>45932</v>
      </c>
      <c r="Y413" s="17">
        <v>45856</v>
      </c>
      <c r="Z413" s="45">
        <v>7</v>
      </c>
      <c r="AA413">
        <v>2025</v>
      </c>
      <c r="AB413" s="42">
        <v>145000</v>
      </c>
      <c r="AC413" s="42">
        <v>145000</v>
      </c>
    </row>
    <row r="414" spans="1:29">
      <c r="A414" t="s">
        <v>45</v>
      </c>
      <c r="B414" t="s">
        <v>46</v>
      </c>
      <c r="C414" t="s">
        <v>47</v>
      </c>
      <c r="D414" t="s">
        <v>453</v>
      </c>
      <c r="E414" t="s">
        <v>49</v>
      </c>
      <c r="F414" t="s">
        <v>50</v>
      </c>
      <c r="G414" t="s">
        <v>51</v>
      </c>
      <c r="H414" s="17" t="s">
        <v>52</v>
      </c>
      <c r="I414" t="s">
        <v>53</v>
      </c>
      <c r="J414" t="s">
        <v>54</v>
      </c>
      <c r="K414">
        <v>1</v>
      </c>
      <c r="L414" t="s">
        <v>55</v>
      </c>
      <c r="M414" t="s">
        <v>56</v>
      </c>
      <c r="N414" t="s">
        <v>57</v>
      </c>
      <c r="O414" s="18" t="s">
        <v>58</v>
      </c>
      <c r="P414" s="18" t="s">
        <v>59</v>
      </c>
      <c r="Q414" s="17" t="s">
        <v>60</v>
      </c>
      <c r="R414" s="18" t="s">
        <v>61</v>
      </c>
      <c r="S414" s="32">
        <v>100</v>
      </c>
      <c r="T414" s="19">
        <v>100</v>
      </c>
      <c r="U414" s="17" t="s">
        <v>62</v>
      </c>
      <c r="V414" s="17">
        <v>45850</v>
      </c>
      <c r="W414" s="18">
        <v>7</v>
      </c>
      <c r="X414" s="17">
        <v>45853</v>
      </c>
      <c r="Y414" s="17">
        <v>45867</v>
      </c>
      <c r="Z414" s="45">
        <v>7</v>
      </c>
      <c r="AA414">
        <v>2025</v>
      </c>
      <c r="AB414" s="42">
        <v>1686300</v>
      </c>
      <c r="AC414" s="42">
        <v>1686300</v>
      </c>
    </row>
    <row r="415" spans="1:29">
      <c r="A415" t="s">
        <v>45</v>
      </c>
      <c r="B415" t="s">
        <v>46</v>
      </c>
      <c r="C415" t="s">
        <v>47</v>
      </c>
      <c r="D415" t="s">
        <v>453</v>
      </c>
      <c r="E415" t="s">
        <v>49</v>
      </c>
      <c r="F415" t="s">
        <v>63</v>
      </c>
      <c r="G415" t="s">
        <v>51</v>
      </c>
      <c r="H415" s="17" t="s">
        <v>52</v>
      </c>
      <c r="I415" t="s">
        <v>53</v>
      </c>
      <c r="J415" t="s">
        <v>54</v>
      </c>
      <c r="K415">
        <v>1</v>
      </c>
      <c r="L415" t="s">
        <v>55</v>
      </c>
      <c r="M415" t="s">
        <v>56</v>
      </c>
      <c r="N415" t="s">
        <v>57</v>
      </c>
      <c r="O415" s="18" t="s">
        <v>58</v>
      </c>
      <c r="P415" s="18" t="s">
        <v>99</v>
      </c>
      <c r="Q415" s="17" t="s">
        <v>100</v>
      </c>
      <c r="R415" s="18" t="s">
        <v>101</v>
      </c>
      <c r="S415" s="32">
        <v>1</v>
      </c>
      <c r="T415" s="19">
        <v>1</v>
      </c>
      <c r="U415" s="17" t="s">
        <v>62</v>
      </c>
      <c r="V415" s="17">
        <v>45850</v>
      </c>
      <c r="W415" s="18">
        <v>7</v>
      </c>
      <c r="X415" s="17">
        <v>45853</v>
      </c>
      <c r="Y415" s="17">
        <v>45867</v>
      </c>
      <c r="Z415" s="45">
        <v>7</v>
      </c>
      <c r="AA415">
        <v>2025</v>
      </c>
      <c r="AB415" s="42">
        <v>58000</v>
      </c>
      <c r="AC415" s="42">
        <v>58000</v>
      </c>
    </row>
    <row r="416" spans="1:29">
      <c r="A416" t="s">
        <v>45</v>
      </c>
      <c r="B416" t="s">
        <v>46</v>
      </c>
      <c r="C416" t="s">
        <v>47</v>
      </c>
      <c r="D416" t="s">
        <v>454</v>
      </c>
      <c r="E416" t="s">
        <v>49</v>
      </c>
      <c r="F416" t="s">
        <v>50</v>
      </c>
      <c r="G416" t="s">
        <v>51</v>
      </c>
      <c r="H416" s="17" t="s">
        <v>52</v>
      </c>
      <c r="I416" t="s">
        <v>53</v>
      </c>
      <c r="J416" t="s">
        <v>136</v>
      </c>
      <c r="K416">
        <v>1</v>
      </c>
      <c r="L416" t="s">
        <v>55</v>
      </c>
      <c r="M416" t="s">
        <v>56</v>
      </c>
      <c r="N416" t="s">
        <v>57</v>
      </c>
      <c r="O416" s="18" t="s">
        <v>58</v>
      </c>
      <c r="P416" s="18" t="s">
        <v>72</v>
      </c>
      <c r="Q416" s="17" t="s">
        <v>151</v>
      </c>
      <c r="R416" s="18" t="s">
        <v>152</v>
      </c>
      <c r="S416" s="32">
        <v>59</v>
      </c>
      <c r="T416" s="19">
        <v>59</v>
      </c>
      <c r="U416" s="17" t="s">
        <v>62</v>
      </c>
      <c r="V416" s="17">
        <v>45853</v>
      </c>
      <c r="W416" s="18">
        <v>7</v>
      </c>
      <c r="X416" s="17">
        <v>45863</v>
      </c>
      <c r="Y416" s="17">
        <v>45867</v>
      </c>
      <c r="Z416" s="45">
        <v>7</v>
      </c>
      <c r="AA416">
        <v>2025</v>
      </c>
      <c r="AB416" s="42">
        <v>1815076</v>
      </c>
      <c r="AC416" s="42">
        <v>1815076</v>
      </c>
    </row>
    <row r="417" spans="1:29">
      <c r="A417" t="s">
        <v>45</v>
      </c>
      <c r="B417" t="s">
        <v>46</v>
      </c>
      <c r="C417" t="s">
        <v>47</v>
      </c>
      <c r="D417" t="s">
        <v>454</v>
      </c>
      <c r="E417" t="s">
        <v>49</v>
      </c>
      <c r="F417" t="s">
        <v>63</v>
      </c>
      <c r="G417" t="s">
        <v>51</v>
      </c>
      <c r="H417" s="17" t="s">
        <v>52</v>
      </c>
      <c r="I417" t="s">
        <v>53</v>
      </c>
      <c r="J417" t="s">
        <v>136</v>
      </c>
      <c r="K417">
        <v>1</v>
      </c>
      <c r="L417" t="s">
        <v>55</v>
      </c>
      <c r="M417" t="s">
        <v>56</v>
      </c>
      <c r="N417" t="s">
        <v>57</v>
      </c>
      <c r="O417" s="18" t="s">
        <v>58</v>
      </c>
      <c r="P417" s="18" t="s">
        <v>99</v>
      </c>
      <c r="Q417" s="17" t="s">
        <v>100</v>
      </c>
      <c r="R417" s="18" t="s">
        <v>101</v>
      </c>
      <c r="S417" s="32">
        <v>1</v>
      </c>
      <c r="T417" s="19">
        <v>1</v>
      </c>
      <c r="U417" s="17" t="s">
        <v>62</v>
      </c>
      <c r="V417" s="17">
        <v>45853</v>
      </c>
      <c r="W417" s="18">
        <v>7</v>
      </c>
      <c r="X417" s="17">
        <v>45863</v>
      </c>
      <c r="Y417" s="17">
        <v>45867</v>
      </c>
      <c r="Z417" s="45">
        <v>7</v>
      </c>
      <c r="AA417">
        <v>2025</v>
      </c>
      <c r="AB417" s="42">
        <v>58000</v>
      </c>
      <c r="AC417" s="42">
        <v>58000</v>
      </c>
    </row>
    <row r="418" spans="1:29">
      <c r="A418" t="s">
        <v>45</v>
      </c>
      <c r="B418" t="s">
        <v>46</v>
      </c>
      <c r="C418" t="s">
        <v>47</v>
      </c>
      <c r="D418" t="s">
        <v>435</v>
      </c>
      <c r="E418" t="s">
        <v>49</v>
      </c>
      <c r="F418" t="s">
        <v>455</v>
      </c>
      <c r="G418" t="s">
        <v>51</v>
      </c>
      <c r="H418" s="17" t="s">
        <v>52</v>
      </c>
      <c r="I418" t="s">
        <v>53</v>
      </c>
      <c r="J418" t="s">
        <v>54</v>
      </c>
      <c r="K418">
        <v>1</v>
      </c>
      <c r="L418" t="s">
        <v>55</v>
      </c>
      <c r="M418" t="s">
        <v>56</v>
      </c>
      <c r="N418" t="s">
        <v>57</v>
      </c>
      <c r="O418" s="18" t="s">
        <v>58</v>
      </c>
      <c r="P418" s="18" t="s">
        <v>99</v>
      </c>
      <c r="Q418" s="17" t="s">
        <v>100</v>
      </c>
      <c r="R418" s="18" t="s">
        <v>101</v>
      </c>
      <c r="S418" s="32">
        <v>740</v>
      </c>
      <c r="T418" s="19">
        <v>740</v>
      </c>
      <c r="U418" s="17" t="s">
        <v>62</v>
      </c>
      <c r="V418" s="17">
        <v>45842</v>
      </c>
      <c r="W418" s="18">
        <v>7</v>
      </c>
      <c r="X418" s="17">
        <v>45933</v>
      </c>
      <c r="Y418" s="17">
        <v>45867</v>
      </c>
      <c r="Z418" s="45">
        <v>7</v>
      </c>
      <c r="AA418">
        <v>2025</v>
      </c>
      <c r="AB418" s="42">
        <v>223480</v>
      </c>
      <c r="AC418" s="42">
        <v>223480</v>
      </c>
    </row>
    <row r="419" spans="1:29">
      <c r="A419" t="s">
        <v>45</v>
      </c>
      <c r="B419" t="s">
        <v>46</v>
      </c>
      <c r="C419" t="s">
        <v>47</v>
      </c>
      <c r="D419" t="s">
        <v>435</v>
      </c>
      <c r="E419" t="s">
        <v>49</v>
      </c>
      <c r="F419" t="s">
        <v>456</v>
      </c>
      <c r="G419" t="s">
        <v>51</v>
      </c>
      <c r="H419" s="17" t="s">
        <v>52</v>
      </c>
      <c r="I419" t="s">
        <v>53</v>
      </c>
      <c r="J419" t="s">
        <v>54</v>
      </c>
      <c r="K419">
        <v>1</v>
      </c>
      <c r="L419" t="s">
        <v>55</v>
      </c>
      <c r="M419" t="s">
        <v>56</v>
      </c>
      <c r="N419" t="s">
        <v>57</v>
      </c>
      <c r="O419" s="18" t="s">
        <v>58</v>
      </c>
      <c r="P419" s="18" t="s">
        <v>72</v>
      </c>
      <c r="Q419" s="17" t="s">
        <v>457</v>
      </c>
      <c r="R419" s="18" t="s">
        <v>458</v>
      </c>
      <c r="S419" s="32">
        <v>740</v>
      </c>
      <c r="T419" s="19">
        <v>740</v>
      </c>
      <c r="U419" s="17" t="s">
        <v>62</v>
      </c>
      <c r="V419" s="17">
        <v>45842</v>
      </c>
      <c r="W419" s="18">
        <v>7</v>
      </c>
      <c r="X419" s="17">
        <v>45933</v>
      </c>
      <c r="Y419" s="17">
        <v>45867</v>
      </c>
      <c r="Z419" s="45">
        <v>7</v>
      </c>
      <c r="AA419">
        <v>2025</v>
      </c>
      <c r="AB419" s="42">
        <v>8430820</v>
      </c>
      <c r="AC419" s="42">
        <v>8430820</v>
      </c>
    </row>
    <row r="420" spans="1:29">
      <c r="A420" t="s">
        <v>45</v>
      </c>
      <c r="B420" t="s">
        <v>46</v>
      </c>
      <c r="C420" t="s">
        <v>47</v>
      </c>
      <c r="D420" t="s">
        <v>435</v>
      </c>
      <c r="E420" t="s">
        <v>49</v>
      </c>
      <c r="F420" t="s">
        <v>459</v>
      </c>
      <c r="G420" t="s">
        <v>51</v>
      </c>
      <c r="H420" s="17" t="s">
        <v>52</v>
      </c>
      <c r="I420" t="s">
        <v>53</v>
      </c>
      <c r="J420" t="s">
        <v>54</v>
      </c>
      <c r="K420">
        <v>1</v>
      </c>
      <c r="L420" t="s">
        <v>55</v>
      </c>
      <c r="M420" t="s">
        <v>56</v>
      </c>
      <c r="N420" t="s">
        <v>57</v>
      </c>
      <c r="O420" s="18" t="s">
        <v>58</v>
      </c>
      <c r="P420" s="18" t="s">
        <v>99</v>
      </c>
      <c r="Q420" s="17" t="s">
        <v>100</v>
      </c>
      <c r="R420" s="18" t="s">
        <v>101</v>
      </c>
      <c r="S420" s="32">
        <v>17</v>
      </c>
      <c r="T420" s="19">
        <v>17</v>
      </c>
      <c r="U420" s="17" t="s">
        <v>62</v>
      </c>
      <c r="V420" s="17">
        <v>45842</v>
      </c>
      <c r="W420" s="18">
        <v>7</v>
      </c>
      <c r="X420" s="17">
        <v>45933</v>
      </c>
      <c r="Y420" s="17">
        <v>45867</v>
      </c>
      <c r="Z420" s="45">
        <v>7</v>
      </c>
      <c r="AA420">
        <v>2025</v>
      </c>
      <c r="AB420" s="42">
        <v>1275</v>
      </c>
      <c r="AC420" s="42">
        <v>1275</v>
      </c>
    </row>
    <row r="421" spans="1:29">
      <c r="A421" t="s">
        <v>45</v>
      </c>
      <c r="B421" t="s">
        <v>46</v>
      </c>
      <c r="C421" t="s">
        <v>47</v>
      </c>
      <c r="D421" t="s">
        <v>435</v>
      </c>
      <c r="E421" t="s">
        <v>49</v>
      </c>
      <c r="F421" t="s">
        <v>460</v>
      </c>
      <c r="G421" t="s">
        <v>51</v>
      </c>
      <c r="H421" s="17" t="s">
        <v>52</v>
      </c>
      <c r="I421" t="s">
        <v>53</v>
      </c>
      <c r="J421" t="s">
        <v>54</v>
      </c>
      <c r="K421">
        <v>1</v>
      </c>
      <c r="L421" t="s">
        <v>55</v>
      </c>
      <c r="M421" t="s">
        <v>56</v>
      </c>
      <c r="N421" t="s">
        <v>57</v>
      </c>
      <c r="O421" s="18" t="s">
        <v>58</v>
      </c>
      <c r="P421" s="18" t="s">
        <v>99</v>
      </c>
      <c r="Q421" s="17" t="s">
        <v>253</v>
      </c>
      <c r="R421" s="18" t="s">
        <v>254</v>
      </c>
      <c r="S421" s="32">
        <v>17</v>
      </c>
      <c r="T421" s="19">
        <v>17</v>
      </c>
      <c r="U421" s="17" t="s">
        <v>62</v>
      </c>
      <c r="V421" s="17">
        <v>45842</v>
      </c>
      <c r="W421" s="18">
        <v>7</v>
      </c>
      <c r="X421" s="17">
        <v>45933</v>
      </c>
      <c r="Y421" s="17">
        <v>45867</v>
      </c>
      <c r="Z421" s="45">
        <v>7</v>
      </c>
      <c r="AA421">
        <v>2025</v>
      </c>
      <c r="AB421" s="42">
        <v>2468009</v>
      </c>
      <c r="AC421" s="42">
        <v>2468009</v>
      </c>
    </row>
    <row r="422" spans="1:29">
      <c r="A422" t="s">
        <v>45</v>
      </c>
      <c r="B422" t="s">
        <v>46</v>
      </c>
      <c r="C422" t="s">
        <v>47</v>
      </c>
      <c r="D422" t="s">
        <v>435</v>
      </c>
      <c r="E422" t="s">
        <v>49</v>
      </c>
      <c r="F422" t="s">
        <v>461</v>
      </c>
      <c r="G422" t="s">
        <v>51</v>
      </c>
      <c r="H422" s="17" t="s">
        <v>52</v>
      </c>
      <c r="I422" t="s">
        <v>53</v>
      </c>
      <c r="J422" t="s">
        <v>54</v>
      </c>
      <c r="K422">
        <v>1</v>
      </c>
      <c r="L422" t="s">
        <v>55</v>
      </c>
      <c r="M422" t="s">
        <v>56</v>
      </c>
      <c r="N422" t="s">
        <v>57</v>
      </c>
      <c r="O422" s="18" t="s">
        <v>58</v>
      </c>
      <c r="P422" s="18" t="s">
        <v>99</v>
      </c>
      <c r="Q422" s="17" t="s">
        <v>100</v>
      </c>
      <c r="R422" s="18" t="s">
        <v>101</v>
      </c>
      <c r="S422" s="32">
        <v>150</v>
      </c>
      <c r="T422" s="19">
        <v>150</v>
      </c>
      <c r="U422" s="17" t="s">
        <v>62</v>
      </c>
      <c r="V422" s="17">
        <v>45842</v>
      </c>
      <c r="W422" s="18">
        <v>7</v>
      </c>
      <c r="X422" s="17">
        <v>45933</v>
      </c>
      <c r="Y422" s="17">
        <v>45867</v>
      </c>
      <c r="Z422" s="45">
        <v>7</v>
      </c>
      <c r="AA422">
        <v>2025</v>
      </c>
      <c r="AB422" s="42">
        <v>51900</v>
      </c>
      <c r="AC422" s="42">
        <v>51900</v>
      </c>
    </row>
    <row r="423" spans="1:29">
      <c r="A423" t="s">
        <v>45</v>
      </c>
      <c r="B423" t="s">
        <v>46</v>
      </c>
      <c r="C423" t="s">
        <v>47</v>
      </c>
      <c r="D423" t="s">
        <v>435</v>
      </c>
      <c r="E423" t="s">
        <v>49</v>
      </c>
      <c r="F423" t="s">
        <v>462</v>
      </c>
      <c r="G423" t="s">
        <v>51</v>
      </c>
      <c r="H423" s="17" t="s">
        <v>52</v>
      </c>
      <c r="I423" t="s">
        <v>53</v>
      </c>
      <c r="J423" t="s">
        <v>54</v>
      </c>
      <c r="K423">
        <v>1</v>
      </c>
      <c r="L423" t="s">
        <v>55</v>
      </c>
      <c r="M423" t="s">
        <v>56</v>
      </c>
      <c r="N423" t="s">
        <v>57</v>
      </c>
      <c r="O423" s="18" t="s">
        <v>58</v>
      </c>
      <c r="P423" s="18" t="s">
        <v>137</v>
      </c>
      <c r="Q423" s="17" t="s">
        <v>183</v>
      </c>
      <c r="R423" s="18" t="s">
        <v>184</v>
      </c>
      <c r="S423" s="32">
        <v>150</v>
      </c>
      <c r="T423" s="19">
        <v>150</v>
      </c>
      <c r="U423" s="17" t="s">
        <v>62</v>
      </c>
      <c r="V423" s="17">
        <v>45842</v>
      </c>
      <c r="W423" s="18">
        <v>7</v>
      </c>
      <c r="X423" s="17">
        <v>45933</v>
      </c>
      <c r="Y423" s="17">
        <v>45867</v>
      </c>
      <c r="Z423" s="45">
        <v>7</v>
      </c>
      <c r="AA423">
        <v>2025</v>
      </c>
      <c r="AB423" s="42">
        <v>4633200</v>
      </c>
      <c r="AC423" s="42">
        <v>4633200</v>
      </c>
    </row>
    <row r="424" spans="1:29">
      <c r="A424" t="s">
        <v>45</v>
      </c>
      <c r="B424" t="s">
        <v>46</v>
      </c>
      <c r="C424" t="s">
        <v>47</v>
      </c>
      <c r="D424" t="s">
        <v>435</v>
      </c>
      <c r="E424" t="s">
        <v>49</v>
      </c>
      <c r="F424" t="s">
        <v>463</v>
      </c>
      <c r="G424" t="s">
        <v>51</v>
      </c>
      <c r="H424" s="17" t="s">
        <v>52</v>
      </c>
      <c r="I424" t="s">
        <v>53</v>
      </c>
      <c r="J424" t="s">
        <v>54</v>
      </c>
      <c r="K424">
        <v>1</v>
      </c>
      <c r="L424" t="s">
        <v>55</v>
      </c>
      <c r="M424" t="s">
        <v>56</v>
      </c>
      <c r="N424" t="s">
        <v>57</v>
      </c>
      <c r="O424" s="18" t="s">
        <v>58</v>
      </c>
      <c r="P424" s="18" t="s">
        <v>99</v>
      </c>
      <c r="Q424" s="17" t="s">
        <v>100</v>
      </c>
      <c r="R424" s="18" t="s">
        <v>101</v>
      </c>
      <c r="S424" s="32">
        <v>37</v>
      </c>
      <c r="T424" s="19">
        <v>37</v>
      </c>
      <c r="U424" s="17" t="s">
        <v>62</v>
      </c>
      <c r="V424" s="17">
        <v>45842</v>
      </c>
      <c r="W424" s="18">
        <v>7</v>
      </c>
      <c r="X424" s="17">
        <v>45933</v>
      </c>
      <c r="Y424" s="17">
        <v>45867</v>
      </c>
      <c r="Z424" s="45">
        <v>7</v>
      </c>
      <c r="AA424">
        <v>2025</v>
      </c>
      <c r="AB424" s="42">
        <v>555</v>
      </c>
      <c r="AC424" s="42">
        <v>555</v>
      </c>
    </row>
    <row r="425" spans="1:29">
      <c r="A425" t="s">
        <v>45</v>
      </c>
      <c r="B425" t="s">
        <v>46</v>
      </c>
      <c r="C425" t="s">
        <v>47</v>
      </c>
      <c r="D425" t="s">
        <v>435</v>
      </c>
      <c r="E425" t="s">
        <v>49</v>
      </c>
      <c r="F425" t="s">
        <v>464</v>
      </c>
      <c r="G425" t="s">
        <v>51</v>
      </c>
      <c r="H425" s="17" t="s">
        <v>52</v>
      </c>
      <c r="I425" t="s">
        <v>53</v>
      </c>
      <c r="J425" t="s">
        <v>54</v>
      </c>
      <c r="K425">
        <v>1</v>
      </c>
      <c r="L425" t="s">
        <v>55</v>
      </c>
      <c r="M425" t="s">
        <v>56</v>
      </c>
      <c r="N425" t="s">
        <v>57</v>
      </c>
      <c r="O425" s="18" t="s">
        <v>58</v>
      </c>
      <c r="P425" s="18" t="s">
        <v>64</v>
      </c>
      <c r="Q425" s="17" t="s">
        <v>92</v>
      </c>
      <c r="R425" s="18" t="s">
        <v>93</v>
      </c>
      <c r="S425" s="32">
        <v>37</v>
      </c>
      <c r="T425" s="19">
        <v>37</v>
      </c>
      <c r="U425" s="17" t="s">
        <v>62</v>
      </c>
      <c r="V425" s="17">
        <v>45842</v>
      </c>
      <c r="W425" s="18">
        <v>7</v>
      </c>
      <c r="X425" s="17">
        <v>45933</v>
      </c>
      <c r="Y425" s="17">
        <v>45867</v>
      </c>
      <c r="Z425" s="45">
        <v>7</v>
      </c>
      <c r="AA425">
        <v>2025</v>
      </c>
      <c r="AB425" s="42">
        <v>531653</v>
      </c>
      <c r="AC425" s="42">
        <v>531653</v>
      </c>
    </row>
    <row r="426" spans="1:29">
      <c r="A426" t="s">
        <v>45</v>
      </c>
      <c r="B426" t="s">
        <v>46</v>
      </c>
      <c r="C426" t="s">
        <v>47</v>
      </c>
      <c r="D426" t="s">
        <v>435</v>
      </c>
      <c r="E426" t="s">
        <v>49</v>
      </c>
      <c r="F426" t="s">
        <v>465</v>
      </c>
      <c r="G426" t="s">
        <v>51</v>
      </c>
      <c r="H426" s="17" t="s">
        <v>52</v>
      </c>
      <c r="I426" t="s">
        <v>53</v>
      </c>
      <c r="J426" t="s">
        <v>54</v>
      </c>
      <c r="K426">
        <v>1</v>
      </c>
      <c r="L426" t="s">
        <v>55</v>
      </c>
      <c r="M426" t="s">
        <v>56</v>
      </c>
      <c r="N426" t="s">
        <v>57</v>
      </c>
      <c r="O426" s="18" t="s">
        <v>58</v>
      </c>
      <c r="P426" s="18" t="s">
        <v>99</v>
      </c>
      <c r="Q426" s="17" t="s">
        <v>100</v>
      </c>
      <c r="R426" s="18" t="s">
        <v>101</v>
      </c>
      <c r="S426" s="32">
        <v>400</v>
      </c>
      <c r="T426" s="19">
        <v>400</v>
      </c>
      <c r="U426" s="17" t="s">
        <v>62</v>
      </c>
      <c r="V426" s="17">
        <v>45842</v>
      </c>
      <c r="W426" s="18">
        <v>7</v>
      </c>
      <c r="X426" s="17">
        <v>45933</v>
      </c>
      <c r="Y426" s="17">
        <v>45867</v>
      </c>
      <c r="Z426" s="45">
        <v>7</v>
      </c>
      <c r="AA426">
        <v>2025</v>
      </c>
      <c r="AB426" s="42">
        <v>90800</v>
      </c>
      <c r="AC426" s="42">
        <v>90800</v>
      </c>
    </row>
    <row r="427" spans="1:29">
      <c r="A427" t="s">
        <v>45</v>
      </c>
      <c r="B427" t="s">
        <v>46</v>
      </c>
      <c r="C427" t="s">
        <v>47</v>
      </c>
      <c r="D427" t="s">
        <v>435</v>
      </c>
      <c r="E427" t="s">
        <v>49</v>
      </c>
      <c r="F427" t="s">
        <v>466</v>
      </c>
      <c r="G427" t="s">
        <v>51</v>
      </c>
      <c r="H427" s="17" t="s">
        <v>52</v>
      </c>
      <c r="I427" t="s">
        <v>53</v>
      </c>
      <c r="J427" t="s">
        <v>54</v>
      </c>
      <c r="K427">
        <v>1</v>
      </c>
      <c r="L427" t="s">
        <v>55</v>
      </c>
      <c r="M427" t="s">
        <v>56</v>
      </c>
      <c r="N427" t="s">
        <v>57</v>
      </c>
      <c r="O427" s="18" t="s">
        <v>58</v>
      </c>
      <c r="P427" s="18" t="s">
        <v>72</v>
      </c>
      <c r="Q427" s="17" t="s">
        <v>73</v>
      </c>
      <c r="R427" s="18" t="s">
        <v>74</v>
      </c>
      <c r="S427" s="32">
        <v>400</v>
      </c>
      <c r="T427" s="19">
        <v>400</v>
      </c>
      <c r="U427" s="17" t="s">
        <v>62</v>
      </c>
      <c r="V427" s="17">
        <v>45842</v>
      </c>
      <c r="W427" s="18">
        <v>7</v>
      </c>
      <c r="X427" s="17">
        <v>45933</v>
      </c>
      <c r="Y427" s="17">
        <v>45867</v>
      </c>
      <c r="Z427" s="45">
        <v>7</v>
      </c>
      <c r="AA427">
        <v>2025</v>
      </c>
      <c r="AB427" s="42">
        <v>7950800</v>
      </c>
      <c r="AC427" s="42">
        <v>7950800</v>
      </c>
    </row>
    <row r="428" spans="1:29">
      <c r="A428" t="s">
        <v>45</v>
      </c>
      <c r="B428" t="s">
        <v>46</v>
      </c>
      <c r="C428" t="s">
        <v>47</v>
      </c>
      <c r="D428" t="s">
        <v>467</v>
      </c>
      <c r="E428" t="s">
        <v>49</v>
      </c>
      <c r="F428" t="s">
        <v>50</v>
      </c>
      <c r="G428" t="s">
        <v>51</v>
      </c>
      <c r="H428" s="17" t="s">
        <v>52</v>
      </c>
      <c r="I428" t="s">
        <v>53</v>
      </c>
      <c r="J428" t="s">
        <v>224</v>
      </c>
      <c r="K428">
        <v>1</v>
      </c>
      <c r="L428" t="s">
        <v>55</v>
      </c>
      <c r="M428" t="s">
        <v>56</v>
      </c>
      <c r="N428" t="s">
        <v>57</v>
      </c>
      <c r="O428" s="18" t="s">
        <v>58</v>
      </c>
      <c r="P428" s="18" t="s">
        <v>68</v>
      </c>
      <c r="Q428" s="17" t="s">
        <v>225</v>
      </c>
      <c r="R428" s="18" t="s">
        <v>226</v>
      </c>
      <c r="S428" s="32">
        <v>600</v>
      </c>
      <c r="T428" s="19">
        <v>600</v>
      </c>
      <c r="U428" s="17" t="s">
        <v>227</v>
      </c>
      <c r="V428" s="17">
        <v>45845</v>
      </c>
      <c r="W428" s="18">
        <v>7</v>
      </c>
      <c r="X428" s="17">
        <v>45846</v>
      </c>
      <c r="Y428" s="17">
        <v>45862</v>
      </c>
      <c r="Z428" s="45">
        <v>7</v>
      </c>
      <c r="AA428">
        <v>2025</v>
      </c>
      <c r="AB428" s="42">
        <v>7257600</v>
      </c>
      <c r="AC428" s="42">
        <v>7257600</v>
      </c>
    </row>
    <row r="429" spans="1:29">
      <c r="A429" t="s">
        <v>45</v>
      </c>
      <c r="B429" t="s">
        <v>46</v>
      </c>
      <c r="C429" t="s">
        <v>47</v>
      </c>
      <c r="D429" t="s">
        <v>467</v>
      </c>
      <c r="E429" t="s">
        <v>49</v>
      </c>
      <c r="F429" t="s">
        <v>63</v>
      </c>
      <c r="G429" t="s">
        <v>51</v>
      </c>
      <c r="H429" s="17" t="s">
        <v>52</v>
      </c>
      <c r="I429" t="s">
        <v>53</v>
      </c>
      <c r="J429" t="s">
        <v>224</v>
      </c>
      <c r="K429">
        <v>1</v>
      </c>
      <c r="L429" t="s">
        <v>55</v>
      </c>
      <c r="M429" t="s">
        <v>56</v>
      </c>
      <c r="N429" t="s">
        <v>57</v>
      </c>
      <c r="O429" s="18" t="s">
        <v>58</v>
      </c>
      <c r="P429" s="18" t="s">
        <v>99</v>
      </c>
      <c r="Q429" s="17" t="s">
        <v>100</v>
      </c>
      <c r="R429" s="18" t="s">
        <v>101</v>
      </c>
      <c r="S429" s="32">
        <v>600</v>
      </c>
      <c r="T429" s="19">
        <v>600</v>
      </c>
      <c r="U429" s="17" t="s">
        <v>62</v>
      </c>
      <c r="V429" s="17">
        <v>45845</v>
      </c>
      <c r="W429" s="18">
        <v>7</v>
      </c>
      <c r="X429" s="17">
        <v>45846</v>
      </c>
      <c r="Y429" s="17">
        <v>45862</v>
      </c>
      <c r="Z429" s="45">
        <v>7</v>
      </c>
      <c r="AA429">
        <v>2025</v>
      </c>
      <c r="AB429" s="42">
        <v>2400</v>
      </c>
      <c r="AC429" s="42">
        <v>2400</v>
      </c>
    </row>
    <row r="430" spans="1:29">
      <c r="A430" t="s">
        <v>45</v>
      </c>
      <c r="B430" t="s">
        <v>46</v>
      </c>
      <c r="C430" t="s">
        <v>47</v>
      </c>
      <c r="D430" t="s">
        <v>468</v>
      </c>
      <c r="E430" t="s">
        <v>49</v>
      </c>
      <c r="F430" t="s">
        <v>50</v>
      </c>
      <c r="G430" t="s">
        <v>51</v>
      </c>
      <c r="H430" s="17" t="s">
        <v>52</v>
      </c>
      <c r="I430" t="s">
        <v>53</v>
      </c>
      <c r="J430" t="s">
        <v>136</v>
      </c>
      <c r="K430">
        <v>1</v>
      </c>
      <c r="L430" t="s">
        <v>55</v>
      </c>
      <c r="M430" t="s">
        <v>56</v>
      </c>
      <c r="N430" t="s">
        <v>57</v>
      </c>
      <c r="O430" s="18" t="s">
        <v>58</v>
      </c>
      <c r="P430" s="18" t="s">
        <v>86</v>
      </c>
      <c r="Q430" s="17" t="s">
        <v>87</v>
      </c>
      <c r="R430" s="18" t="s">
        <v>88</v>
      </c>
      <c r="S430" s="32">
        <v>30</v>
      </c>
      <c r="T430" s="19">
        <v>30</v>
      </c>
      <c r="U430" s="17" t="s">
        <v>62</v>
      </c>
      <c r="V430" s="17">
        <v>45853</v>
      </c>
      <c r="W430" s="18">
        <v>7</v>
      </c>
      <c r="X430" s="17">
        <v>45856</v>
      </c>
      <c r="Y430" s="17">
        <v>45868</v>
      </c>
      <c r="Z430" s="45">
        <v>7</v>
      </c>
      <c r="AA430">
        <v>2025</v>
      </c>
      <c r="AB430" s="42">
        <v>904470</v>
      </c>
      <c r="AC430" s="42">
        <v>904470</v>
      </c>
    </row>
    <row r="431" spans="1:29">
      <c r="A431" t="s">
        <v>45</v>
      </c>
      <c r="B431" t="s">
        <v>46</v>
      </c>
      <c r="C431" t="s">
        <v>47</v>
      </c>
      <c r="D431" t="s">
        <v>468</v>
      </c>
      <c r="E431" t="s">
        <v>49</v>
      </c>
      <c r="F431" t="s">
        <v>63</v>
      </c>
      <c r="G431" t="s">
        <v>51</v>
      </c>
      <c r="H431" s="17" t="s">
        <v>52</v>
      </c>
      <c r="I431" t="s">
        <v>53</v>
      </c>
      <c r="J431" t="s">
        <v>136</v>
      </c>
      <c r="K431">
        <v>1</v>
      </c>
      <c r="L431" t="s">
        <v>55</v>
      </c>
      <c r="M431" t="s">
        <v>56</v>
      </c>
      <c r="N431" t="s">
        <v>57</v>
      </c>
      <c r="O431" s="18" t="s">
        <v>58</v>
      </c>
      <c r="P431" s="18" t="s">
        <v>89</v>
      </c>
      <c r="Q431" s="17" t="s">
        <v>90</v>
      </c>
      <c r="R431" s="18" t="s">
        <v>91</v>
      </c>
      <c r="S431" s="32">
        <v>1</v>
      </c>
      <c r="T431" s="19">
        <v>1</v>
      </c>
      <c r="U431" s="17" t="s">
        <v>62</v>
      </c>
      <c r="V431" s="17">
        <v>45853</v>
      </c>
      <c r="W431" s="18">
        <v>7</v>
      </c>
      <c r="X431" s="17">
        <v>45856</v>
      </c>
      <c r="Y431" s="17">
        <v>45868</v>
      </c>
      <c r="Z431" s="45">
        <v>7</v>
      </c>
      <c r="AA431">
        <v>2025</v>
      </c>
      <c r="AB431" s="42">
        <v>145831</v>
      </c>
      <c r="AC431" s="42">
        <v>145831</v>
      </c>
    </row>
    <row r="432" spans="1:29">
      <c r="A432" t="s">
        <v>45</v>
      </c>
      <c r="B432" t="s">
        <v>46</v>
      </c>
      <c r="C432" t="s">
        <v>47</v>
      </c>
      <c r="D432" t="s">
        <v>468</v>
      </c>
      <c r="E432" t="s">
        <v>49</v>
      </c>
      <c r="F432" t="s">
        <v>67</v>
      </c>
      <c r="G432" t="s">
        <v>51</v>
      </c>
      <c r="H432" s="17" t="s">
        <v>52</v>
      </c>
      <c r="I432" t="s">
        <v>53</v>
      </c>
      <c r="J432" t="s">
        <v>136</v>
      </c>
      <c r="K432">
        <v>1</v>
      </c>
      <c r="L432" t="s">
        <v>55</v>
      </c>
      <c r="M432" t="s">
        <v>56</v>
      </c>
      <c r="N432" t="s">
        <v>57</v>
      </c>
      <c r="O432" s="18" t="s">
        <v>58</v>
      </c>
      <c r="P432" s="18" t="s">
        <v>59</v>
      </c>
      <c r="Q432" s="17" t="s">
        <v>60</v>
      </c>
      <c r="R432" s="18" t="s">
        <v>61</v>
      </c>
      <c r="S432" s="32">
        <v>23</v>
      </c>
      <c r="T432" s="19">
        <v>23</v>
      </c>
      <c r="U432" s="17" t="s">
        <v>62</v>
      </c>
      <c r="V432" s="17">
        <v>45853</v>
      </c>
      <c r="W432" s="18">
        <v>7</v>
      </c>
      <c r="X432" s="17">
        <v>45856</v>
      </c>
      <c r="Y432" s="17">
        <v>45868</v>
      </c>
      <c r="Z432" s="45">
        <v>7</v>
      </c>
      <c r="AA432">
        <v>2025</v>
      </c>
      <c r="AB432" s="42">
        <v>384790</v>
      </c>
      <c r="AC432" s="42">
        <v>384790</v>
      </c>
    </row>
    <row r="433" spans="1:29">
      <c r="A433" t="s">
        <v>45</v>
      </c>
      <c r="B433" t="s">
        <v>46</v>
      </c>
      <c r="C433" t="s">
        <v>47</v>
      </c>
      <c r="D433" t="s">
        <v>468</v>
      </c>
      <c r="E433" t="s">
        <v>49</v>
      </c>
      <c r="F433" t="s">
        <v>71</v>
      </c>
      <c r="G433" t="s">
        <v>51</v>
      </c>
      <c r="H433" s="17" t="s">
        <v>52</v>
      </c>
      <c r="I433" t="s">
        <v>53</v>
      </c>
      <c r="J433" t="s">
        <v>136</v>
      </c>
      <c r="K433">
        <v>1</v>
      </c>
      <c r="L433" t="s">
        <v>55</v>
      </c>
      <c r="M433" t="s">
        <v>56</v>
      </c>
      <c r="N433" t="s">
        <v>57</v>
      </c>
      <c r="O433" s="18" t="s">
        <v>58</v>
      </c>
      <c r="P433" s="18" t="s">
        <v>64</v>
      </c>
      <c r="Q433" s="17" t="s">
        <v>65</v>
      </c>
      <c r="R433" s="18" t="s">
        <v>66</v>
      </c>
      <c r="S433" s="32">
        <v>3</v>
      </c>
      <c r="T433" s="19">
        <v>3</v>
      </c>
      <c r="U433" s="17" t="s">
        <v>62</v>
      </c>
      <c r="V433" s="17">
        <v>45853</v>
      </c>
      <c r="W433" s="18">
        <v>7</v>
      </c>
      <c r="X433" s="17">
        <v>45856</v>
      </c>
      <c r="Y433" s="17">
        <v>45868</v>
      </c>
      <c r="Z433" s="45">
        <v>7</v>
      </c>
      <c r="AA433">
        <v>2025</v>
      </c>
      <c r="AB433" s="42">
        <v>43299</v>
      </c>
      <c r="AC433" s="42">
        <v>43299</v>
      </c>
    </row>
    <row r="434" spans="1:29">
      <c r="A434" t="s">
        <v>45</v>
      </c>
      <c r="B434" t="s">
        <v>46</v>
      </c>
      <c r="C434" t="s">
        <v>47</v>
      </c>
      <c r="D434" t="s">
        <v>468</v>
      </c>
      <c r="E434" t="s">
        <v>49</v>
      </c>
      <c r="F434" t="s">
        <v>75</v>
      </c>
      <c r="G434" t="s">
        <v>51</v>
      </c>
      <c r="H434" s="17" t="s">
        <v>52</v>
      </c>
      <c r="I434" t="s">
        <v>53</v>
      </c>
      <c r="J434" t="s">
        <v>136</v>
      </c>
      <c r="K434">
        <v>1</v>
      </c>
      <c r="L434" t="s">
        <v>55</v>
      </c>
      <c r="M434" t="s">
        <v>56</v>
      </c>
      <c r="N434" t="s">
        <v>57</v>
      </c>
      <c r="O434" s="18" t="s">
        <v>58</v>
      </c>
      <c r="P434" s="18" t="s">
        <v>68</v>
      </c>
      <c r="Q434" s="17" t="s">
        <v>69</v>
      </c>
      <c r="R434" s="18" t="s">
        <v>70</v>
      </c>
      <c r="S434" s="32">
        <v>2</v>
      </c>
      <c r="T434" s="19">
        <v>2</v>
      </c>
      <c r="U434" s="17" t="s">
        <v>62</v>
      </c>
      <c r="V434" s="17">
        <v>45853</v>
      </c>
      <c r="W434" s="18">
        <v>7</v>
      </c>
      <c r="X434" s="17">
        <v>45856</v>
      </c>
      <c r="Y434" s="17">
        <v>45868</v>
      </c>
      <c r="Z434" s="45">
        <v>7</v>
      </c>
      <c r="AA434">
        <v>2025</v>
      </c>
      <c r="AB434" s="42">
        <v>152864</v>
      </c>
      <c r="AC434" s="42">
        <v>152864</v>
      </c>
    </row>
    <row r="435" spans="1:29">
      <c r="A435" t="s">
        <v>45</v>
      </c>
      <c r="B435" t="s">
        <v>46</v>
      </c>
      <c r="C435" t="s">
        <v>47</v>
      </c>
      <c r="D435" t="s">
        <v>468</v>
      </c>
      <c r="E435" t="s">
        <v>49</v>
      </c>
      <c r="F435" t="s">
        <v>79</v>
      </c>
      <c r="G435" t="s">
        <v>51</v>
      </c>
      <c r="H435" s="17" t="s">
        <v>52</v>
      </c>
      <c r="I435" t="s">
        <v>53</v>
      </c>
      <c r="J435" t="s">
        <v>136</v>
      </c>
      <c r="K435">
        <v>1</v>
      </c>
      <c r="L435" t="s">
        <v>55</v>
      </c>
      <c r="M435" t="s">
        <v>56</v>
      </c>
      <c r="N435" t="s">
        <v>57</v>
      </c>
      <c r="O435" s="18" t="s">
        <v>58</v>
      </c>
      <c r="P435" s="18" t="s">
        <v>94</v>
      </c>
      <c r="Q435" s="17" t="s">
        <v>441</v>
      </c>
      <c r="R435" s="18" t="s">
        <v>442</v>
      </c>
      <c r="S435" s="32">
        <v>5</v>
      </c>
      <c r="T435" s="19">
        <v>5</v>
      </c>
      <c r="U435" s="17" t="s">
        <v>62</v>
      </c>
      <c r="V435" s="17">
        <v>45853</v>
      </c>
      <c r="W435" s="18">
        <v>7</v>
      </c>
      <c r="X435" s="17">
        <v>45856</v>
      </c>
      <c r="Y435" s="17">
        <v>45868</v>
      </c>
      <c r="Z435" s="45">
        <v>7</v>
      </c>
      <c r="AA435">
        <v>2025</v>
      </c>
      <c r="AB435" s="42">
        <v>56650</v>
      </c>
      <c r="AC435" s="42">
        <v>56650</v>
      </c>
    </row>
    <row r="436" spans="1:29">
      <c r="A436" t="s">
        <v>45</v>
      </c>
      <c r="B436" t="s">
        <v>46</v>
      </c>
      <c r="C436" t="s">
        <v>47</v>
      </c>
      <c r="D436" t="s">
        <v>468</v>
      </c>
      <c r="E436" t="s">
        <v>49</v>
      </c>
      <c r="F436" t="s">
        <v>98</v>
      </c>
      <c r="G436" t="s">
        <v>51</v>
      </c>
      <c r="H436" s="17" t="s">
        <v>52</v>
      </c>
      <c r="I436" t="s">
        <v>53</v>
      </c>
      <c r="J436" t="s">
        <v>136</v>
      </c>
      <c r="K436">
        <v>1</v>
      </c>
      <c r="L436" t="s">
        <v>55</v>
      </c>
      <c r="M436" t="s">
        <v>56</v>
      </c>
      <c r="N436" t="s">
        <v>57</v>
      </c>
      <c r="O436" s="18" t="s">
        <v>58</v>
      </c>
      <c r="P436" s="18" t="s">
        <v>72</v>
      </c>
      <c r="Q436" s="17" t="s">
        <v>469</v>
      </c>
      <c r="R436" s="18" t="s">
        <v>470</v>
      </c>
      <c r="S436" s="32">
        <v>56</v>
      </c>
      <c r="T436" s="19">
        <v>56</v>
      </c>
      <c r="U436" s="17" t="s">
        <v>62</v>
      </c>
      <c r="V436" s="17">
        <v>45853</v>
      </c>
      <c r="W436" s="18">
        <v>7</v>
      </c>
      <c r="X436" s="17">
        <v>45856</v>
      </c>
      <c r="Y436" s="17">
        <v>45868</v>
      </c>
      <c r="Z436" s="45">
        <v>7</v>
      </c>
      <c r="AA436">
        <v>2025</v>
      </c>
      <c r="AB436" s="42">
        <v>330680</v>
      </c>
      <c r="AC436" s="42">
        <v>330680</v>
      </c>
    </row>
    <row r="437" spans="1:29">
      <c r="A437" t="s">
        <v>45</v>
      </c>
      <c r="B437" t="s">
        <v>46</v>
      </c>
      <c r="C437" t="s">
        <v>47</v>
      </c>
      <c r="D437" t="s">
        <v>468</v>
      </c>
      <c r="E437" t="s">
        <v>49</v>
      </c>
      <c r="F437" t="s">
        <v>334</v>
      </c>
      <c r="G437" t="s">
        <v>51</v>
      </c>
      <c r="H437" s="17" t="s">
        <v>52</v>
      </c>
      <c r="I437" t="s">
        <v>53</v>
      </c>
      <c r="J437" t="s">
        <v>136</v>
      </c>
      <c r="K437">
        <v>1</v>
      </c>
      <c r="L437" t="s">
        <v>55</v>
      </c>
      <c r="M437" t="s">
        <v>56</v>
      </c>
      <c r="N437" t="s">
        <v>57</v>
      </c>
      <c r="O437" s="18" t="s">
        <v>58</v>
      </c>
      <c r="P437" s="18" t="s">
        <v>99</v>
      </c>
      <c r="Q437" s="17" t="s">
        <v>100</v>
      </c>
      <c r="R437" s="18" t="s">
        <v>101</v>
      </c>
      <c r="S437" s="32">
        <v>1</v>
      </c>
      <c r="T437" s="19">
        <v>1</v>
      </c>
      <c r="U437" s="17" t="s">
        <v>62</v>
      </c>
      <c r="V437" s="17">
        <v>45853</v>
      </c>
      <c r="W437" s="18">
        <v>7</v>
      </c>
      <c r="X437" s="17">
        <v>45856</v>
      </c>
      <c r="Y437" s="17">
        <v>45868</v>
      </c>
      <c r="Z437" s="45">
        <v>7</v>
      </c>
      <c r="AA437">
        <v>2025</v>
      </c>
      <c r="AB437" s="42">
        <v>150000</v>
      </c>
      <c r="AC437" s="42">
        <v>150000</v>
      </c>
    </row>
    <row r="438" spans="1:29">
      <c r="A438" t="s">
        <v>45</v>
      </c>
      <c r="B438" t="s">
        <v>46</v>
      </c>
      <c r="C438" t="s">
        <v>47</v>
      </c>
      <c r="D438" t="s">
        <v>471</v>
      </c>
      <c r="E438" t="s">
        <v>49</v>
      </c>
      <c r="F438" t="s">
        <v>50</v>
      </c>
      <c r="G438" t="s">
        <v>51</v>
      </c>
      <c r="H438" s="17" t="s">
        <v>52</v>
      </c>
      <c r="I438" t="s">
        <v>53</v>
      </c>
      <c r="J438" t="s">
        <v>224</v>
      </c>
      <c r="K438">
        <v>1</v>
      </c>
      <c r="L438" t="s">
        <v>55</v>
      </c>
      <c r="M438" t="s">
        <v>56</v>
      </c>
      <c r="N438" t="s">
        <v>57</v>
      </c>
      <c r="O438" s="18" t="s">
        <v>58</v>
      </c>
      <c r="P438" s="18" t="s">
        <v>72</v>
      </c>
      <c r="Q438" s="17" t="s">
        <v>221</v>
      </c>
      <c r="R438" s="18" t="s">
        <v>222</v>
      </c>
      <c r="S438" s="32">
        <v>390</v>
      </c>
      <c r="T438" s="19">
        <v>390</v>
      </c>
      <c r="U438" s="17" t="s">
        <v>62</v>
      </c>
      <c r="V438" s="17">
        <v>45848</v>
      </c>
      <c r="W438" s="18">
        <v>7</v>
      </c>
      <c r="X438" s="17">
        <v>45855</v>
      </c>
      <c r="Y438" s="17">
        <v>45862</v>
      </c>
      <c r="Z438" s="45">
        <v>7</v>
      </c>
      <c r="AA438">
        <v>2025</v>
      </c>
      <c r="AB438" s="42">
        <v>3500250</v>
      </c>
      <c r="AC438" s="42">
        <v>3500250</v>
      </c>
    </row>
    <row r="439" spans="1:29">
      <c r="A439" t="s">
        <v>45</v>
      </c>
      <c r="B439" t="s">
        <v>46</v>
      </c>
      <c r="C439" t="s">
        <v>47</v>
      </c>
      <c r="D439" t="s">
        <v>471</v>
      </c>
      <c r="E439" t="s">
        <v>49</v>
      </c>
      <c r="F439" t="s">
        <v>63</v>
      </c>
      <c r="G439" t="s">
        <v>51</v>
      </c>
      <c r="H439" s="17" t="s">
        <v>52</v>
      </c>
      <c r="I439" t="s">
        <v>53</v>
      </c>
      <c r="J439" t="s">
        <v>224</v>
      </c>
      <c r="K439">
        <v>1</v>
      </c>
      <c r="L439" t="s">
        <v>55</v>
      </c>
      <c r="M439" t="s">
        <v>56</v>
      </c>
      <c r="N439" t="s">
        <v>57</v>
      </c>
      <c r="O439" s="18" t="s">
        <v>58</v>
      </c>
      <c r="P439" s="18" t="s">
        <v>99</v>
      </c>
      <c r="Q439" s="17" t="s">
        <v>100</v>
      </c>
      <c r="R439" s="18" t="s">
        <v>101</v>
      </c>
      <c r="S439" s="32">
        <v>390</v>
      </c>
      <c r="T439" s="19">
        <v>390</v>
      </c>
      <c r="U439" s="17" t="s">
        <v>62</v>
      </c>
      <c r="V439" s="17">
        <v>45848</v>
      </c>
      <c r="W439" s="18">
        <v>7</v>
      </c>
      <c r="X439" s="17">
        <v>45855</v>
      </c>
      <c r="Y439" s="17">
        <v>45862</v>
      </c>
      <c r="Z439" s="45">
        <v>7</v>
      </c>
      <c r="AA439">
        <v>2025</v>
      </c>
      <c r="AB439" s="42">
        <v>67470</v>
      </c>
      <c r="AC439" s="42">
        <v>67470</v>
      </c>
    </row>
    <row r="440" spans="1:29">
      <c r="A440" t="s">
        <v>45</v>
      </c>
      <c r="B440" t="s">
        <v>46</v>
      </c>
      <c r="C440" t="s">
        <v>47</v>
      </c>
      <c r="D440" t="s">
        <v>435</v>
      </c>
      <c r="E440" t="s">
        <v>49</v>
      </c>
      <c r="F440" t="s">
        <v>67</v>
      </c>
      <c r="G440" t="s">
        <v>51</v>
      </c>
      <c r="H440" s="17" t="s">
        <v>52</v>
      </c>
      <c r="I440" t="s">
        <v>53</v>
      </c>
      <c r="J440" t="s">
        <v>54</v>
      </c>
      <c r="K440">
        <v>1</v>
      </c>
      <c r="L440" t="s">
        <v>55</v>
      </c>
      <c r="M440" t="s">
        <v>56</v>
      </c>
      <c r="N440" t="s">
        <v>57</v>
      </c>
      <c r="O440" s="18" t="s">
        <v>58</v>
      </c>
      <c r="P440" s="18" t="s">
        <v>99</v>
      </c>
      <c r="Q440" s="17" t="s">
        <v>100</v>
      </c>
      <c r="R440" s="18" t="s">
        <v>101</v>
      </c>
      <c r="S440" s="32">
        <v>120</v>
      </c>
      <c r="T440" s="19">
        <v>120</v>
      </c>
      <c r="U440" s="17" t="s">
        <v>62</v>
      </c>
      <c r="V440" s="17">
        <v>45842</v>
      </c>
      <c r="W440" s="18">
        <v>7</v>
      </c>
      <c r="X440" s="17">
        <v>45933</v>
      </c>
      <c r="Y440" s="17">
        <v>45867</v>
      </c>
      <c r="Z440" s="45">
        <v>7</v>
      </c>
      <c r="AA440">
        <v>2025</v>
      </c>
      <c r="AB440" s="42">
        <v>27720</v>
      </c>
      <c r="AC440" s="42">
        <v>27720</v>
      </c>
    </row>
    <row r="441" spans="1:29">
      <c r="A441" t="s">
        <v>45</v>
      </c>
      <c r="B441" t="s">
        <v>46</v>
      </c>
      <c r="C441" t="s">
        <v>47</v>
      </c>
      <c r="D441" t="s">
        <v>472</v>
      </c>
      <c r="E441" t="s">
        <v>115</v>
      </c>
      <c r="F441" t="s">
        <v>50</v>
      </c>
      <c r="G441" t="s">
        <v>116</v>
      </c>
      <c r="H441" s="17" t="s">
        <v>52</v>
      </c>
      <c r="I441" t="s">
        <v>53</v>
      </c>
      <c r="J441" t="s">
        <v>110</v>
      </c>
      <c r="K441">
        <v>1</v>
      </c>
      <c r="L441" t="s">
        <v>55</v>
      </c>
      <c r="M441" t="s">
        <v>56</v>
      </c>
      <c r="N441" t="s">
        <v>57</v>
      </c>
      <c r="O441" s="18" t="s">
        <v>58</v>
      </c>
      <c r="P441" s="18" t="s">
        <v>72</v>
      </c>
      <c r="Q441" s="17" t="s">
        <v>122</v>
      </c>
      <c r="R441" s="18" t="s">
        <v>425</v>
      </c>
      <c r="S441" s="32">
        <v>8</v>
      </c>
      <c r="T441" s="19">
        <v>8</v>
      </c>
      <c r="U441" s="17" t="s">
        <v>119</v>
      </c>
      <c r="V441" s="17">
        <v>45856</v>
      </c>
      <c r="W441" s="18">
        <v>7</v>
      </c>
      <c r="X441" s="17">
        <v>45868</v>
      </c>
      <c r="Y441" s="17">
        <v>45861</v>
      </c>
      <c r="Z441" s="45">
        <v>7</v>
      </c>
      <c r="AA441">
        <v>2025</v>
      </c>
      <c r="AB441" s="42">
        <v>2810640</v>
      </c>
      <c r="AC441" s="42">
        <v>2810640</v>
      </c>
    </row>
    <row r="442" spans="1:29">
      <c r="A442" t="s">
        <v>45</v>
      </c>
      <c r="B442" t="s">
        <v>46</v>
      </c>
      <c r="C442" t="s">
        <v>47</v>
      </c>
      <c r="D442" t="s">
        <v>472</v>
      </c>
      <c r="E442" t="s">
        <v>115</v>
      </c>
      <c r="F442" t="s">
        <v>63</v>
      </c>
      <c r="G442" t="s">
        <v>116</v>
      </c>
      <c r="H442" s="17" t="s">
        <v>52</v>
      </c>
      <c r="I442" t="s">
        <v>53</v>
      </c>
      <c r="J442" t="s">
        <v>110</v>
      </c>
      <c r="K442">
        <v>1</v>
      </c>
      <c r="L442" t="s">
        <v>55</v>
      </c>
      <c r="M442" t="s">
        <v>56</v>
      </c>
      <c r="N442" t="s">
        <v>57</v>
      </c>
      <c r="O442" s="18" t="s">
        <v>58</v>
      </c>
      <c r="P442" s="18" t="s">
        <v>72</v>
      </c>
      <c r="Q442" s="17" t="s">
        <v>117</v>
      </c>
      <c r="R442" s="18" t="s">
        <v>393</v>
      </c>
      <c r="S442" s="32">
        <v>4</v>
      </c>
      <c r="T442" s="19">
        <v>4</v>
      </c>
      <c r="U442" s="17" t="s">
        <v>119</v>
      </c>
      <c r="V442" s="17">
        <v>45856</v>
      </c>
      <c r="W442" s="18">
        <v>7</v>
      </c>
      <c r="X442" s="17">
        <v>45868</v>
      </c>
      <c r="Y442" s="17">
        <v>45861</v>
      </c>
      <c r="Z442" s="45">
        <v>7</v>
      </c>
      <c r="AA442">
        <v>2025</v>
      </c>
      <c r="AB442" s="42">
        <v>1406000</v>
      </c>
      <c r="AC442" s="42">
        <v>1406000</v>
      </c>
    </row>
    <row r="443" spans="1:29">
      <c r="A443" t="s">
        <v>45</v>
      </c>
      <c r="B443" t="s">
        <v>46</v>
      </c>
      <c r="C443" t="s">
        <v>47</v>
      </c>
      <c r="D443" t="s">
        <v>473</v>
      </c>
      <c r="E443" t="s">
        <v>115</v>
      </c>
      <c r="F443" t="s">
        <v>50</v>
      </c>
      <c r="G443" t="s">
        <v>116</v>
      </c>
      <c r="H443" s="17" t="s">
        <v>52</v>
      </c>
      <c r="I443" t="s">
        <v>53</v>
      </c>
      <c r="J443" t="s">
        <v>121</v>
      </c>
      <c r="K443">
        <v>1</v>
      </c>
      <c r="L443" t="s">
        <v>55</v>
      </c>
      <c r="M443" t="s">
        <v>56</v>
      </c>
      <c r="N443" t="s">
        <v>57</v>
      </c>
      <c r="O443" s="18" t="s">
        <v>58</v>
      </c>
      <c r="P443" s="18" t="s">
        <v>72</v>
      </c>
      <c r="Q443" s="17" t="s">
        <v>145</v>
      </c>
      <c r="R443" s="18" t="s">
        <v>411</v>
      </c>
      <c r="S443" s="32">
        <v>1</v>
      </c>
      <c r="T443" s="19">
        <v>1</v>
      </c>
      <c r="U443" s="17" t="s">
        <v>119</v>
      </c>
      <c r="V443" s="17">
        <v>45856</v>
      </c>
      <c r="W443" s="18">
        <v>7</v>
      </c>
      <c r="X443" s="17">
        <v>45868</v>
      </c>
      <c r="Y443" s="17">
        <v>45861</v>
      </c>
      <c r="Z443" s="45">
        <v>7</v>
      </c>
      <c r="AA443">
        <v>2025</v>
      </c>
      <c r="AB443" s="42">
        <v>732480</v>
      </c>
      <c r="AC443" s="42">
        <v>732480</v>
      </c>
    </row>
    <row r="444" spans="1:29">
      <c r="A444" t="s">
        <v>45</v>
      </c>
      <c r="B444" t="s">
        <v>46</v>
      </c>
      <c r="C444" t="s">
        <v>47</v>
      </c>
      <c r="D444" t="s">
        <v>473</v>
      </c>
      <c r="E444" t="s">
        <v>115</v>
      </c>
      <c r="F444" t="s">
        <v>63</v>
      </c>
      <c r="G444" t="s">
        <v>116</v>
      </c>
      <c r="H444" s="17" t="s">
        <v>52</v>
      </c>
      <c r="I444" t="s">
        <v>53</v>
      </c>
      <c r="J444" t="s">
        <v>121</v>
      </c>
      <c r="K444">
        <v>1</v>
      </c>
      <c r="L444" t="s">
        <v>55</v>
      </c>
      <c r="M444" t="s">
        <v>56</v>
      </c>
      <c r="N444" t="s">
        <v>57</v>
      </c>
      <c r="O444" s="18" t="s">
        <v>58</v>
      </c>
      <c r="P444" s="18" t="s">
        <v>72</v>
      </c>
      <c r="Q444" s="17" t="s">
        <v>122</v>
      </c>
      <c r="R444" s="18" t="s">
        <v>425</v>
      </c>
      <c r="S444" s="32">
        <v>4</v>
      </c>
      <c r="T444" s="19">
        <v>4</v>
      </c>
      <c r="U444" s="17" t="s">
        <v>119</v>
      </c>
      <c r="V444" s="17">
        <v>45856</v>
      </c>
      <c r="W444" s="18">
        <v>7</v>
      </c>
      <c r="X444" s="17">
        <v>45868</v>
      </c>
      <c r="Y444" s="17">
        <v>45861</v>
      </c>
      <c r="Z444" s="45">
        <v>7</v>
      </c>
      <c r="AA444">
        <v>2025</v>
      </c>
      <c r="AB444" s="42">
        <v>1405320</v>
      </c>
      <c r="AC444" s="42">
        <v>1405320</v>
      </c>
    </row>
    <row r="445" spans="1:29">
      <c r="A445" t="s">
        <v>45</v>
      </c>
      <c r="B445" t="s">
        <v>46</v>
      </c>
      <c r="C445" t="s">
        <v>47</v>
      </c>
      <c r="D445" t="s">
        <v>474</v>
      </c>
      <c r="E445" t="s">
        <v>115</v>
      </c>
      <c r="F445" t="s">
        <v>50</v>
      </c>
      <c r="G445" t="s">
        <v>116</v>
      </c>
      <c r="H445" s="17" t="s">
        <v>52</v>
      </c>
      <c r="I445" t="s">
        <v>53</v>
      </c>
      <c r="J445" t="s">
        <v>110</v>
      </c>
      <c r="K445">
        <v>1</v>
      </c>
      <c r="L445" t="s">
        <v>55</v>
      </c>
      <c r="M445" t="s">
        <v>56</v>
      </c>
      <c r="N445" t="s">
        <v>57</v>
      </c>
      <c r="O445" s="18" t="s">
        <v>58</v>
      </c>
      <c r="P445" s="18" t="s">
        <v>72</v>
      </c>
      <c r="Q445" s="17" t="s">
        <v>122</v>
      </c>
      <c r="R445" s="18" t="s">
        <v>425</v>
      </c>
      <c r="S445" s="32">
        <v>4</v>
      </c>
      <c r="T445" s="19">
        <v>4</v>
      </c>
      <c r="U445" s="17" t="s">
        <v>119</v>
      </c>
      <c r="V445" s="17">
        <v>45863</v>
      </c>
      <c r="W445" s="18">
        <v>7</v>
      </c>
      <c r="X445" s="17">
        <v>45875</v>
      </c>
      <c r="Y445" s="17">
        <v>45868</v>
      </c>
      <c r="Z445" s="45">
        <v>7</v>
      </c>
      <c r="AA445">
        <v>2025</v>
      </c>
      <c r="AB445" s="42">
        <v>1405320</v>
      </c>
      <c r="AC445" s="42">
        <v>1405320</v>
      </c>
    </row>
    <row r="446" spans="1:29">
      <c r="A446" t="s">
        <v>45</v>
      </c>
      <c r="B446" t="s">
        <v>46</v>
      </c>
      <c r="C446" t="s">
        <v>47</v>
      </c>
      <c r="D446" t="s">
        <v>474</v>
      </c>
      <c r="E446" t="s">
        <v>115</v>
      </c>
      <c r="F446" t="s">
        <v>63</v>
      </c>
      <c r="G446" t="s">
        <v>116</v>
      </c>
      <c r="H446" s="17" t="s">
        <v>52</v>
      </c>
      <c r="I446" t="s">
        <v>53</v>
      </c>
      <c r="J446" t="s">
        <v>110</v>
      </c>
      <c r="K446">
        <v>1</v>
      </c>
      <c r="L446" t="s">
        <v>55</v>
      </c>
      <c r="M446" t="s">
        <v>56</v>
      </c>
      <c r="N446" t="s">
        <v>57</v>
      </c>
      <c r="O446" s="18" t="s">
        <v>58</v>
      </c>
      <c r="P446" s="18" t="s">
        <v>72</v>
      </c>
      <c r="Q446" s="17" t="s">
        <v>117</v>
      </c>
      <c r="R446" s="18" t="s">
        <v>393</v>
      </c>
      <c r="S446" s="32">
        <v>2</v>
      </c>
      <c r="T446" s="19">
        <v>2</v>
      </c>
      <c r="U446" s="17" t="s">
        <v>119</v>
      </c>
      <c r="V446" s="17">
        <v>45863</v>
      </c>
      <c r="W446" s="18">
        <v>7</v>
      </c>
      <c r="X446" s="17">
        <v>45875</v>
      </c>
      <c r="Y446" s="17">
        <v>45868</v>
      </c>
      <c r="Z446" s="45">
        <v>7</v>
      </c>
      <c r="AA446">
        <v>2025</v>
      </c>
      <c r="AB446" s="42">
        <v>703000</v>
      </c>
      <c r="AC446" s="42">
        <v>703000</v>
      </c>
    </row>
    <row r="447" spans="1:29">
      <c r="A447" t="s">
        <v>45</v>
      </c>
      <c r="B447" t="s">
        <v>46</v>
      </c>
      <c r="C447" t="s">
        <v>47</v>
      </c>
      <c r="D447" t="s">
        <v>475</v>
      </c>
      <c r="E447" t="s">
        <v>115</v>
      </c>
      <c r="F447" t="s">
        <v>50</v>
      </c>
      <c r="G447" t="s">
        <v>116</v>
      </c>
      <c r="H447" s="17" t="s">
        <v>52</v>
      </c>
      <c r="I447" t="s">
        <v>53</v>
      </c>
      <c r="J447" t="s">
        <v>190</v>
      </c>
      <c r="K447">
        <v>1</v>
      </c>
      <c r="L447" t="s">
        <v>55</v>
      </c>
      <c r="M447" t="s">
        <v>56</v>
      </c>
      <c r="N447" t="s">
        <v>57</v>
      </c>
      <c r="O447" s="18" t="s">
        <v>58</v>
      </c>
      <c r="P447" s="18" t="s">
        <v>72</v>
      </c>
      <c r="Q447" s="17" t="s">
        <v>122</v>
      </c>
      <c r="R447" s="18" t="s">
        <v>425</v>
      </c>
      <c r="S447" s="32">
        <v>4</v>
      </c>
      <c r="T447" s="19">
        <v>4</v>
      </c>
      <c r="U447" s="17" t="s">
        <v>119</v>
      </c>
      <c r="V447" s="17">
        <v>45863</v>
      </c>
      <c r="W447" s="18">
        <v>7</v>
      </c>
      <c r="X447" s="17">
        <v>45875</v>
      </c>
      <c r="Y447" s="17">
        <v>45868</v>
      </c>
      <c r="Z447" s="45">
        <v>7</v>
      </c>
      <c r="AA447">
        <v>2025</v>
      </c>
      <c r="AB447" s="42">
        <v>1405320</v>
      </c>
      <c r="AC447" s="42">
        <v>1405320</v>
      </c>
    </row>
    <row r="448" spans="1:29">
      <c r="A448" t="s">
        <v>45</v>
      </c>
      <c r="B448" t="s">
        <v>46</v>
      </c>
      <c r="C448" t="s">
        <v>47</v>
      </c>
      <c r="D448" t="s">
        <v>476</v>
      </c>
      <c r="E448" t="s">
        <v>49</v>
      </c>
      <c r="F448" t="s">
        <v>50</v>
      </c>
      <c r="G448" t="s">
        <v>51</v>
      </c>
      <c r="H448" s="17" t="s">
        <v>52</v>
      </c>
      <c r="I448" t="s">
        <v>53</v>
      </c>
      <c r="J448" t="s">
        <v>54</v>
      </c>
      <c r="K448">
        <v>1</v>
      </c>
      <c r="L448" t="s">
        <v>55</v>
      </c>
      <c r="M448" t="s">
        <v>56</v>
      </c>
      <c r="N448" t="s">
        <v>57</v>
      </c>
      <c r="O448" s="18" t="s">
        <v>58</v>
      </c>
      <c r="P448" s="18" t="s">
        <v>68</v>
      </c>
      <c r="Q448" s="17" t="s">
        <v>417</v>
      </c>
      <c r="R448" s="18" t="s">
        <v>418</v>
      </c>
      <c r="S448" s="32">
        <v>50</v>
      </c>
      <c r="T448" s="19">
        <v>50</v>
      </c>
      <c r="U448" s="17" t="s">
        <v>227</v>
      </c>
      <c r="V448" s="17">
        <v>45855</v>
      </c>
      <c r="W448" s="18">
        <v>7</v>
      </c>
      <c r="X448" s="17">
        <v>45960</v>
      </c>
      <c r="Y448" s="17">
        <v>45867</v>
      </c>
      <c r="Z448" s="45">
        <v>7</v>
      </c>
      <c r="AA448">
        <v>2025</v>
      </c>
      <c r="AB448" s="42">
        <v>481900</v>
      </c>
      <c r="AC448" s="42">
        <v>481900</v>
      </c>
    </row>
    <row r="449" spans="1:29">
      <c r="A449" t="s">
        <v>45</v>
      </c>
      <c r="B449" t="s">
        <v>46</v>
      </c>
      <c r="C449" t="s">
        <v>47</v>
      </c>
      <c r="D449" t="s">
        <v>477</v>
      </c>
      <c r="E449" t="s">
        <v>49</v>
      </c>
      <c r="F449" t="s">
        <v>50</v>
      </c>
      <c r="G449" t="s">
        <v>51</v>
      </c>
      <c r="H449" s="17" t="s">
        <v>52</v>
      </c>
      <c r="I449" t="s">
        <v>53</v>
      </c>
      <c r="J449" t="s">
        <v>110</v>
      </c>
      <c r="K449">
        <v>1</v>
      </c>
      <c r="L449" t="s">
        <v>55</v>
      </c>
      <c r="M449" t="s">
        <v>56</v>
      </c>
      <c r="N449" t="s">
        <v>57</v>
      </c>
      <c r="O449" s="18" t="s">
        <v>58</v>
      </c>
      <c r="P449" s="18" t="s">
        <v>72</v>
      </c>
      <c r="Q449" s="17" t="s">
        <v>151</v>
      </c>
      <c r="R449" s="18" t="s">
        <v>152</v>
      </c>
      <c r="S449" s="32">
        <v>50</v>
      </c>
      <c r="T449" s="19">
        <v>50</v>
      </c>
      <c r="U449" s="17" t="s">
        <v>62</v>
      </c>
      <c r="V449" s="17">
        <v>45859</v>
      </c>
      <c r="W449" s="18">
        <v>7</v>
      </c>
      <c r="X449" s="17">
        <v>45866</v>
      </c>
      <c r="Y449" s="17">
        <v>45867</v>
      </c>
      <c r="Z449" s="45">
        <v>7</v>
      </c>
      <c r="AA449">
        <v>2025</v>
      </c>
      <c r="AB449" s="42">
        <v>1474950</v>
      </c>
      <c r="AC449" s="42">
        <v>1474950</v>
      </c>
    </row>
    <row r="450" spans="1:29">
      <c r="A450" t="s">
        <v>45</v>
      </c>
      <c r="B450" t="s">
        <v>46</v>
      </c>
      <c r="C450" t="s">
        <v>47</v>
      </c>
      <c r="D450" t="s">
        <v>477</v>
      </c>
      <c r="E450" t="s">
        <v>49</v>
      </c>
      <c r="F450" t="s">
        <v>63</v>
      </c>
      <c r="G450" t="s">
        <v>51</v>
      </c>
      <c r="H450" s="17" t="s">
        <v>52</v>
      </c>
      <c r="I450" t="s">
        <v>53</v>
      </c>
      <c r="J450" t="s">
        <v>110</v>
      </c>
      <c r="K450">
        <v>1</v>
      </c>
      <c r="L450" t="s">
        <v>55</v>
      </c>
      <c r="M450" t="s">
        <v>56</v>
      </c>
      <c r="N450" t="s">
        <v>57</v>
      </c>
      <c r="O450" s="18" t="s">
        <v>58</v>
      </c>
      <c r="P450" s="18" t="s">
        <v>99</v>
      </c>
      <c r="Q450" s="17" t="s">
        <v>100</v>
      </c>
      <c r="R450" s="18" t="s">
        <v>101</v>
      </c>
      <c r="S450" s="32">
        <v>1</v>
      </c>
      <c r="T450" s="19">
        <v>1</v>
      </c>
      <c r="U450" s="17" t="s">
        <v>62</v>
      </c>
      <c r="V450" s="17">
        <v>45859</v>
      </c>
      <c r="W450" s="18">
        <v>7</v>
      </c>
      <c r="X450" s="17">
        <v>45866</v>
      </c>
      <c r="Y450" s="17">
        <v>45867</v>
      </c>
      <c r="Z450" s="45">
        <v>7</v>
      </c>
      <c r="AA450">
        <v>2025</v>
      </c>
      <c r="AB450" s="42">
        <v>58000</v>
      </c>
      <c r="AC450" s="42">
        <v>58000</v>
      </c>
    </row>
    <row r="451" spans="1:29">
      <c r="A451" t="s">
        <v>45</v>
      </c>
      <c r="B451" t="s">
        <v>46</v>
      </c>
      <c r="C451" t="s">
        <v>47</v>
      </c>
      <c r="D451" t="s">
        <v>478</v>
      </c>
      <c r="E451" t="s">
        <v>49</v>
      </c>
      <c r="F451" t="s">
        <v>50</v>
      </c>
      <c r="G451" t="s">
        <v>51</v>
      </c>
      <c r="H451" s="17" t="s">
        <v>52</v>
      </c>
      <c r="I451" t="s">
        <v>53</v>
      </c>
      <c r="J451" t="s">
        <v>136</v>
      </c>
      <c r="K451">
        <v>1</v>
      </c>
      <c r="L451" t="s">
        <v>55</v>
      </c>
      <c r="M451" t="s">
        <v>56</v>
      </c>
      <c r="N451" t="s">
        <v>57</v>
      </c>
      <c r="O451" s="18" t="s">
        <v>58</v>
      </c>
      <c r="P451" s="18" t="s">
        <v>86</v>
      </c>
      <c r="Q451" s="17" t="s">
        <v>289</v>
      </c>
      <c r="R451" s="18" t="s">
        <v>290</v>
      </c>
      <c r="S451" s="32">
        <v>16</v>
      </c>
      <c r="T451" s="19">
        <v>16</v>
      </c>
      <c r="U451" s="17" t="s">
        <v>62</v>
      </c>
      <c r="V451" s="17">
        <v>45859</v>
      </c>
      <c r="W451" s="18">
        <v>7</v>
      </c>
      <c r="X451" s="17">
        <v>45869</v>
      </c>
      <c r="Y451" s="17">
        <v>45867</v>
      </c>
      <c r="Z451" s="45">
        <v>7</v>
      </c>
      <c r="AA451">
        <v>2025</v>
      </c>
      <c r="AB451" s="42">
        <v>232848</v>
      </c>
      <c r="AC451" s="42">
        <v>232848</v>
      </c>
    </row>
    <row r="452" spans="1:29">
      <c r="A452" t="s">
        <v>45</v>
      </c>
      <c r="B452" t="s">
        <v>46</v>
      </c>
      <c r="C452" t="s">
        <v>47</v>
      </c>
      <c r="D452" t="s">
        <v>478</v>
      </c>
      <c r="E452" t="s">
        <v>49</v>
      </c>
      <c r="F452" t="s">
        <v>63</v>
      </c>
      <c r="G452" t="s">
        <v>51</v>
      </c>
      <c r="H452" s="17" t="s">
        <v>52</v>
      </c>
      <c r="I452" t="s">
        <v>53</v>
      </c>
      <c r="J452" t="s">
        <v>136</v>
      </c>
      <c r="K452">
        <v>1</v>
      </c>
      <c r="L452" t="s">
        <v>55</v>
      </c>
      <c r="M452" t="s">
        <v>56</v>
      </c>
      <c r="N452" t="s">
        <v>57</v>
      </c>
      <c r="O452" s="18" t="s">
        <v>58</v>
      </c>
      <c r="P452" s="18" t="s">
        <v>72</v>
      </c>
      <c r="Q452" s="17" t="s">
        <v>151</v>
      </c>
      <c r="R452" s="18" t="s">
        <v>152</v>
      </c>
      <c r="S452" s="32">
        <v>38</v>
      </c>
      <c r="T452" s="19">
        <v>38</v>
      </c>
      <c r="U452" s="17" t="s">
        <v>62</v>
      </c>
      <c r="V452" s="17">
        <v>45859</v>
      </c>
      <c r="W452" s="18">
        <v>7</v>
      </c>
      <c r="X452" s="17">
        <v>45869</v>
      </c>
      <c r="Y452" s="17">
        <v>45867</v>
      </c>
      <c r="Z452" s="45">
        <v>7</v>
      </c>
      <c r="AA452">
        <v>2025</v>
      </c>
      <c r="AB452" s="42">
        <v>1136960</v>
      </c>
      <c r="AC452" s="42">
        <v>1136960</v>
      </c>
    </row>
    <row r="453" spans="1:29">
      <c r="A453" t="s">
        <v>45</v>
      </c>
      <c r="B453" t="s">
        <v>46</v>
      </c>
      <c r="C453" t="s">
        <v>47</v>
      </c>
      <c r="D453" t="s">
        <v>479</v>
      </c>
      <c r="E453" t="s">
        <v>49</v>
      </c>
      <c r="F453" t="s">
        <v>50</v>
      </c>
      <c r="G453" t="s">
        <v>51</v>
      </c>
      <c r="H453" s="17" t="s">
        <v>52</v>
      </c>
      <c r="I453" t="s">
        <v>53</v>
      </c>
      <c r="J453" t="s">
        <v>136</v>
      </c>
      <c r="K453">
        <v>1</v>
      </c>
      <c r="L453" t="s">
        <v>55</v>
      </c>
      <c r="M453" t="s">
        <v>56</v>
      </c>
      <c r="N453" t="s">
        <v>57</v>
      </c>
      <c r="O453" s="18" t="s">
        <v>58</v>
      </c>
      <c r="P453" s="18" t="s">
        <v>158</v>
      </c>
      <c r="Q453" s="17" t="s">
        <v>159</v>
      </c>
      <c r="R453" s="18" t="s">
        <v>160</v>
      </c>
      <c r="S453" s="32">
        <v>40</v>
      </c>
      <c r="T453" s="19">
        <v>40</v>
      </c>
      <c r="U453" s="17" t="s">
        <v>62</v>
      </c>
      <c r="V453" s="17">
        <v>45859</v>
      </c>
      <c r="W453" s="18">
        <v>7</v>
      </c>
      <c r="X453" s="17">
        <v>45869</v>
      </c>
      <c r="Y453" s="17">
        <v>45867</v>
      </c>
      <c r="Z453" s="45">
        <v>7</v>
      </c>
      <c r="AA453">
        <v>2025</v>
      </c>
      <c r="AB453" s="42">
        <v>674520</v>
      </c>
      <c r="AC453" s="42">
        <v>674520</v>
      </c>
    </row>
    <row r="454" spans="1:29">
      <c r="A454" t="s">
        <v>45</v>
      </c>
      <c r="B454" t="s">
        <v>46</v>
      </c>
      <c r="C454" t="s">
        <v>47</v>
      </c>
      <c r="D454" t="s">
        <v>479</v>
      </c>
      <c r="E454" t="s">
        <v>49</v>
      </c>
      <c r="F454" t="s">
        <v>63</v>
      </c>
      <c r="G454" t="s">
        <v>51</v>
      </c>
      <c r="H454" s="17" t="s">
        <v>52</v>
      </c>
      <c r="I454" t="s">
        <v>53</v>
      </c>
      <c r="J454" t="s">
        <v>136</v>
      </c>
      <c r="K454">
        <v>1</v>
      </c>
      <c r="L454" t="s">
        <v>55</v>
      </c>
      <c r="M454" t="s">
        <v>56</v>
      </c>
      <c r="N454" t="s">
        <v>57</v>
      </c>
      <c r="O454" s="18" t="s">
        <v>58</v>
      </c>
      <c r="P454" s="18" t="s">
        <v>64</v>
      </c>
      <c r="Q454" s="17" t="s">
        <v>92</v>
      </c>
      <c r="R454" s="18" t="s">
        <v>93</v>
      </c>
      <c r="S454" s="32">
        <v>5</v>
      </c>
      <c r="T454" s="19">
        <v>5</v>
      </c>
      <c r="U454" s="17" t="s">
        <v>62</v>
      </c>
      <c r="V454" s="17">
        <v>45859</v>
      </c>
      <c r="W454" s="18">
        <v>7</v>
      </c>
      <c r="X454" s="17">
        <v>45869</v>
      </c>
      <c r="Y454" s="17">
        <v>45867</v>
      </c>
      <c r="Z454" s="45">
        <v>7</v>
      </c>
      <c r="AA454">
        <v>2025</v>
      </c>
      <c r="AB454" s="42">
        <v>72745</v>
      </c>
      <c r="AC454" s="42">
        <v>72745</v>
      </c>
    </row>
    <row r="455" spans="1:29">
      <c r="A455" t="s">
        <v>45</v>
      </c>
      <c r="B455" t="s">
        <v>46</v>
      </c>
      <c r="C455" t="s">
        <v>47</v>
      </c>
      <c r="D455" t="s">
        <v>479</v>
      </c>
      <c r="E455" t="s">
        <v>49</v>
      </c>
      <c r="F455" t="s">
        <v>67</v>
      </c>
      <c r="G455" t="s">
        <v>51</v>
      </c>
      <c r="H455" s="17" t="s">
        <v>52</v>
      </c>
      <c r="I455" t="s">
        <v>53</v>
      </c>
      <c r="J455" t="s">
        <v>136</v>
      </c>
      <c r="K455">
        <v>1</v>
      </c>
      <c r="L455" t="s">
        <v>55</v>
      </c>
      <c r="M455" t="s">
        <v>56</v>
      </c>
      <c r="N455" t="s">
        <v>57</v>
      </c>
      <c r="O455" s="18" t="s">
        <v>58</v>
      </c>
      <c r="P455" s="18" t="s">
        <v>68</v>
      </c>
      <c r="Q455" s="17" t="s">
        <v>69</v>
      </c>
      <c r="R455" s="18" t="s">
        <v>70</v>
      </c>
      <c r="S455" s="32">
        <v>5</v>
      </c>
      <c r="T455" s="19">
        <v>5</v>
      </c>
      <c r="U455" s="17" t="s">
        <v>62</v>
      </c>
      <c r="V455" s="17">
        <v>45859</v>
      </c>
      <c r="W455" s="18">
        <v>7</v>
      </c>
      <c r="X455" s="17">
        <v>45869</v>
      </c>
      <c r="Y455" s="17">
        <v>45867</v>
      </c>
      <c r="Z455" s="45">
        <v>7</v>
      </c>
      <c r="AA455">
        <v>2025</v>
      </c>
      <c r="AB455" s="42">
        <v>385205</v>
      </c>
      <c r="AC455" s="42">
        <v>385205</v>
      </c>
    </row>
    <row r="456" spans="1:29">
      <c r="A456" t="s">
        <v>45</v>
      </c>
      <c r="B456" t="s">
        <v>46</v>
      </c>
      <c r="C456" t="s">
        <v>47</v>
      </c>
      <c r="D456" t="s">
        <v>479</v>
      </c>
      <c r="E456" t="s">
        <v>49</v>
      </c>
      <c r="F456" t="s">
        <v>71</v>
      </c>
      <c r="G456" t="s">
        <v>51</v>
      </c>
      <c r="H456" s="17" t="s">
        <v>52</v>
      </c>
      <c r="I456" t="s">
        <v>53</v>
      </c>
      <c r="J456" t="s">
        <v>136</v>
      </c>
      <c r="K456">
        <v>1</v>
      </c>
      <c r="L456" t="s">
        <v>55</v>
      </c>
      <c r="M456" t="s">
        <v>56</v>
      </c>
      <c r="N456" t="s">
        <v>57</v>
      </c>
      <c r="O456" s="18" t="s">
        <v>58</v>
      </c>
      <c r="P456" s="18" t="s">
        <v>99</v>
      </c>
      <c r="Q456" s="17" t="s">
        <v>100</v>
      </c>
      <c r="R456" s="18" t="s">
        <v>101</v>
      </c>
      <c r="S456" s="32">
        <v>1</v>
      </c>
      <c r="T456" s="19">
        <v>1</v>
      </c>
      <c r="U456" s="17" t="s">
        <v>62</v>
      </c>
      <c r="V456" s="17">
        <v>45859</v>
      </c>
      <c r="W456" s="18">
        <v>7</v>
      </c>
      <c r="X456" s="17">
        <v>45869</v>
      </c>
      <c r="Y456" s="17">
        <v>45867</v>
      </c>
      <c r="Z456" s="45">
        <v>7</v>
      </c>
      <c r="AA456">
        <v>2025</v>
      </c>
      <c r="AB456" s="42">
        <v>150000</v>
      </c>
      <c r="AC456" s="42">
        <v>150000</v>
      </c>
    </row>
    <row r="457" spans="1:29">
      <c r="A457" t="s">
        <v>45</v>
      </c>
      <c r="B457" t="s">
        <v>46</v>
      </c>
      <c r="C457" t="s">
        <v>47</v>
      </c>
      <c r="D457" t="s">
        <v>480</v>
      </c>
      <c r="E457" t="s">
        <v>49</v>
      </c>
      <c r="F457" t="s">
        <v>63</v>
      </c>
      <c r="G457" t="s">
        <v>51</v>
      </c>
      <c r="H457" s="17" t="s">
        <v>52</v>
      </c>
      <c r="I457" t="s">
        <v>53</v>
      </c>
      <c r="J457" t="s">
        <v>54</v>
      </c>
      <c r="K457">
        <v>1</v>
      </c>
      <c r="L457" t="s">
        <v>55</v>
      </c>
      <c r="M457" t="s">
        <v>56</v>
      </c>
      <c r="N457" t="s">
        <v>57</v>
      </c>
      <c r="O457" s="18" t="s">
        <v>58</v>
      </c>
      <c r="P457" s="18" t="s">
        <v>99</v>
      </c>
      <c r="Q457" s="17" t="s">
        <v>100</v>
      </c>
      <c r="R457" s="18" t="s">
        <v>101</v>
      </c>
      <c r="S457" s="32">
        <v>582</v>
      </c>
      <c r="T457" s="19">
        <v>582</v>
      </c>
      <c r="U457" s="17" t="s">
        <v>62</v>
      </c>
      <c r="V457" s="17">
        <v>45860</v>
      </c>
      <c r="W457" s="18">
        <v>7</v>
      </c>
      <c r="X457" s="17">
        <v>45861</v>
      </c>
      <c r="Y457" s="17">
        <v>45869</v>
      </c>
      <c r="Z457" s="45">
        <v>7</v>
      </c>
      <c r="AA457">
        <v>2025</v>
      </c>
      <c r="AB457" s="42">
        <v>150738</v>
      </c>
      <c r="AC457" s="42">
        <v>150738</v>
      </c>
    </row>
    <row r="458" spans="1:29">
      <c r="A458" t="s">
        <v>45</v>
      </c>
      <c r="B458" t="s">
        <v>46</v>
      </c>
      <c r="C458" t="s">
        <v>47</v>
      </c>
      <c r="D458" t="s">
        <v>481</v>
      </c>
      <c r="E458" t="s">
        <v>49</v>
      </c>
      <c r="F458" t="s">
        <v>50</v>
      </c>
      <c r="G458" t="s">
        <v>51</v>
      </c>
      <c r="H458" s="17" t="s">
        <v>52</v>
      </c>
      <c r="I458" t="s">
        <v>53</v>
      </c>
      <c r="J458" t="s">
        <v>150</v>
      </c>
      <c r="K458">
        <v>1</v>
      </c>
      <c r="L458" t="s">
        <v>55</v>
      </c>
      <c r="M458" t="s">
        <v>56</v>
      </c>
      <c r="N458" t="s">
        <v>57</v>
      </c>
      <c r="O458" s="18" t="s">
        <v>58</v>
      </c>
      <c r="P458" s="18" t="s">
        <v>86</v>
      </c>
      <c r="Q458" s="17" t="s">
        <v>87</v>
      </c>
      <c r="R458" s="18" t="s">
        <v>88</v>
      </c>
      <c r="S458" s="32">
        <v>40</v>
      </c>
      <c r="T458" s="19">
        <v>40</v>
      </c>
      <c r="U458" s="17" t="s">
        <v>62</v>
      </c>
      <c r="V458" s="17">
        <v>45861</v>
      </c>
      <c r="W458" s="18">
        <v>7</v>
      </c>
      <c r="X458" s="17">
        <v>45861</v>
      </c>
      <c r="Y458" s="17">
        <v>45868</v>
      </c>
      <c r="Z458" s="45">
        <v>7</v>
      </c>
      <c r="AA458">
        <v>2025</v>
      </c>
      <c r="AB458" s="42">
        <v>1121000</v>
      </c>
      <c r="AC458" s="42">
        <v>1121000</v>
      </c>
    </row>
    <row r="459" spans="1:29">
      <c r="A459" t="s">
        <v>45</v>
      </c>
      <c r="B459" t="s">
        <v>46</v>
      </c>
      <c r="C459" t="s">
        <v>47</v>
      </c>
      <c r="D459" t="s">
        <v>482</v>
      </c>
      <c r="E459" t="s">
        <v>49</v>
      </c>
      <c r="F459" t="s">
        <v>50</v>
      </c>
      <c r="G459" t="s">
        <v>51</v>
      </c>
      <c r="H459" s="17" t="s">
        <v>58</v>
      </c>
      <c r="I459" t="s">
        <v>53</v>
      </c>
      <c r="J459" t="s">
        <v>420</v>
      </c>
      <c r="K459">
        <v>1</v>
      </c>
      <c r="L459" t="s">
        <v>55</v>
      </c>
      <c r="M459" t="s">
        <v>56</v>
      </c>
      <c r="N459" t="s">
        <v>57</v>
      </c>
      <c r="O459" s="18" t="s">
        <v>58</v>
      </c>
      <c r="P459" s="18" t="s">
        <v>72</v>
      </c>
      <c r="Q459" s="17" t="s">
        <v>151</v>
      </c>
      <c r="R459" s="18" t="s">
        <v>152</v>
      </c>
      <c r="S459" s="32">
        <v>240</v>
      </c>
      <c r="T459" s="19">
        <v>0</v>
      </c>
      <c r="U459" s="17" t="s">
        <v>62</v>
      </c>
      <c r="V459" s="17">
        <v>45861</v>
      </c>
      <c r="W459" s="18">
        <v>7</v>
      </c>
      <c r="X459" s="17">
        <v>45862</v>
      </c>
      <c r="Z459" s="45">
        <v>7</v>
      </c>
      <c r="AA459">
        <v>2025</v>
      </c>
      <c r="AB459" s="42">
        <v>2385120</v>
      </c>
      <c r="AC459" s="42">
        <v>0</v>
      </c>
    </row>
    <row r="460" spans="1:29">
      <c r="A460" t="s">
        <v>45</v>
      </c>
      <c r="B460" t="s">
        <v>46</v>
      </c>
      <c r="C460" t="s">
        <v>47</v>
      </c>
      <c r="D460" t="s">
        <v>482</v>
      </c>
      <c r="E460" t="s">
        <v>49</v>
      </c>
      <c r="F460" t="s">
        <v>63</v>
      </c>
      <c r="G460" t="s">
        <v>51</v>
      </c>
      <c r="H460" s="17" t="s">
        <v>58</v>
      </c>
      <c r="I460" t="s">
        <v>53</v>
      </c>
      <c r="J460" t="s">
        <v>420</v>
      </c>
      <c r="K460">
        <v>1</v>
      </c>
      <c r="L460" t="s">
        <v>55</v>
      </c>
      <c r="M460" t="s">
        <v>56</v>
      </c>
      <c r="N460" t="s">
        <v>57</v>
      </c>
      <c r="O460" s="18" t="s">
        <v>58</v>
      </c>
      <c r="P460" s="18" t="s">
        <v>86</v>
      </c>
      <c r="Q460" s="17" t="s">
        <v>289</v>
      </c>
      <c r="R460" s="18" t="s">
        <v>290</v>
      </c>
      <c r="S460" s="32">
        <v>2731</v>
      </c>
      <c r="T460" s="19">
        <v>0</v>
      </c>
      <c r="U460" s="17" t="s">
        <v>62</v>
      </c>
      <c r="V460" s="17">
        <v>45861</v>
      </c>
      <c r="W460" s="18">
        <v>7</v>
      </c>
      <c r="X460" s="17">
        <v>45862</v>
      </c>
      <c r="Z460" s="45">
        <v>7</v>
      </c>
      <c r="AA460">
        <v>2025</v>
      </c>
      <c r="AB460" s="42">
        <v>13390093</v>
      </c>
      <c r="AC460" s="42">
        <v>0</v>
      </c>
    </row>
    <row r="461" spans="1:29">
      <c r="A461" t="s">
        <v>45</v>
      </c>
      <c r="B461" t="s">
        <v>46</v>
      </c>
      <c r="C461" t="s">
        <v>47</v>
      </c>
      <c r="D461" t="s">
        <v>482</v>
      </c>
      <c r="E461" t="s">
        <v>49</v>
      </c>
      <c r="F461" t="s">
        <v>67</v>
      </c>
      <c r="G461" t="s">
        <v>51</v>
      </c>
      <c r="H461" s="17" t="s">
        <v>58</v>
      </c>
      <c r="I461" t="s">
        <v>53</v>
      </c>
      <c r="J461" t="s">
        <v>420</v>
      </c>
      <c r="K461">
        <v>1</v>
      </c>
      <c r="L461" t="s">
        <v>55</v>
      </c>
      <c r="M461" t="s">
        <v>56</v>
      </c>
      <c r="N461" t="s">
        <v>57</v>
      </c>
      <c r="O461" s="18" t="s">
        <v>58</v>
      </c>
      <c r="P461" s="18" t="s">
        <v>86</v>
      </c>
      <c r="Q461" s="17" t="s">
        <v>483</v>
      </c>
      <c r="R461" s="18" t="s">
        <v>484</v>
      </c>
      <c r="S461" s="32">
        <v>732</v>
      </c>
      <c r="T461" s="19">
        <v>0</v>
      </c>
      <c r="U461" s="17" t="s">
        <v>62</v>
      </c>
      <c r="V461" s="17">
        <v>45861</v>
      </c>
      <c r="W461" s="18">
        <v>7</v>
      </c>
      <c r="X461" s="17">
        <v>45862</v>
      </c>
      <c r="Z461" s="45">
        <v>7</v>
      </c>
      <c r="AA461">
        <v>2025</v>
      </c>
      <c r="AB461" s="42">
        <v>4143120</v>
      </c>
      <c r="AC461" s="42">
        <v>0</v>
      </c>
    </row>
    <row r="462" spans="1:29">
      <c r="A462" t="s">
        <v>45</v>
      </c>
      <c r="B462" t="s">
        <v>46</v>
      </c>
      <c r="C462" t="s">
        <v>47</v>
      </c>
      <c r="D462" t="s">
        <v>482</v>
      </c>
      <c r="E462" t="s">
        <v>49</v>
      </c>
      <c r="F462" t="s">
        <v>71</v>
      </c>
      <c r="G462" t="s">
        <v>51</v>
      </c>
      <c r="H462" s="17" t="s">
        <v>58</v>
      </c>
      <c r="I462" t="s">
        <v>53</v>
      </c>
      <c r="J462" t="s">
        <v>420</v>
      </c>
      <c r="K462">
        <v>1</v>
      </c>
      <c r="L462" t="s">
        <v>55</v>
      </c>
      <c r="M462" t="s">
        <v>56</v>
      </c>
      <c r="N462" t="s">
        <v>57</v>
      </c>
      <c r="O462" s="18" t="s">
        <v>58</v>
      </c>
      <c r="P462" s="18" t="s">
        <v>99</v>
      </c>
      <c r="Q462" s="17" t="s">
        <v>100</v>
      </c>
      <c r="R462" s="18" t="s">
        <v>101</v>
      </c>
      <c r="S462" s="32">
        <v>1</v>
      </c>
      <c r="T462" s="19">
        <v>0</v>
      </c>
      <c r="U462" s="17" t="s">
        <v>62</v>
      </c>
      <c r="V462" s="17">
        <v>45861</v>
      </c>
      <c r="W462" s="18">
        <v>7</v>
      </c>
      <c r="X462" s="17">
        <v>45862</v>
      </c>
      <c r="Z462" s="45">
        <v>7</v>
      </c>
      <c r="AA462">
        <v>2025</v>
      </c>
      <c r="AB462" s="42">
        <v>112500</v>
      </c>
      <c r="AC462" s="42">
        <v>0</v>
      </c>
    </row>
    <row r="463" spans="1:29">
      <c r="A463" t="s">
        <v>45</v>
      </c>
      <c r="B463" t="s">
        <v>46</v>
      </c>
      <c r="C463" t="s">
        <v>47</v>
      </c>
      <c r="D463" t="s">
        <v>485</v>
      </c>
      <c r="E463" t="s">
        <v>49</v>
      </c>
      <c r="F463" t="s">
        <v>50</v>
      </c>
      <c r="G463" t="s">
        <v>51</v>
      </c>
      <c r="H463" s="17" t="s">
        <v>58</v>
      </c>
      <c r="I463" t="s">
        <v>53</v>
      </c>
      <c r="J463" t="s">
        <v>54</v>
      </c>
      <c r="L463" t="s">
        <v>55</v>
      </c>
      <c r="M463" t="s">
        <v>56</v>
      </c>
      <c r="N463" t="s">
        <v>57</v>
      </c>
      <c r="O463" s="18" t="s">
        <v>58</v>
      </c>
      <c r="P463" s="18" t="s">
        <v>132</v>
      </c>
      <c r="Q463" s="17" t="s">
        <v>133</v>
      </c>
      <c r="R463" s="18" t="s">
        <v>134</v>
      </c>
      <c r="S463" s="32">
        <v>2373</v>
      </c>
      <c r="T463" s="19">
        <v>0</v>
      </c>
      <c r="U463" s="17" t="s">
        <v>62</v>
      </c>
      <c r="V463" s="17">
        <v>45714</v>
      </c>
      <c r="W463" s="18">
        <v>2</v>
      </c>
      <c r="X463" s="17">
        <v>45842</v>
      </c>
      <c r="Z463" s="45">
        <v>7</v>
      </c>
      <c r="AA463">
        <v>2025</v>
      </c>
      <c r="AB463" s="42">
        <v>14133588</v>
      </c>
      <c r="AC463" s="42">
        <v>0</v>
      </c>
    </row>
    <row r="464" spans="1:29">
      <c r="A464" t="s">
        <v>45</v>
      </c>
      <c r="B464" t="s">
        <v>46</v>
      </c>
      <c r="C464" t="s">
        <v>47</v>
      </c>
      <c r="D464" t="s">
        <v>361</v>
      </c>
      <c r="E464" t="s">
        <v>49</v>
      </c>
      <c r="F464" t="s">
        <v>50</v>
      </c>
      <c r="G464" t="s">
        <v>51</v>
      </c>
      <c r="H464" s="17" t="s">
        <v>52</v>
      </c>
      <c r="I464" t="s">
        <v>53</v>
      </c>
      <c r="J464" t="s">
        <v>54</v>
      </c>
      <c r="K464">
        <v>1</v>
      </c>
      <c r="L464" t="s">
        <v>55</v>
      </c>
      <c r="M464" t="s">
        <v>56</v>
      </c>
      <c r="N464" t="s">
        <v>57</v>
      </c>
      <c r="O464" s="18" t="s">
        <v>58</v>
      </c>
      <c r="P464" s="18" t="s">
        <v>72</v>
      </c>
      <c r="Q464" s="17" t="s">
        <v>122</v>
      </c>
      <c r="R464" s="18" t="s">
        <v>123</v>
      </c>
      <c r="S464" s="32">
        <v>1041</v>
      </c>
      <c r="T464" s="19">
        <v>1041</v>
      </c>
      <c r="U464" s="17" t="s">
        <v>62</v>
      </c>
      <c r="V464" s="17">
        <v>45754</v>
      </c>
      <c r="W464" s="18">
        <v>4</v>
      </c>
      <c r="X464" s="17">
        <v>45779</v>
      </c>
      <c r="Y464" s="17">
        <v>45867</v>
      </c>
      <c r="Z464" s="45">
        <v>7</v>
      </c>
      <c r="AA464">
        <v>2025</v>
      </c>
      <c r="AB464" s="42">
        <v>4368036</v>
      </c>
      <c r="AC464" s="42">
        <v>4368036</v>
      </c>
    </row>
    <row r="465" spans="1:29">
      <c r="A465" t="s">
        <v>45</v>
      </c>
      <c r="B465" t="s">
        <v>46</v>
      </c>
      <c r="C465" t="s">
        <v>47</v>
      </c>
      <c r="D465" t="s">
        <v>486</v>
      </c>
      <c r="E465" t="s">
        <v>49</v>
      </c>
      <c r="F465" t="s">
        <v>50</v>
      </c>
      <c r="G465" t="s">
        <v>51</v>
      </c>
      <c r="H465" s="17" t="s">
        <v>52</v>
      </c>
      <c r="I465" t="s">
        <v>53</v>
      </c>
      <c r="J465" t="s">
        <v>54</v>
      </c>
      <c r="K465">
        <v>1</v>
      </c>
      <c r="L465" t="s">
        <v>55</v>
      </c>
      <c r="M465" t="s">
        <v>56</v>
      </c>
      <c r="N465" t="s">
        <v>57</v>
      </c>
      <c r="O465" s="18" t="s">
        <v>58</v>
      </c>
      <c r="P465" s="18" t="s">
        <v>172</v>
      </c>
      <c r="Q465" s="17" t="s">
        <v>173</v>
      </c>
      <c r="R465" s="18" t="s">
        <v>174</v>
      </c>
      <c r="S465" s="32">
        <v>192</v>
      </c>
      <c r="T465" s="19">
        <v>192</v>
      </c>
      <c r="U465" s="17" t="s">
        <v>62</v>
      </c>
      <c r="V465" s="17">
        <v>45784</v>
      </c>
      <c r="W465" s="18">
        <v>5</v>
      </c>
      <c r="X465" s="17">
        <v>45785</v>
      </c>
      <c r="Y465" s="17">
        <v>45866</v>
      </c>
      <c r="Z465" s="45">
        <v>7</v>
      </c>
      <c r="AA465">
        <v>2025</v>
      </c>
      <c r="AB465" s="42">
        <v>11041536</v>
      </c>
      <c r="AC465" s="42">
        <v>11041536</v>
      </c>
    </row>
    <row r="466" spans="1:29">
      <c r="A466" t="s">
        <v>45</v>
      </c>
      <c r="B466" t="s">
        <v>46</v>
      </c>
      <c r="C466" t="s">
        <v>47</v>
      </c>
      <c r="D466" t="s">
        <v>486</v>
      </c>
      <c r="E466" t="s">
        <v>49</v>
      </c>
      <c r="F466" t="s">
        <v>63</v>
      </c>
      <c r="G466" t="s">
        <v>51</v>
      </c>
      <c r="H466" s="17" t="s">
        <v>52</v>
      </c>
      <c r="I466" t="s">
        <v>53</v>
      </c>
      <c r="J466" t="s">
        <v>54</v>
      </c>
      <c r="K466">
        <v>1</v>
      </c>
      <c r="L466" t="s">
        <v>55</v>
      </c>
      <c r="M466" t="s">
        <v>56</v>
      </c>
      <c r="N466" t="s">
        <v>57</v>
      </c>
      <c r="O466" s="18" t="s">
        <v>58</v>
      </c>
      <c r="P466" s="18" t="s">
        <v>99</v>
      </c>
      <c r="Q466" s="17" t="s">
        <v>100</v>
      </c>
      <c r="R466" s="18" t="s">
        <v>101</v>
      </c>
      <c r="S466" s="32">
        <v>192</v>
      </c>
      <c r="T466" s="19">
        <v>192</v>
      </c>
      <c r="U466" s="17" t="s">
        <v>62</v>
      </c>
      <c r="V466" s="17">
        <v>45784</v>
      </c>
      <c r="W466" s="18">
        <v>5</v>
      </c>
      <c r="X466" s="17">
        <v>45785</v>
      </c>
      <c r="Y466" s="17">
        <v>45868</v>
      </c>
      <c r="Z466" s="45">
        <v>7</v>
      </c>
      <c r="AA466">
        <v>2025</v>
      </c>
      <c r="AB466" s="42">
        <v>28800</v>
      </c>
      <c r="AC466" s="42">
        <v>28800</v>
      </c>
    </row>
    <row r="467" spans="1:29">
      <c r="A467" t="s">
        <v>45</v>
      </c>
      <c r="B467" t="s">
        <v>46</v>
      </c>
      <c r="C467" t="s">
        <v>47</v>
      </c>
      <c r="D467" t="s">
        <v>435</v>
      </c>
      <c r="E467" t="s">
        <v>49</v>
      </c>
      <c r="F467" t="s">
        <v>50</v>
      </c>
      <c r="G467" t="s">
        <v>51</v>
      </c>
      <c r="H467" s="17" t="s">
        <v>52</v>
      </c>
      <c r="I467" t="s">
        <v>53</v>
      </c>
      <c r="J467" t="s">
        <v>54</v>
      </c>
      <c r="K467">
        <v>1</v>
      </c>
      <c r="L467" t="s">
        <v>55</v>
      </c>
      <c r="M467" t="s">
        <v>56</v>
      </c>
      <c r="N467" t="s">
        <v>57</v>
      </c>
      <c r="O467" s="18" t="s">
        <v>58</v>
      </c>
      <c r="P467" s="18" t="s">
        <v>99</v>
      </c>
      <c r="Q467" s="17" t="s">
        <v>100</v>
      </c>
      <c r="R467" s="18" t="s">
        <v>101</v>
      </c>
      <c r="S467" s="32">
        <v>1200</v>
      </c>
      <c r="T467" s="19">
        <v>1200</v>
      </c>
      <c r="U467" s="17" t="s">
        <v>62</v>
      </c>
      <c r="V467" s="17">
        <v>45842</v>
      </c>
      <c r="W467" s="18">
        <v>7</v>
      </c>
      <c r="X467" s="17">
        <v>45933</v>
      </c>
      <c r="Y467" s="17">
        <v>45867</v>
      </c>
      <c r="Z467" s="45">
        <v>7</v>
      </c>
      <c r="AA467">
        <v>2025</v>
      </c>
      <c r="AB467" s="42">
        <v>277200</v>
      </c>
      <c r="AC467" s="42">
        <v>277200</v>
      </c>
    </row>
    <row r="468" spans="1:29">
      <c r="A468" t="s">
        <v>45</v>
      </c>
      <c r="B468" t="s">
        <v>46</v>
      </c>
      <c r="C468" t="s">
        <v>47</v>
      </c>
      <c r="D468" t="s">
        <v>487</v>
      </c>
      <c r="E468" t="s">
        <v>49</v>
      </c>
      <c r="F468" t="s">
        <v>67</v>
      </c>
      <c r="G468" t="s">
        <v>51</v>
      </c>
      <c r="H468" s="17" t="s">
        <v>52</v>
      </c>
      <c r="I468" t="s">
        <v>53</v>
      </c>
      <c r="J468" t="s">
        <v>54</v>
      </c>
      <c r="K468">
        <v>1</v>
      </c>
      <c r="L468" t="s">
        <v>55</v>
      </c>
      <c r="M468" t="s">
        <v>56</v>
      </c>
      <c r="N468" t="s">
        <v>57</v>
      </c>
      <c r="O468" s="18" t="s">
        <v>58</v>
      </c>
      <c r="P468" s="18" t="s">
        <v>99</v>
      </c>
      <c r="Q468" s="17" t="s">
        <v>100</v>
      </c>
      <c r="R468" s="18" t="s">
        <v>101</v>
      </c>
      <c r="S468" s="32">
        <v>6777</v>
      </c>
      <c r="T468" s="19">
        <v>5975</v>
      </c>
      <c r="U468" s="17" t="s">
        <v>62</v>
      </c>
      <c r="V468" s="17">
        <v>45867</v>
      </c>
      <c r="W468" s="18">
        <v>7</v>
      </c>
      <c r="X468" s="17">
        <v>45960</v>
      </c>
      <c r="Y468" s="17">
        <v>45888</v>
      </c>
      <c r="Z468" s="45">
        <v>8</v>
      </c>
      <c r="AA468">
        <v>2025</v>
      </c>
      <c r="AB468" s="42">
        <v>1755243</v>
      </c>
      <c r="AC468" s="42">
        <v>1547525</v>
      </c>
    </row>
    <row r="469" spans="1:29">
      <c r="A469" t="s">
        <v>45</v>
      </c>
      <c r="B469" t="s">
        <v>46</v>
      </c>
      <c r="C469" t="s">
        <v>47</v>
      </c>
      <c r="D469" t="s">
        <v>487</v>
      </c>
      <c r="E469" t="s">
        <v>49</v>
      </c>
      <c r="F469" t="s">
        <v>465</v>
      </c>
      <c r="G469" t="s">
        <v>51</v>
      </c>
      <c r="H469" s="17" t="s">
        <v>52</v>
      </c>
      <c r="I469" t="s">
        <v>53</v>
      </c>
      <c r="J469" t="s">
        <v>54</v>
      </c>
      <c r="K469">
        <v>1</v>
      </c>
      <c r="L469" t="s">
        <v>55</v>
      </c>
      <c r="M469" t="s">
        <v>56</v>
      </c>
      <c r="N469" t="s">
        <v>57</v>
      </c>
      <c r="O469" s="18" t="s">
        <v>58</v>
      </c>
      <c r="P469" s="18" t="s">
        <v>99</v>
      </c>
      <c r="Q469" s="17" t="s">
        <v>100</v>
      </c>
      <c r="R469" s="18" t="s">
        <v>101</v>
      </c>
      <c r="S469" s="32">
        <v>7</v>
      </c>
      <c r="T469" s="19">
        <v>7</v>
      </c>
      <c r="U469" s="17" t="s">
        <v>62</v>
      </c>
      <c r="V469" s="17">
        <v>45867</v>
      </c>
      <c r="W469" s="18">
        <v>7</v>
      </c>
      <c r="X469" s="17">
        <v>45960</v>
      </c>
      <c r="Y469" s="17">
        <v>45877</v>
      </c>
      <c r="Z469" s="45">
        <v>8</v>
      </c>
      <c r="AA469">
        <v>2025</v>
      </c>
      <c r="AB469" s="42">
        <v>2422</v>
      </c>
      <c r="AC469" s="42">
        <v>2422</v>
      </c>
    </row>
    <row r="470" spans="1:29">
      <c r="A470" t="s">
        <v>45</v>
      </c>
      <c r="B470" t="s">
        <v>46</v>
      </c>
      <c r="C470" t="s">
        <v>47</v>
      </c>
      <c r="D470" t="s">
        <v>487</v>
      </c>
      <c r="E470" t="s">
        <v>49</v>
      </c>
      <c r="F470" t="s">
        <v>466</v>
      </c>
      <c r="G470" t="s">
        <v>51</v>
      </c>
      <c r="H470" s="17" t="s">
        <v>52</v>
      </c>
      <c r="I470" t="s">
        <v>53</v>
      </c>
      <c r="J470" t="s">
        <v>54</v>
      </c>
      <c r="K470">
        <v>1</v>
      </c>
      <c r="L470" t="s">
        <v>55</v>
      </c>
      <c r="M470" t="s">
        <v>56</v>
      </c>
      <c r="N470" t="s">
        <v>57</v>
      </c>
      <c r="O470" s="18" t="s">
        <v>58</v>
      </c>
      <c r="P470" s="18" t="s">
        <v>137</v>
      </c>
      <c r="Q470" s="17" t="s">
        <v>488</v>
      </c>
      <c r="R470" s="18" t="s">
        <v>489</v>
      </c>
      <c r="S470" s="32">
        <v>7</v>
      </c>
      <c r="T470" s="19">
        <v>7</v>
      </c>
      <c r="U470" s="17" t="s">
        <v>62</v>
      </c>
      <c r="V470" s="17">
        <v>45867</v>
      </c>
      <c r="W470" s="18">
        <v>7</v>
      </c>
      <c r="X470" s="17">
        <v>45960</v>
      </c>
      <c r="Y470" s="17">
        <v>45877</v>
      </c>
      <c r="Z470" s="45">
        <v>8</v>
      </c>
      <c r="AA470">
        <v>2025</v>
      </c>
      <c r="AB470" s="42">
        <v>165312</v>
      </c>
      <c r="AC470" s="42">
        <v>165312</v>
      </c>
    </row>
    <row r="471" spans="1:29">
      <c r="A471" t="s">
        <v>45</v>
      </c>
      <c r="B471" t="s">
        <v>46</v>
      </c>
      <c r="C471" t="s">
        <v>47</v>
      </c>
      <c r="D471" t="s">
        <v>487</v>
      </c>
      <c r="E471" t="s">
        <v>49</v>
      </c>
      <c r="F471" t="s">
        <v>455</v>
      </c>
      <c r="G471" t="s">
        <v>51</v>
      </c>
      <c r="H471" s="17" t="s">
        <v>52</v>
      </c>
      <c r="I471" t="s">
        <v>53</v>
      </c>
      <c r="J471" t="s">
        <v>54</v>
      </c>
      <c r="K471">
        <v>1</v>
      </c>
      <c r="L471" t="s">
        <v>55</v>
      </c>
      <c r="M471" t="s">
        <v>56</v>
      </c>
      <c r="N471" t="s">
        <v>57</v>
      </c>
      <c r="O471" s="18" t="s">
        <v>58</v>
      </c>
      <c r="P471" s="18" t="s">
        <v>99</v>
      </c>
      <c r="Q471" s="17" t="s">
        <v>100</v>
      </c>
      <c r="R471" s="18" t="s">
        <v>101</v>
      </c>
      <c r="S471" s="32">
        <v>462</v>
      </c>
      <c r="T471" s="19">
        <v>232</v>
      </c>
      <c r="U471" s="17" t="s">
        <v>62</v>
      </c>
      <c r="V471" s="17">
        <v>45867</v>
      </c>
      <c r="W471" s="18">
        <v>7</v>
      </c>
      <c r="X471" s="17">
        <v>45960</v>
      </c>
      <c r="Y471" s="17">
        <v>45877</v>
      </c>
      <c r="Z471" s="45">
        <v>8</v>
      </c>
      <c r="AA471">
        <v>2025</v>
      </c>
      <c r="AB471" s="42">
        <v>86856</v>
      </c>
      <c r="AC471" s="42">
        <v>43616</v>
      </c>
    </row>
    <row r="472" spans="1:29">
      <c r="A472" t="s">
        <v>45</v>
      </c>
      <c r="B472" t="s">
        <v>46</v>
      </c>
      <c r="C472" t="s">
        <v>47</v>
      </c>
      <c r="D472" t="s">
        <v>487</v>
      </c>
      <c r="E472" t="s">
        <v>49</v>
      </c>
      <c r="F472" t="s">
        <v>456</v>
      </c>
      <c r="G472" t="s">
        <v>51</v>
      </c>
      <c r="H472" s="17" t="s">
        <v>52</v>
      </c>
      <c r="I472" t="s">
        <v>53</v>
      </c>
      <c r="J472" t="s">
        <v>54</v>
      </c>
      <c r="K472">
        <v>1</v>
      </c>
      <c r="L472" t="s">
        <v>55</v>
      </c>
      <c r="M472" t="s">
        <v>56</v>
      </c>
      <c r="N472" t="s">
        <v>57</v>
      </c>
      <c r="O472" s="18" t="s">
        <v>58</v>
      </c>
      <c r="P472" s="18" t="s">
        <v>158</v>
      </c>
      <c r="Q472" s="17" t="s">
        <v>159</v>
      </c>
      <c r="R472" s="18" t="s">
        <v>160</v>
      </c>
      <c r="S472" s="32">
        <v>462</v>
      </c>
      <c r="T472" s="19">
        <v>232</v>
      </c>
      <c r="U472" s="17" t="s">
        <v>62</v>
      </c>
      <c r="V472" s="17">
        <v>45867</v>
      </c>
      <c r="W472" s="18">
        <v>7</v>
      </c>
      <c r="X472" s="17">
        <v>45960</v>
      </c>
      <c r="Y472" s="17">
        <v>45877</v>
      </c>
      <c r="Z472" s="45">
        <v>8</v>
      </c>
      <c r="AA472">
        <v>2025</v>
      </c>
      <c r="AB472" s="42">
        <v>7694610</v>
      </c>
      <c r="AC472" s="42">
        <v>3863960</v>
      </c>
    </row>
    <row r="473" spans="1:29">
      <c r="A473" t="s">
        <v>45</v>
      </c>
      <c r="B473" t="s">
        <v>46</v>
      </c>
      <c r="C473" t="s">
        <v>47</v>
      </c>
      <c r="D473" t="s">
        <v>487</v>
      </c>
      <c r="E473" t="s">
        <v>49</v>
      </c>
      <c r="F473" t="s">
        <v>490</v>
      </c>
      <c r="G473" t="s">
        <v>51</v>
      </c>
      <c r="H473" s="17" t="s">
        <v>52</v>
      </c>
      <c r="I473" t="s">
        <v>53</v>
      </c>
      <c r="J473" t="s">
        <v>54</v>
      </c>
      <c r="K473">
        <v>1</v>
      </c>
      <c r="L473" t="s">
        <v>55</v>
      </c>
      <c r="M473" t="s">
        <v>56</v>
      </c>
      <c r="N473" t="s">
        <v>57</v>
      </c>
      <c r="O473" s="18" t="s">
        <v>58</v>
      </c>
      <c r="P473" s="18" t="s">
        <v>99</v>
      </c>
      <c r="Q473" s="17" t="s">
        <v>100</v>
      </c>
      <c r="R473" s="18" t="s">
        <v>101</v>
      </c>
      <c r="S473" s="32">
        <v>1114</v>
      </c>
      <c r="T473" s="19">
        <v>1025</v>
      </c>
      <c r="U473" s="17" t="s">
        <v>62</v>
      </c>
      <c r="V473" s="17">
        <v>45867</v>
      </c>
      <c r="W473" s="18">
        <v>7</v>
      </c>
      <c r="X473" s="17">
        <v>45960</v>
      </c>
      <c r="Y473" s="17">
        <v>45877</v>
      </c>
      <c r="Z473" s="45">
        <v>8</v>
      </c>
      <c r="AA473">
        <v>2025</v>
      </c>
      <c r="AB473" s="42">
        <v>385444</v>
      </c>
      <c r="AC473" s="42">
        <v>354650</v>
      </c>
    </row>
    <row r="474" spans="1:29">
      <c r="A474" t="s">
        <v>45</v>
      </c>
      <c r="B474" t="s">
        <v>46</v>
      </c>
      <c r="C474" t="s">
        <v>47</v>
      </c>
      <c r="D474" t="s">
        <v>487</v>
      </c>
      <c r="E474" t="s">
        <v>49</v>
      </c>
      <c r="F474" t="s">
        <v>491</v>
      </c>
      <c r="G474" t="s">
        <v>51</v>
      </c>
      <c r="H474" s="17" t="s">
        <v>52</v>
      </c>
      <c r="I474" t="s">
        <v>53</v>
      </c>
      <c r="J474" t="s">
        <v>54</v>
      </c>
      <c r="K474">
        <v>1</v>
      </c>
      <c r="L474" t="s">
        <v>55</v>
      </c>
      <c r="M474" t="s">
        <v>56</v>
      </c>
      <c r="N474" t="s">
        <v>57</v>
      </c>
      <c r="O474" s="18" t="s">
        <v>58</v>
      </c>
      <c r="P474" s="18" t="s">
        <v>137</v>
      </c>
      <c r="Q474" s="17" t="s">
        <v>492</v>
      </c>
      <c r="R474" s="18" t="s">
        <v>493</v>
      </c>
      <c r="S474" s="32">
        <v>1114</v>
      </c>
      <c r="T474" s="19">
        <v>1025</v>
      </c>
      <c r="U474" s="17" t="s">
        <v>62</v>
      </c>
      <c r="V474" s="17">
        <v>45867</v>
      </c>
      <c r="W474" s="18">
        <v>7</v>
      </c>
      <c r="X474" s="17">
        <v>45960</v>
      </c>
      <c r="Y474" s="17">
        <v>45877</v>
      </c>
      <c r="Z474" s="45">
        <v>8</v>
      </c>
      <c r="AA474">
        <v>2025</v>
      </c>
      <c r="AB474" s="42">
        <v>44948786</v>
      </c>
      <c r="AC474" s="42">
        <v>41357725</v>
      </c>
    </row>
    <row r="475" spans="1:29">
      <c r="A475" t="s">
        <v>45</v>
      </c>
      <c r="B475" t="s">
        <v>46</v>
      </c>
      <c r="C475" t="s">
        <v>47</v>
      </c>
      <c r="D475" t="s">
        <v>494</v>
      </c>
      <c r="E475" t="s">
        <v>49</v>
      </c>
      <c r="F475" t="s">
        <v>50</v>
      </c>
      <c r="G475" t="s">
        <v>51</v>
      </c>
      <c r="H475" s="17" t="s">
        <v>52</v>
      </c>
      <c r="I475" t="s">
        <v>53</v>
      </c>
      <c r="J475" t="s">
        <v>110</v>
      </c>
      <c r="K475">
        <v>1</v>
      </c>
      <c r="L475" t="s">
        <v>55</v>
      </c>
      <c r="M475" t="s">
        <v>56</v>
      </c>
      <c r="N475" t="s">
        <v>57</v>
      </c>
      <c r="O475" s="18" t="s">
        <v>58</v>
      </c>
      <c r="P475" s="18" t="s">
        <v>86</v>
      </c>
      <c r="Q475" s="17" t="s">
        <v>289</v>
      </c>
      <c r="R475" s="18" t="s">
        <v>290</v>
      </c>
      <c r="S475" s="32">
        <v>92</v>
      </c>
      <c r="T475" s="19">
        <v>92</v>
      </c>
      <c r="U475" s="17" t="s">
        <v>62</v>
      </c>
      <c r="V475" s="17">
        <v>45868</v>
      </c>
      <c r="W475" s="18">
        <v>7</v>
      </c>
      <c r="X475" s="17">
        <v>45873</v>
      </c>
      <c r="Y475" s="17">
        <v>45876</v>
      </c>
      <c r="Z475" s="45">
        <v>8</v>
      </c>
      <c r="AA475">
        <v>2025</v>
      </c>
      <c r="AB475" s="42">
        <v>1338876</v>
      </c>
      <c r="AC475" s="42">
        <v>1338876</v>
      </c>
    </row>
    <row r="476" spans="1:29">
      <c r="A476" t="s">
        <v>45</v>
      </c>
      <c r="B476" t="s">
        <v>46</v>
      </c>
      <c r="C476" t="s">
        <v>47</v>
      </c>
      <c r="D476" t="s">
        <v>494</v>
      </c>
      <c r="E476" t="s">
        <v>49</v>
      </c>
      <c r="F476" t="s">
        <v>63</v>
      </c>
      <c r="G476" t="s">
        <v>51</v>
      </c>
      <c r="H476" s="17" t="s">
        <v>52</v>
      </c>
      <c r="I476" t="s">
        <v>53</v>
      </c>
      <c r="J476" t="s">
        <v>110</v>
      </c>
      <c r="K476">
        <v>1</v>
      </c>
      <c r="L476" t="s">
        <v>55</v>
      </c>
      <c r="M476" t="s">
        <v>56</v>
      </c>
      <c r="N476" t="s">
        <v>57</v>
      </c>
      <c r="O476" s="18" t="s">
        <v>58</v>
      </c>
      <c r="P476" s="18" t="s">
        <v>99</v>
      </c>
      <c r="Q476" s="17" t="s">
        <v>100</v>
      </c>
      <c r="R476" s="18" t="s">
        <v>101</v>
      </c>
      <c r="S476" s="32">
        <v>1</v>
      </c>
      <c r="T476" s="19">
        <v>1</v>
      </c>
      <c r="U476" s="17" t="s">
        <v>62</v>
      </c>
      <c r="V476" s="17">
        <v>45868</v>
      </c>
      <c r="W476" s="18">
        <v>7</v>
      </c>
      <c r="X476" s="17">
        <v>45873</v>
      </c>
      <c r="Y476" s="17">
        <v>45876</v>
      </c>
      <c r="Z476" s="45">
        <v>8</v>
      </c>
      <c r="AA476">
        <v>2025</v>
      </c>
      <c r="AB476" s="42">
        <v>58000</v>
      </c>
      <c r="AC476" s="42">
        <v>58000</v>
      </c>
    </row>
    <row r="477" spans="1:29">
      <c r="A477" t="s">
        <v>45</v>
      </c>
      <c r="B477" t="s">
        <v>46</v>
      </c>
      <c r="C477" t="s">
        <v>47</v>
      </c>
      <c r="D477" t="s">
        <v>494</v>
      </c>
      <c r="E477" t="s">
        <v>49</v>
      </c>
      <c r="F477" t="s">
        <v>67</v>
      </c>
      <c r="G477" t="s">
        <v>51</v>
      </c>
      <c r="H477" s="17" t="s">
        <v>52</v>
      </c>
      <c r="I477" t="s">
        <v>53</v>
      </c>
      <c r="J477" t="s">
        <v>110</v>
      </c>
      <c r="K477">
        <v>1</v>
      </c>
      <c r="L477" t="s">
        <v>55</v>
      </c>
      <c r="M477" t="s">
        <v>56</v>
      </c>
      <c r="N477" t="s">
        <v>57</v>
      </c>
      <c r="O477" s="18" t="s">
        <v>58</v>
      </c>
      <c r="P477" s="18" t="s">
        <v>137</v>
      </c>
      <c r="Q477" s="17" t="s">
        <v>492</v>
      </c>
      <c r="R477" s="18" t="s">
        <v>493</v>
      </c>
      <c r="S477" s="32">
        <v>9</v>
      </c>
      <c r="T477" s="19">
        <v>9</v>
      </c>
      <c r="U477" s="17" t="s">
        <v>62</v>
      </c>
      <c r="V477" s="17">
        <v>45868</v>
      </c>
      <c r="W477" s="18">
        <v>7</v>
      </c>
      <c r="X477" s="17">
        <v>45873</v>
      </c>
      <c r="Y477" s="17">
        <v>45876</v>
      </c>
      <c r="Z477" s="45">
        <v>8</v>
      </c>
      <c r="AA477">
        <v>2025</v>
      </c>
      <c r="AB477" s="42">
        <v>363141</v>
      </c>
      <c r="AC477" s="42">
        <v>363141</v>
      </c>
    </row>
    <row r="478" spans="1:29">
      <c r="A478" t="s">
        <v>45</v>
      </c>
      <c r="B478" t="s">
        <v>46</v>
      </c>
      <c r="C478" t="s">
        <v>47</v>
      </c>
      <c r="D478" t="s">
        <v>495</v>
      </c>
      <c r="E478" t="s">
        <v>49</v>
      </c>
      <c r="F478" t="s">
        <v>50</v>
      </c>
      <c r="G478" t="s">
        <v>51</v>
      </c>
      <c r="H478" s="17" t="s">
        <v>52</v>
      </c>
      <c r="I478" t="s">
        <v>53</v>
      </c>
      <c r="J478" t="s">
        <v>54</v>
      </c>
      <c r="K478">
        <v>1</v>
      </c>
      <c r="L478" t="s">
        <v>55</v>
      </c>
      <c r="M478" t="s">
        <v>56</v>
      </c>
      <c r="N478" t="s">
        <v>57</v>
      </c>
      <c r="O478" s="18" t="s">
        <v>58</v>
      </c>
      <c r="P478" s="18" t="s">
        <v>172</v>
      </c>
      <c r="Q478" s="17" t="s">
        <v>173</v>
      </c>
      <c r="R478" s="18" t="s">
        <v>174</v>
      </c>
      <c r="S478" s="32">
        <v>6</v>
      </c>
      <c r="T478" s="19">
        <v>6</v>
      </c>
      <c r="U478" s="17" t="s">
        <v>62</v>
      </c>
      <c r="V478" s="17">
        <v>45880</v>
      </c>
      <c r="W478" s="18">
        <v>8</v>
      </c>
      <c r="X478" s="17">
        <v>45890</v>
      </c>
      <c r="Y478" s="17">
        <v>45887</v>
      </c>
      <c r="Z478" s="45">
        <v>8</v>
      </c>
      <c r="AA478">
        <v>2025</v>
      </c>
      <c r="AB478" s="42">
        <v>381774</v>
      </c>
      <c r="AC478" s="42">
        <v>381774</v>
      </c>
    </row>
    <row r="479" spans="1:29">
      <c r="A479" t="s">
        <v>45</v>
      </c>
      <c r="B479" t="s">
        <v>46</v>
      </c>
      <c r="C479" t="s">
        <v>47</v>
      </c>
      <c r="D479" t="s">
        <v>496</v>
      </c>
      <c r="E479" t="s">
        <v>49</v>
      </c>
      <c r="F479" t="s">
        <v>50</v>
      </c>
      <c r="G479" t="s">
        <v>51</v>
      </c>
      <c r="H479" s="17" t="s">
        <v>52</v>
      </c>
      <c r="I479" t="s">
        <v>53</v>
      </c>
      <c r="J479" t="s">
        <v>54</v>
      </c>
      <c r="K479">
        <v>1</v>
      </c>
      <c r="L479" t="s">
        <v>55</v>
      </c>
      <c r="M479" t="s">
        <v>56</v>
      </c>
      <c r="N479" t="s">
        <v>57</v>
      </c>
      <c r="O479" s="18" t="s">
        <v>58</v>
      </c>
      <c r="P479" s="18" t="s">
        <v>172</v>
      </c>
      <c r="Q479" s="17" t="s">
        <v>173</v>
      </c>
      <c r="R479" s="18" t="s">
        <v>174</v>
      </c>
      <c r="S479" s="32">
        <v>5</v>
      </c>
      <c r="T479" s="19">
        <v>5</v>
      </c>
      <c r="U479" s="17" t="s">
        <v>62</v>
      </c>
      <c r="V479" s="17">
        <v>45881</v>
      </c>
      <c r="W479" s="18">
        <v>8</v>
      </c>
      <c r="X479" s="17">
        <v>45898</v>
      </c>
      <c r="Y479" s="17">
        <v>45887</v>
      </c>
      <c r="Z479" s="45">
        <v>8</v>
      </c>
      <c r="AA479">
        <v>2025</v>
      </c>
      <c r="AB479" s="42">
        <v>318145</v>
      </c>
      <c r="AC479" s="42">
        <v>318145</v>
      </c>
    </row>
    <row r="480" spans="1:29">
      <c r="A480" t="s">
        <v>45</v>
      </c>
      <c r="B480" t="s">
        <v>46</v>
      </c>
      <c r="C480" t="s">
        <v>47</v>
      </c>
      <c r="D480" t="s">
        <v>497</v>
      </c>
      <c r="E480" t="s">
        <v>115</v>
      </c>
      <c r="F480" t="s">
        <v>50</v>
      </c>
      <c r="G480" t="s">
        <v>116</v>
      </c>
      <c r="H480" s="17" t="s">
        <v>52</v>
      </c>
      <c r="I480" t="s">
        <v>53</v>
      </c>
      <c r="J480" t="s">
        <v>110</v>
      </c>
      <c r="K480">
        <v>1</v>
      </c>
      <c r="L480" t="s">
        <v>55</v>
      </c>
      <c r="M480" t="s">
        <v>56</v>
      </c>
      <c r="N480" t="s">
        <v>57</v>
      </c>
      <c r="O480" s="18" t="s">
        <v>58</v>
      </c>
      <c r="P480" s="18" t="s">
        <v>72</v>
      </c>
      <c r="Q480" s="17" t="s">
        <v>122</v>
      </c>
      <c r="R480" s="18" t="s">
        <v>425</v>
      </c>
      <c r="S480" s="32">
        <v>4</v>
      </c>
      <c r="T480" s="19">
        <v>4</v>
      </c>
      <c r="U480" s="17" t="s">
        <v>119</v>
      </c>
      <c r="V480" s="17">
        <v>45870</v>
      </c>
      <c r="W480" s="18">
        <v>8</v>
      </c>
      <c r="X480" s="17">
        <v>45882</v>
      </c>
      <c r="Y480" s="17">
        <v>45876</v>
      </c>
      <c r="Z480" s="45">
        <v>8</v>
      </c>
      <c r="AA480">
        <v>2025</v>
      </c>
      <c r="AB480" s="42">
        <v>1405320</v>
      </c>
      <c r="AC480" s="42">
        <v>1405320</v>
      </c>
    </row>
    <row r="481" spans="1:29">
      <c r="A481" t="s">
        <v>45</v>
      </c>
      <c r="B481" t="s">
        <v>46</v>
      </c>
      <c r="C481" t="s">
        <v>47</v>
      </c>
      <c r="D481" t="s">
        <v>498</v>
      </c>
      <c r="E481" t="s">
        <v>115</v>
      </c>
      <c r="F481" t="s">
        <v>50</v>
      </c>
      <c r="G481" t="s">
        <v>116</v>
      </c>
      <c r="H481" s="17" t="s">
        <v>52</v>
      </c>
      <c r="I481" t="s">
        <v>53</v>
      </c>
      <c r="J481" t="s">
        <v>121</v>
      </c>
      <c r="K481">
        <v>1</v>
      </c>
      <c r="L481" t="s">
        <v>55</v>
      </c>
      <c r="M481" t="s">
        <v>56</v>
      </c>
      <c r="N481" t="s">
        <v>57</v>
      </c>
      <c r="O481" s="18" t="s">
        <v>58</v>
      </c>
      <c r="P481" s="18" t="s">
        <v>72</v>
      </c>
      <c r="Q481" s="17" t="s">
        <v>147</v>
      </c>
      <c r="R481" s="18" t="s">
        <v>148</v>
      </c>
      <c r="S481" s="32">
        <v>1</v>
      </c>
      <c r="T481" s="19">
        <v>1</v>
      </c>
      <c r="U481" s="17" t="s">
        <v>119</v>
      </c>
      <c r="V481" s="17">
        <v>45870</v>
      </c>
      <c r="W481" s="18">
        <v>8</v>
      </c>
      <c r="X481" s="17">
        <v>45882</v>
      </c>
      <c r="Y481" s="17">
        <v>45876</v>
      </c>
      <c r="Z481" s="45">
        <v>8</v>
      </c>
      <c r="AA481">
        <v>2025</v>
      </c>
      <c r="AB481" s="42">
        <v>418720</v>
      </c>
      <c r="AC481" s="42">
        <v>418720</v>
      </c>
    </row>
    <row r="482" spans="1:29">
      <c r="A482" t="s">
        <v>45</v>
      </c>
      <c r="B482" t="s">
        <v>46</v>
      </c>
      <c r="C482" t="s">
        <v>47</v>
      </c>
      <c r="D482" t="s">
        <v>498</v>
      </c>
      <c r="E482" t="s">
        <v>115</v>
      </c>
      <c r="F482" t="s">
        <v>63</v>
      </c>
      <c r="G482" t="s">
        <v>116</v>
      </c>
      <c r="H482" s="17" t="s">
        <v>52</v>
      </c>
      <c r="I482" t="s">
        <v>53</v>
      </c>
      <c r="J482" t="s">
        <v>121</v>
      </c>
      <c r="K482">
        <v>1</v>
      </c>
      <c r="L482" t="s">
        <v>55</v>
      </c>
      <c r="M482" t="s">
        <v>56</v>
      </c>
      <c r="N482" t="s">
        <v>57</v>
      </c>
      <c r="O482" s="18" t="s">
        <v>58</v>
      </c>
      <c r="P482" s="18" t="s">
        <v>72</v>
      </c>
      <c r="Q482" s="17" t="s">
        <v>145</v>
      </c>
      <c r="R482" s="18" t="s">
        <v>411</v>
      </c>
      <c r="S482" s="32">
        <v>2</v>
      </c>
      <c r="T482" s="19">
        <v>2</v>
      </c>
      <c r="U482" s="17" t="s">
        <v>119</v>
      </c>
      <c r="V482" s="17">
        <v>45870</v>
      </c>
      <c r="W482" s="18">
        <v>8</v>
      </c>
      <c r="X482" s="17">
        <v>45882</v>
      </c>
      <c r="Y482" s="17">
        <v>45876</v>
      </c>
      <c r="Z482" s="45">
        <v>8</v>
      </c>
      <c r="AA482">
        <v>2025</v>
      </c>
      <c r="AB482" s="42">
        <v>1464960</v>
      </c>
      <c r="AC482" s="42">
        <v>1464960</v>
      </c>
    </row>
    <row r="483" spans="1:29">
      <c r="A483" t="s">
        <v>45</v>
      </c>
      <c r="B483" t="s">
        <v>46</v>
      </c>
      <c r="C483" t="s">
        <v>47</v>
      </c>
      <c r="D483" t="s">
        <v>498</v>
      </c>
      <c r="E483" t="s">
        <v>115</v>
      </c>
      <c r="F483" t="s">
        <v>67</v>
      </c>
      <c r="G483" t="s">
        <v>116</v>
      </c>
      <c r="H483" s="17" t="s">
        <v>52</v>
      </c>
      <c r="I483" t="s">
        <v>53</v>
      </c>
      <c r="J483" t="s">
        <v>121</v>
      </c>
      <c r="K483">
        <v>1</v>
      </c>
      <c r="L483" t="s">
        <v>55</v>
      </c>
      <c r="M483" t="s">
        <v>56</v>
      </c>
      <c r="N483" t="s">
        <v>57</v>
      </c>
      <c r="O483" s="18" t="s">
        <v>58</v>
      </c>
      <c r="P483" s="18" t="s">
        <v>72</v>
      </c>
      <c r="Q483" s="17" t="s">
        <v>122</v>
      </c>
      <c r="R483" s="18" t="s">
        <v>425</v>
      </c>
      <c r="S483" s="32">
        <v>4</v>
      </c>
      <c r="T483" s="19">
        <v>4</v>
      </c>
      <c r="U483" s="17" t="s">
        <v>119</v>
      </c>
      <c r="V483" s="17">
        <v>45870</v>
      </c>
      <c r="W483" s="18">
        <v>8</v>
      </c>
      <c r="X483" s="17">
        <v>45882</v>
      </c>
      <c r="Y483" s="17">
        <v>45876</v>
      </c>
      <c r="Z483" s="45">
        <v>8</v>
      </c>
      <c r="AA483">
        <v>2025</v>
      </c>
      <c r="AB483" s="42">
        <v>1405320</v>
      </c>
      <c r="AC483" s="42">
        <v>1405320</v>
      </c>
    </row>
    <row r="484" spans="1:29">
      <c r="A484" t="s">
        <v>45</v>
      </c>
      <c r="B484" t="s">
        <v>46</v>
      </c>
      <c r="C484" t="s">
        <v>47</v>
      </c>
      <c r="D484" t="s">
        <v>499</v>
      </c>
      <c r="E484" t="s">
        <v>115</v>
      </c>
      <c r="F484" t="s">
        <v>50</v>
      </c>
      <c r="G484" t="s">
        <v>116</v>
      </c>
      <c r="H484" s="17" t="s">
        <v>52</v>
      </c>
      <c r="I484" t="s">
        <v>53</v>
      </c>
      <c r="J484" t="s">
        <v>125</v>
      </c>
      <c r="K484">
        <v>1</v>
      </c>
      <c r="L484" t="s">
        <v>55</v>
      </c>
      <c r="M484" t="s">
        <v>56</v>
      </c>
      <c r="N484" t="s">
        <v>57</v>
      </c>
      <c r="O484" s="18" t="s">
        <v>58</v>
      </c>
      <c r="P484" s="18" t="s">
        <v>72</v>
      </c>
      <c r="Q484" s="17" t="s">
        <v>122</v>
      </c>
      <c r="R484" s="18" t="s">
        <v>425</v>
      </c>
      <c r="S484" s="32">
        <v>4</v>
      </c>
      <c r="T484" s="19">
        <v>4</v>
      </c>
      <c r="U484" s="17" t="s">
        <v>119</v>
      </c>
      <c r="V484" s="17">
        <v>45870</v>
      </c>
      <c r="W484" s="18">
        <v>8</v>
      </c>
      <c r="X484" s="17">
        <v>45882</v>
      </c>
      <c r="Y484" s="17">
        <v>45875</v>
      </c>
      <c r="Z484" s="45">
        <v>8</v>
      </c>
      <c r="AA484">
        <v>2025</v>
      </c>
      <c r="AB484" s="42">
        <v>1405320</v>
      </c>
      <c r="AC484" s="42">
        <v>1405320</v>
      </c>
    </row>
    <row r="485" spans="1:29">
      <c r="A485" t="s">
        <v>45</v>
      </c>
      <c r="B485" t="s">
        <v>46</v>
      </c>
      <c r="C485" t="s">
        <v>47</v>
      </c>
      <c r="D485" t="s">
        <v>499</v>
      </c>
      <c r="E485" t="s">
        <v>115</v>
      </c>
      <c r="F485" t="s">
        <v>63</v>
      </c>
      <c r="G485" t="s">
        <v>116</v>
      </c>
      <c r="H485" s="17" t="s">
        <v>52</v>
      </c>
      <c r="I485" t="s">
        <v>53</v>
      </c>
      <c r="J485" t="s">
        <v>125</v>
      </c>
      <c r="K485">
        <v>1</v>
      </c>
      <c r="L485" t="s">
        <v>55</v>
      </c>
      <c r="M485" t="s">
        <v>56</v>
      </c>
      <c r="N485" t="s">
        <v>57</v>
      </c>
      <c r="O485" s="18" t="s">
        <v>58</v>
      </c>
      <c r="P485" s="18" t="s">
        <v>72</v>
      </c>
      <c r="Q485" s="17" t="s">
        <v>117</v>
      </c>
      <c r="R485" s="18" t="s">
        <v>393</v>
      </c>
      <c r="S485" s="32">
        <v>2</v>
      </c>
      <c r="T485" s="19">
        <v>2</v>
      </c>
      <c r="U485" s="17" t="s">
        <v>119</v>
      </c>
      <c r="V485" s="17">
        <v>45870</v>
      </c>
      <c r="W485" s="18">
        <v>8</v>
      </c>
      <c r="X485" s="17">
        <v>45882</v>
      </c>
      <c r="Y485" s="17">
        <v>45875</v>
      </c>
      <c r="Z485" s="45">
        <v>8</v>
      </c>
      <c r="AA485">
        <v>2025</v>
      </c>
      <c r="AB485" s="42">
        <v>703000</v>
      </c>
      <c r="AC485" s="42">
        <v>703000</v>
      </c>
    </row>
    <row r="486" spans="1:29">
      <c r="A486" t="s">
        <v>45</v>
      </c>
      <c r="B486" t="s">
        <v>46</v>
      </c>
      <c r="C486" t="s">
        <v>47</v>
      </c>
      <c r="D486" t="s">
        <v>500</v>
      </c>
      <c r="E486" t="s">
        <v>115</v>
      </c>
      <c r="F486" t="s">
        <v>50</v>
      </c>
      <c r="G486" t="s">
        <v>116</v>
      </c>
      <c r="H486" s="17" t="s">
        <v>52</v>
      </c>
      <c r="I486" t="s">
        <v>53</v>
      </c>
      <c r="J486" t="s">
        <v>110</v>
      </c>
      <c r="K486">
        <v>1</v>
      </c>
      <c r="L486" t="s">
        <v>55</v>
      </c>
      <c r="M486" t="s">
        <v>56</v>
      </c>
      <c r="N486" t="s">
        <v>57</v>
      </c>
      <c r="O486" s="18" t="s">
        <v>58</v>
      </c>
      <c r="P486" s="18" t="s">
        <v>72</v>
      </c>
      <c r="Q486" s="17" t="s">
        <v>122</v>
      </c>
      <c r="R486" s="18" t="s">
        <v>425</v>
      </c>
      <c r="S486" s="32">
        <v>4</v>
      </c>
      <c r="T486" s="19">
        <v>4</v>
      </c>
      <c r="U486" s="17" t="s">
        <v>119</v>
      </c>
      <c r="V486" s="17">
        <v>45877</v>
      </c>
      <c r="W486" s="18">
        <v>8</v>
      </c>
      <c r="X486" s="17">
        <v>45890</v>
      </c>
      <c r="Y486" s="17">
        <v>45882</v>
      </c>
      <c r="Z486" s="45">
        <v>8</v>
      </c>
      <c r="AA486">
        <v>2025</v>
      </c>
      <c r="AB486" s="42">
        <v>1405320</v>
      </c>
      <c r="AC486" s="42">
        <v>1405320</v>
      </c>
    </row>
    <row r="487" spans="1:29">
      <c r="A487" t="s">
        <v>45</v>
      </c>
      <c r="B487" t="s">
        <v>46</v>
      </c>
      <c r="C487" t="s">
        <v>47</v>
      </c>
      <c r="D487" t="s">
        <v>500</v>
      </c>
      <c r="E487" t="s">
        <v>115</v>
      </c>
      <c r="F487" t="s">
        <v>63</v>
      </c>
      <c r="G487" t="s">
        <v>116</v>
      </c>
      <c r="H487" s="17" t="s">
        <v>52</v>
      </c>
      <c r="I487" t="s">
        <v>53</v>
      </c>
      <c r="J487" t="s">
        <v>110</v>
      </c>
      <c r="K487">
        <v>1</v>
      </c>
      <c r="L487" t="s">
        <v>55</v>
      </c>
      <c r="M487" t="s">
        <v>56</v>
      </c>
      <c r="N487" t="s">
        <v>57</v>
      </c>
      <c r="O487" s="18" t="s">
        <v>58</v>
      </c>
      <c r="P487" s="18" t="s">
        <v>72</v>
      </c>
      <c r="Q487" s="17" t="s">
        <v>117</v>
      </c>
      <c r="R487" s="18" t="s">
        <v>393</v>
      </c>
      <c r="S487" s="32">
        <v>2</v>
      </c>
      <c r="T487" s="19">
        <v>2</v>
      </c>
      <c r="U487" s="17" t="s">
        <v>119</v>
      </c>
      <c r="V487" s="17">
        <v>45877</v>
      </c>
      <c r="W487" s="18">
        <v>8</v>
      </c>
      <c r="X487" s="17">
        <v>45890</v>
      </c>
      <c r="Y487" s="17">
        <v>45882</v>
      </c>
      <c r="Z487" s="45">
        <v>8</v>
      </c>
      <c r="AA487">
        <v>2025</v>
      </c>
      <c r="AB487" s="42">
        <v>703000</v>
      </c>
      <c r="AC487" s="42">
        <v>703000</v>
      </c>
    </row>
    <row r="488" spans="1:29">
      <c r="A488" t="s">
        <v>45</v>
      </c>
      <c r="B488" t="s">
        <v>46</v>
      </c>
      <c r="C488" t="s">
        <v>47</v>
      </c>
      <c r="D488" t="s">
        <v>501</v>
      </c>
      <c r="E488" t="s">
        <v>115</v>
      </c>
      <c r="F488" t="s">
        <v>50</v>
      </c>
      <c r="G488" t="s">
        <v>116</v>
      </c>
      <c r="H488" s="17" t="s">
        <v>52</v>
      </c>
      <c r="I488" t="s">
        <v>53</v>
      </c>
      <c r="J488" t="s">
        <v>121</v>
      </c>
      <c r="K488">
        <v>1</v>
      </c>
      <c r="L488" t="s">
        <v>55</v>
      </c>
      <c r="M488" t="s">
        <v>56</v>
      </c>
      <c r="N488" t="s">
        <v>57</v>
      </c>
      <c r="O488" s="18" t="s">
        <v>58</v>
      </c>
      <c r="P488" s="18" t="s">
        <v>72</v>
      </c>
      <c r="Q488" s="17" t="s">
        <v>147</v>
      </c>
      <c r="R488" s="18" t="s">
        <v>148</v>
      </c>
      <c r="S488" s="32">
        <v>1</v>
      </c>
      <c r="T488" s="19">
        <v>1</v>
      </c>
      <c r="U488" s="17" t="s">
        <v>119</v>
      </c>
      <c r="V488" s="17">
        <v>45877</v>
      </c>
      <c r="W488" s="18">
        <v>8</v>
      </c>
      <c r="X488" s="17">
        <v>45890</v>
      </c>
      <c r="Y488" s="17">
        <v>45882</v>
      </c>
      <c r="Z488" s="45">
        <v>8</v>
      </c>
      <c r="AA488">
        <v>2025</v>
      </c>
      <c r="AB488" s="42">
        <v>418720</v>
      </c>
      <c r="AC488" s="42">
        <v>418720</v>
      </c>
    </row>
    <row r="489" spans="1:29">
      <c r="A489" t="s">
        <v>45</v>
      </c>
      <c r="B489" t="s">
        <v>46</v>
      </c>
      <c r="C489" t="s">
        <v>47</v>
      </c>
      <c r="D489" t="s">
        <v>501</v>
      </c>
      <c r="E489" t="s">
        <v>115</v>
      </c>
      <c r="F489" t="s">
        <v>63</v>
      </c>
      <c r="G489" t="s">
        <v>116</v>
      </c>
      <c r="H489" s="17" t="s">
        <v>52</v>
      </c>
      <c r="I489" t="s">
        <v>53</v>
      </c>
      <c r="J489" t="s">
        <v>121</v>
      </c>
      <c r="K489">
        <v>1</v>
      </c>
      <c r="L489" t="s">
        <v>55</v>
      </c>
      <c r="M489" t="s">
        <v>56</v>
      </c>
      <c r="N489" t="s">
        <v>57</v>
      </c>
      <c r="O489" s="18" t="s">
        <v>58</v>
      </c>
      <c r="P489" s="18" t="s">
        <v>72</v>
      </c>
      <c r="Q489" s="17" t="s">
        <v>122</v>
      </c>
      <c r="R489" s="18" t="s">
        <v>425</v>
      </c>
      <c r="S489" s="32">
        <v>4</v>
      </c>
      <c r="T489" s="19">
        <v>4</v>
      </c>
      <c r="U489" s="17" t="s">
        <v>119</v>
      </c>
      <c r="V489" s="17">
        <v>45877</v>
      </c>
      <c r="W489" s="18">
        <v>8</v>
      </c>
      <c r="X489" s="17">
        <v>45890</v>
      </c>
      <c r="Y489" s="17">
        <v>45882</v>
      </c>
      <c r="Z489" s="45">
        <v>8</v>
      </c>
      <c r="AA489">
        <v>2025</v>
      </c>
      <c r="AB489" s="42">
        <v>1405320</v>
      </c>
      <c r="AC489" s="42">
        <v>1405320</v>
      </c>
    </row>
    <row r="490" spans="1:29">
      <c r="A490" t="s">
        <v>45</v>
      </c>
      <c r="B490" t="s">
        <v>46</v>
      </c>
      <c r="C490" t="s">
        <v>47</v>
      </c>
      <c r="D490" t="s">
        <v>501</v>
      </c>
      <c r="E490" t="s">
        <v>115</v>
      </c>
      <c r="F490" t="s">
        <v>67</v>
      </c>
      <c r="G490" t="s">
        <v>116</v>
      </c>
      <c r="H490" s="17" t="s">
        <v>52</v>
      </c>
      <c r="I490" t="s">
        <v>53</v>
      </c>
      <c r="J490" t="s">
        <v>121</v>
      </c>
      <c r="K490">
        <v>1</v>
      </c>
      <c r="L490" t="s">
        <v>55</v>
      </c>
      <c r="M490" t="s">
        <v>56</v>
      </c>
      <c r="N490" t="s">
        <v>57</v>
      </c>
      <c r="O490" s="18" t="s">
        <v>58</v>
      </c>
      <c r="P490" s="18" t="s">
        <v>72</v>
      </c>
      <c r="Q490" s="17" t="s">
        <v>117</v>
      </c>
      <c r="R490" s="18" t="s">
        <v>393</v>
      </c>
      <c r="S490" s="32">
        <v>1</v>
      </c>
      <c r="T490" s="19">
        <v>1</v>
      </c>
      <c r="U490" s="17" t="s">
        <v>119</v>
      </c>
      <c r="V490" s="17">
        <v>45877</v>
      </c>
      <c r="W490" s="18">
        <v>8</v>
      </c>
      <c r="X490" s="17">
        <v>45890</v>
      </c>
      <c r="Y490" s="17">
        <v>45882</v>
      </c>
      <c r="Z490" s="45">
        <v>8</v>
      </c>
      <c r="AA490">
        <v>2025</v>
      </c>
      <c r="AB490" s="42">
        <v>351500</v>
      </c>
      <c r="AC490" s="42">
        <v>351500</v>
      </c>
    </row>
    <row r="491" spans="1:29">
      <c r="A491" t="s">
        <v>45</v>
      </c>
      <c r="B491" t="s">
        <v>46</v>
      </c>
      <c r="C491" t="s">
        <v>47</v>
      </c>
      <c r="D491" t="s">
        <v>502</v>
      </c>
      <c r="E491" t="s">
        <v>49</v>
      </c>
      <c r="F491" t="s">
        <v>50</v>
      </c>
      <c r="G491" t="s">
        <v>51</v>
      </c>
      <c r="H491" s="17" t="s">
        <v>52</v>
      </c>
      <c r="I491" t="s">
        <v>53</v>
      </c>
      <c r="J491" t="s">
        <v>136</v>
      </c>
      <c r="K491">
        <v>1</v>
      </c>
      <c r="L491" t="s">
        <v>55</v>
      </c>
      <c r="M491" t="s">
        <v>56</v>
      </c>
      <c r="N491" t="s">
        <v>57</v>
      </c>
      <c r="O491" s="18" t="s">
        <v>58</v>
      </c>
      <c r="P491" s="18" t="s">
        <v>86</v>
      </c>
      <c r="Q491" s="17" t="s">
        <v>87</v>
      </c>
      <c r="R491" s="18" t="s">
        <v>88</v>
      </c>
      <c r="S491" s="32">
        <v>15</v>
      </c>
      <c r="T491" s="19">
        <v>15</v>
      </c>
      <c r="U491" s="17" t="s">
        <v>62</v>
      </c>
      <c r="V491" s="17">
        <v>45874</v>
      </c>
      <c r="W491" s="18">
        <v>8</v>
      </c>
      <c r="X491" s="17">
        <v>45874</v>
      </c>
      <c r="Y491" s="17">
        <v>45883</v>
      </c>
      <c r="Z491" s="45">
        <v>8</v>
      </c>
      <c r="AA491">
        <v>2025</v>
      </c>
      <c r="AB491" s="42">
        <v>452235</v>
      </c>
      <c r="AC491" s="42">
        <v>452235</v>
      </c>
    </row>
    <row r="492" spans="1:29">
      <c r="A492" t="s">
        <v>45</v>
      </c>
      <c r="B492" t="s">
        <v>46</v>
      </c>
      <c r="C492" t="s">
        <v>47</v>
      </c>
      <c r="D492" t="s">
        <v>503</v>
      </c>
      <c r="E492" t="s">
        <v>115</v>
      </c>
      <c r="F492" t="s">
        <v>50</v>
      </c>
      <c r="G492" t="s">
        <v>116</v>
      </c>
      <c r="H492" s="17" t="s">
        <v>52</v>
      </c>
      <c r="I492" t="s">
        <v>53</v>
      </c>
      <c r="J492" t="s">
        <v>110</v>
      </c>
      <c r="K492">
        <v>1</v>
      </c>
      <c r="L492" t="s">
        <v>55</v>
      </c>
      <c r="M492" t="s">
        <v>56</v>
      </c>
      <c r="N492" t="s">
        <v>57</v>
      </c>
      <c r="O492" s="18" t="s">
        <v>58</v>
      </c>
      <c r="P492" s="18" t="s">
        <v>72</v>
      </c>
      <c r="Q492" s="17" t="s">
        <v>122</v>
      </c>
      <c r="R492" s="18" t="s">
        <v>425</v>
      </c>
      <c r="S492" s="32">
        <v>4</v>
      </c>
      <c r="T492" s="19">
        <v>4</v>
      </c>
      <c r="U492" s="17" t="s">
        <v>119</v>
      </c>
      <c r="V492" s="17">
        <v>45887</v>
      </c>
      <c r="W492" s="18">
        <v>8</v>
      </c>
      <c r="X492" s="17">
        <v>45897</v>
      </c>
      <c r="Y492" s="17">
        <v>45894</v>
      </c>
      <c r="Z492" s="45">
        <v>8</v>
      </c>
      <c r="AA492">
        <v>2025</v>
      </c>
      <c r="AB492" s="42">
        <v>1405320</v>
      </c>
      <c r="AC492" s="42">
        <v>1405320</v>
      </c>
    </row>
    <row r="493" spans="1:29">
      <c r="A493" t="s">
        <v>45</v>
      </c>
      <c r="B493" t="s">
        <v>46</v>
      </c>
      <c r="C493" t="s">
        <v>47</v>
      </c>
      <c r="D493" t="s">
        <v>503</v>
      </c>
      <c r="E493" t="s">
        <v>115</v>
      </c>
      <c r="F493" t="s">
        <v>63</v>
      </c>
      <c r="G493" t="s">
        <v>116</v>
      </c>
      <c r="H493" s="17" t="s">
        <v>52</v>
      </c>
      <c r="I493" t="s">
        <v>53</v>
      </c>
      <c r="J493" t="s">
        <v>110</v>
      </c>
      <c r="K493">
        <v>1</v>
      </c>
      <c r="L493" t="s">
        <v>55</v>
      </c>
      <c r="M493" t="s">
        <v>56</v>
      </c>
      <c r="N493" t="s">
        <v>57</v>
      </c>
      <c r="O493" s="18" t="s">
        <v>58</v>
      </c>
      <c r="P493" s="18" t="s">
        <v>72</v>
      </c>
      <c r="Q493" s="17" t="s">
        <v>117</v>
      </c>
      <c r="R493" s="18" t="s">
        <v>393</v>
      </c>
      <c r="S493" s="32">
        <v>6</v>
      </c>
      <c r="T493" s="19">
        <v>6</v>
      </c>
      <c r="U493" s="17" t="s">
        <v>119</v>
      </c>
      <c r="V493" s="17">
        <v>45887</v>
      </c>
      <c r="W493" s="18">
        <v>8</v>
      </c>
      <c r="X493" s="17">
        <v>45897</v>
      </c>
      <c r="Y493" s="17">
        <v>45894</v>
      </c>
      <c r="Z493" s="45">
        <v>8</v>
      </c>
      <c r="AA493">
        <v>2025</v>
      </c>
      <c r="AB493" s="42">
        <v>2109000</v>
      </c>
      <c r="AC493" s="42">
        <v>2109000</v>
      </c>
    </row>
    <row r="494" spans="1:29">
      <c r="A494" t="s">
        <v>45</v>
      </c>
      <c r="B494" t="s">
        <v>46</v>
      </c>
      <c r="C494" t="s">
        <v>47</v>
      </c>
      <c r="D494" t="s">
        <v>504</v>
      </c>
      <c r="E494" t="s">
        <v>115</v>
      </c>
      <c r="F494" t="s">
        <v>50</v>
      </c>
      <c r="G494" t="s">
        <v>116</v>
      </c>
      <c r="H494" s="17" t="s">
        <v>52</v>
      </c>
      <c r="I494" t="s">
        <v>53</v>
      </c>
      <c r="J494" t="s">
        <v>121</v>
      </c>
      <c r="K494">
        <v>1</v>
      </c>
      <c r="L494" t="s">
        <v>55</v>
      </c>
      <c r="M494" t="s">
        <v>56</v>
      </c>
      <c r="N494" t="s">
        <v>57</v>
      </c>
      <c r="O494" s="18" t="s">
        <v>58</v>
      </c>
      <c r="P494" s="18" t="s">
        <v>72</v>
      </c>
      <c r="Q494" s="17" t="s">
        <v>147</v>
      </c>
      <c r="R494" s="18" t="s">
        <v>148</v>
      </c>
      <c r="S494" s="32">
        <v>3</v>
      </c>
      <c r="T494" s="19">
        <v>3</v>
      </c>
      <c r="U494" s="17" t="s">
        <v>119</v>
      </c>
      <c r="V494" s="17">
        <v>45887</v>
      </c>
      <c r="W494" s="18">
        <v>8</v>
      </c>
      <c r="X494" s="17">
        <v>45897</v>
      </c>
      <c r="Y494" s="17">
        <v>45890</v>
      </c>
      <c r="Z494" s="45">
        <v>8</v>
      </c>
      <c r="AA494">
        <v>2025</v>
      </c>
      <c r="AB494" s="42">
        <v>1256160</v>
      </c>
      <c r="AC494" s="42">
        <v>1256160</v>
      </c>
    </row>
    <row r="495" spans="1:29">
      <c r="A495" t="s">
        <v>45</v>
      </c>
      <c r="B495" t="s">
        <v>46</v>
      </c>
      <c r="C495" t="s">
        <v>47</v>
      </c>
      <c r="D495" t="s">
        <v>504</v>
      </c>
      <c r="E495" t="s">
        <v>115</v>
      </c>
      <c r="F495" t="s">
        <v>63</v>
      </c>
      <c r="G495" t="s">
        <v>116</v>
      </c>
      <c r="H495" s="17" t="s">
        <v>52</v>
      </c>
      <c r="I495" t="s">
        <v>53</v>
      </c>
      <c r="J495" t="s">
        <v>121</v>
      </c>
      <c r="K495">
        <v>1</v>
      </c>
      <c r="L495" t="s">
        <v>55</v>
      </c>
      <c r="M495" t="s">
        <v>56</v>
      </c>
      <c r="N495" t="s">
        <v>57</v>
      </c>
      <c r="O495" s="18" t="s">
        <v>58</v>
      </c>
      <c r="P495" s="18" t="s">
        <v>72</v>
      </c>
      <c r="Q495" s="17" t="s">
        <v>145</v>
      </c>
      <c r="R495" s="18" t="s">
        <v>411</v>
      </c>
      <c r="S495" s="32">
        <v>1</v>
      </c>
      <c r="T495" s="19">
        <v>1</v>
      </c>
      <c r="U495" s="17" t="s">
        <v>119</v>
      </c>
      <c r="V495" s="17">
        <v>45887</v>
      </c>
      <c r="W495" s="18">
        <v>8</v>
      </c>
      <c r="X495" s="17">
        <v>45897</v>
      </c>
      <c r="Y495" s="17">
        <v>45890</v>
      </c>
      <c r="Z495" s="45">
        <v>8</v>
      </c>
      <c r="AA495">
        <v>2025</v>
      </c>
      <c r="AB495" s="42">
        <v>732480</v>
      </c>
      <c r="AC495" s="42">
        <v>732480</v>
      </c>
    </row>
    <row r="496" spans="1:29">
      <c r="A496" t="s">
        <v>45</v>
      </c>
      <c r="B496" t="s">
        <v>46</v>
      </c>
      <c r="C496" t="s">
        <v>47</v>
      </c>
      <c r="D496" t="s">
        <v>504</v>
      </c>
      <c r="E496" t="s">
        <v>115</v>
      </c>
      <c r="F496" t="s">
        <v>67</v>
      </c>
      <c r="G496" t="s">
        <v>116</v>
      </c>
      <c r="H496" s="17" t="s">
        <v>52</v>
      </c>
      <c r="I496" t="s">
        <v>53</v>
      </c>
      <c r="J496" t="s">
        <v>121</v>
      </c>
      <c r="K496">
        <v>1</v>
      </c>
      <c r="L496" t="s">
        <v>55</v>
      </c>
      <c r="M496" t="s">
        <v>56</v>
      </c>
      <c r="N496" t="s">
        <v>57</v>
      </c>
      <c r="O496" s="18" t="s">
        <v>58</v>
      </c>
      <c r="P496" s="18" t="s">
        <v>72</v>
      </c>
      <c r="Q496" s="17" t="s">
        <v>117</v>
      </c>
      <c r="R496" s="18" t="s">
        <v>393</v>
      </c>
      <c r="S496" s="32">
        <v>1</v>
      </c>
      <c r="T496" s="19">
        <v>1</v>
      </c>
      <c r="U496" s="17" t="s">
        <v>119</v>
      </c>
      <c r="V496" s="17">
        <v>45887</v>
      </c>
      <c r="W496" s="18">
        <v>8</v>
      </c>
      <c r="X496" s="17">
        <v>45897</v>
      </c>
      <c r="Y496" s="17">
        <v>45890</v>
      </c>
      <c r="Z496" s="45">
        <v>8</v>
      </c>
      <c r="AA496">
        <v>2025</v>
      </c>
      <c r="AB496" s="42">
        <v>351500</v>
      </c>
      <c r="AC496" s="42">
        <v>351500</v>
      </c>
    </row>
    <row r="497" spans="1:29">
      <c r="A497" t="s">
        <v>45</v>
      </c>
      <c r="B497" t="s">
        <v>46</v>
      </c>
      <c r="C497" t="s">
        <v>47</v>
      </c>
      <c r="D497" t="s">
        <v>505</v>
      </c>
      <c r="E497" t="s">
        <v>115</v>
      </c>
      <c r="F497" t="s">
        <v>50</v>
      </c>
      <c r="G497" t="s">
        <v>116</v>
      </c>
      <c r="H497" s="17" t="s">
        <v>52</v>
      </c>
      <c r="I497" t="s">
        <v>53</v>
      </c>
      <c r="J497" t="s">
        <v>125</v>
      </c>
      <c r="K497">
        <v>1</v>
      </c>
      <c r="L497" t="s">
        <v>55</v>
      </c>
      <c r="M497" t="s">
        <v>56</v>
      </c>
      <c r="N497" t="s">
        <v>57</v>
      </c>
      <c r="O497" s="18" t="s">
        <v>58</v>
      </c>
      <c r="P497" s="18" t="s">
        <v>72</v>
      </c>
      <c r="Q497" s="17" t="s">
        <v>122</v>
      </c>
      <c r="R497" s="18" t="s">
        <v>425</v>
      </c>
      <c r="S497" s="32">
        <v>2</v>
      </c>
      <c r="T497" s="19">
        <v>2</v>
      </c>
      <c r="U497" s="17" t="s">
        <v>119</v>
      </c>
      <c r="V497" s="17">
        <v>45887</v>
      </c>
      <c r="W497" s="18">
        <v>8</v>
      </c>
      <c r="X497" s="17">
        <v>45897</v>
      </c>
      <c r="Y497" s="17">
        <v>45890</v>
      </c>
      <c r="Z497" s="45">
        <v>8</v>
      </c>
      <c r="AA497">
        <v>2025</v>
      </c>
      <c r="AB497" s="42">
        <v>702660</v>
      </c>
      <c r="AC497" s="42">
        <v>702660</v>
      </c>
    </row>
    <row r="498" spans="1:29">
      <c r="A498" t="s">
        <v>45</v>
      </c>
      <c r="B498" t="s">
        <v>46</v>
      </c>
      <c r="C498" t="s">
        <v>47</v>
      </c>
      <c r="D498" t="s">
        <v>505</v>
      </c>
      <c r="E498" t="s">
        <v>115</v>
      </c>
      <c r="F498" t="s">
        <v>63</v>
      </c>
      <c r="G498" t="s">
        <v>116</v>
      </c>
      <c r="H498" s="17" t="s">
        <v>52</v>
      </c>
      <c r="I498" t="s">
        <v>53</v>
      </c>
      <c r="J498" t="s">
        <v>125</v>
      </c>
      <c r="K498">
        <v>1</v>
      </c>
      <c r="L498" t="s">
        <v>55</v>
      </c>
      <c r="M498" t="s">
        <v>56</v>
      </c>
      <c r="N498" t="s">
        <v>57</v>
      </c>
      <c r="O498" s="18" t="s">
        <v>58</v>
      </c>
      <c r="P498" s="18" t="s">
        <v>72</v>
      </c>
      <c r="Q498" s="17" t="s">
        <v>117</v>
      </c>
      <c r="R498" s="18" t="s">
        <v>393</v>
      </c>
      <c r="S498" s="32">
        <v>2</v>
      </c>
      <c r="T498" s="19">
        <v>2</v>
      </c>
      <c r="U498" s="17" t="s">
        <v>119</v>
      </c>
      <c r="V498" s="17">
        <v>45887</v>
      </c>
      <c r="W498" s="18">
        <v>8</v>
      </c>
      <c r="X498" s="17">
        <v>45897</v>
      </c>
      <c r="Y498" s="17">
        <v>45890</v>
      </c>
      <c r="Z498" s="45">
        <v>8</v>
      </c>
      <c r="AA498">
        <v>2025</v>
      </c>
      <c r="AB498" s="42">
        <v>703000</v>
      </c>
      <c r="AC498" s="42">
        <v>703000</v>
      </c>
    </row>
    <row r="499" spans="1:29">
      <c r="A499" t="s">
        <v>45</v>
      </c>
      <c r="B499" t="s">
        <v>46</v>
      </c>
      <c r="C499" t="s">
        <v>47</v>
      </c>
      <c r="D499" t="s">
        <v>506</v>
      </c>
      <c r="E499" t="s">
        <v>115</v>
      </c>
      <c r="F499" t="s">
        <v>50</v>
      </c>
      <c r="G499" t="s">
        <v>116</v>
      </c>
      <c r="H499" s="17" t="s">
        <v>52</v>
      </c>
      <c r="I499" t="s">
        <v>53</v>
      </c>
      <c r="J499" t="s">
        <v>150</v>
      </c>
      <c r="K499">
        <v>1</v>
      </c>
      <c r="L499" t="s">
        <v>55</v>
      </c>
      <c r="M499" t="s">
        <v>56</v>
      </c>
      <c r="N499" t="s">
        <v>57</v>
      </c>
      <c r="O499" s="18" t="s">
        <v>58</v>
      </c>
      <c r="P499" s="18" t="s">
        <v>76</v>
      </c>
      <c r="Q499" s="17" t="s">
        <v>77</v>
      </c>
      <c r="R499" s="18" t="s">
        <v>78</v>
      </c>
      <c r="S499" s="32">
        <v>200</v>
      </c>
      <c r="T499" s="19">
        <v>200</v>
      </c>
      <c r="U499" s="17" t="s">
        <v>62</v>
      </c>
      <c r="V499" s="17">
        <v>45891</v>
      </c>
      <c r="W499" s="18">
        <v>8</v>
      </c>
      <c r="X499" s="17">
        <v>45903</v>
      </c>
      <c r="Y499" s="17">
        <v>45898</v>
      </c>
      <c r="Z499" s="45">
        <v>8</v>
      </c>
      <c r="AA499">
        <v>2025</v>
      </c>
      <c r="AB499" s="42">
        <v>1739200</v>
      </c>
      <c r="AC499" s="42">
        <v>1739200</v>
      </c>
    </row>
    <row r="500" spans="1:29">
      <c r="A500" t="s">
        <v>45</v>
      </c>
      <c r="B500" t="s">
        <v>46</v>
      </c>
      <c r="C500" t="s">
        <v>47</v>
      </c>
      <c r="D500" t="s">
        <v>507</v>
      </c>
      <c r="E500" t="s">
        <v>49</v>
      </c>
      <c r="F500" t="s">
        <v>50</v>
      </c>
      <c r="G500" t="s">
        <v>51</v>
      </c>
      <c r="H500" s="17" t="s">
        <v>52</v>
      </c>
      <c r="I500" t="s">
        <v>53</v>
      </c>
      <c r="J500" t="s">
        <v>54</v>
      </c>
      <c r="K500">
        <v>1</v>
      </c>
      <c r="L500" t="s">
        <v>55</v>
      </c>
      <c r="M500" t="s">
        <v>56</v>
      </c>
      <c r="N500" t="s">
        <v>57</v>
      </c>
      <c r="O500" s="18" t="s">
        <v>58</v>
      </c>
      <c r="P500" s="18" t="s">
        <v>86</v>
      </c>
      <c r="Q500" s="17" t="s">
        <v>341</v>
      </c>
      <c r="R500" s="18" t="s">
        <v>342</v>
      </c>
      <c r="S500" s="32">
        <v>260</v>
      </c>
      <c r="T500" s="19">
        <v>260</v>
      </c>
      <c r="U500" s="17" t="s">
        <v>62</v>
      </c>
      <c r="V500" s="17">
        <v>45889</v>
      </c>
      <c r="W500" s="18">
        <v>8</v>
      </c>
      <c r="X500" s="17">
        <v>45898</v>
      </c>
      <c r="Y500" s="17">
        <v>45891</v>
      </c>
      <c r="Z500" s="45">
        <v>8</v>
      </c>
      <c r="AA500">
        <v>2025</v>
      </c>
      <c r="AB500" s="42">
        <v>7740460</v>
      </c>
      <c r="AC500" s="42">
        <v>7740460</v>
      </c>
    </row>
    <row r="501" spans="1:29">
      <c r="A501" t="s">
        <v>45</v>
      </c>
      <c r="B501" t="s">
        <v>46</v>
      </c>
      <c r="C501" t="s">
        <v>47</v>
      </c>
      <c r="D501" t="s">
        <v>508</v>
      </c>
      <c r="E501" t="s">
        <v>49</v>
      </c>
      <c r="F501" t="s">
        <v>50</v>
      </c>
      <c r="G501" t="s">
        <v>51</v>
      </c>
      <c r="H501" s="17" t="s">
        <v>52</v>
      </c>
      <c r="I501" t="s">
        <v>53</v>
      </c>
      <c r="J501" t="s">
        <v>224</v>
      </c>
      <c r="K501">
        <v>1</v>
      </c>
      <c r="L501" t="s">
        <v>55</v>
      </c>
      <c r="M501" t="s">
        <v>56</v>
      </c>
      <c r="N501" t="s">
        <v>57</v>
      </c>
      <c r="O501" s="18" t="s">
        <v>58</v>
      </c>
      <c r="P501" s="18" t="s">
        <v>68</v>
      </c>
      <c r="Q501" s="17" t="s">
        <v>225</v>
      </c>
      <c r="R501" s="18" t="s">
        <v>226</v>
      </c>
      <c r="S501" s="32">
        <v>600</v>
      </c>
      <c r="T501" s="19">
        <v>600</v>
      </c>
      <c r="U501" s="17" t="s">
        <v>227</v>
      </c>
      <c r="V501" s="17">
        <v>45889</v>
      </c>
      <c r="W501" s="18">
        <v>8</v>
      </c>
      <c r="X501" s="17">
        <v>45894</v>
      </c>
      <c r="Y501" s="17">
        <v>45897</v>
      </c>
      <c r="Z501" s="45">
        <v>8</v>
      </c>
      <c r="AA501">
        <v>2025</v>
      </c>
      <c r="AB501" s="42">
        <v>7257600</v>
      </c>
      <c r="AC501" s="42">
        <v>7257600</v>
      </c>
    </row>
    <row r="502" spans="1:29">
      <c r="A502" t="s">
        <v>45</v>
      </c>
      <c r="B502" t="s">
        <v>46</v>
      </c>
      <c r="C502" t="s">
        <v>47</v>
      </c>
      <c r="D502" t="s">
        <v>508</v>
      </c>
      <c r="E502" t="s">
        <v>49</v>
      </c>
      <c r="F502" t="s">
        <v>63</v>
      </c>
      <c r="G502" t="s">
        <v>51</v>
      </c>
      <c r="H502" s="17" t="s">
        <v>52</v>
      </c>
      <c r="I502" t="s">
        <v>53</v>
      </c>
      <c r="J502" t="s">
        <v>224</v>
      </c>
      <c r="K502">
        <v>1</v>
      </c>
      <c r="L502" t="s">
        <v>55</v>
      </c>
      <c r="M502" t="s">
        <v>56</v>
      </c>
      <c r="N502" t="s">
        <v>57</v>
      </c>
      <c r="O502" s="18" t="s">
        <v>58</v>
      </c>
      <c r="P502" s="18" t="s">
        <v>99</v>
      </c>
      <c r="Q502" s="17" t="s">
        <v>100</v>
      </c>
      <c r="R502" s="18" t="s">
        <v>101</v>
      </c>
      <c r="S502" s="32">
        <v>600</v>
      </c>
      <c r="T502" s="19">
        <v>600</v>
      </c>
      <c r="U502" s="17" t="s">
        <v>62</v>
      </c>
      <c r="V502" s="17">
        <v>45889</v>
      </c>
      <c r="W502" s="18">
        <v>8</v>
      </c>
      <c r="X502" s="17">
        <v>45894</v>
      </c>
      <c r="Y502" s="17">
        <v>45897</v>
      </c>
      <c r="Z502" s="45">
        <v>8</v>
      </c>
      <c r="AA502">
        <v>2025</v>
      </c>
      <c r="AB502" s="42">
        <v>2400</v>
      </c>
      <c r="AC502" s="42">
        <v>2400</v>
      </c>
    </row>
    <row r="503" spans="1:29">
      <c r="A503" t="s">
        <v>45</v>
      </c>
      <c r="B503" t="s">
        <v>46</v>
      </c>
      <c r="C503" t="s">
        <v>47</v>
      </c>
      <c r="D503" t="s">
        <v>509</v>
      </c>
      <c r="E503" t="s">
        <v>49</v>
      </c>
      <c r="F503" t="s">
        <v>50</v>
      </c>
      <c r="G503" t="s">
        <v>51</v>
      </c>
      <c r="H503" s="17" t="s">
        <v>52</v>
      </c>
      <c r="I503" t="s">
        <v>53</v>
      </c>
      <c r="J503" t="s">
        <v>54</v>
      </c>
      <c r="K503">
        <v>1</v>
      </c>
      <c r="L503" t="s">
        <v>55</v>
      </c>
      <c r="M503" t="s">
        <v>56</v>
      </c>
      <c r="N503" t="s">
        <v>57</v>
      </c>
      <c r="O503" s="18" t="s">
        <v>58</v>
      </c>
      <c r="P503" s="18" t="s">
        <v>59</v>
      </c>
      <c r="Q503" s="17" t="s">
        <v>60</v>
      </c>
      <c r="R503" s="18" t="s">
        <v>61</v>
      </c>
      <c r="S503" s="32">
        <v>100</v>
      </c>
      <c r="T503" s="19">
        <v>100</v>
      </c>
      <c r="U503" s="17" t="s">
        <v>62</v>
      </c>
      <c r="V503" s="17">
        <v>45889</v>
      </c>
      <c r="W503" s="18">
        <v>8</v>
      </c>
      <c r="X503" s="17">
        <v>45894</v>
      </c>
      <c r="Y503" s="17">
        <v>45894</v>
      </c>
      <c r="Z503" s="45">
        <v>8</v>
      </c>
      <c r="AA503">
        <v>2025</v>
      </c>
      <c r="AB503" s="42">
        <v>1686300</v>
      </c>
      <c r="AC503" s="42">
        <v>1686300</v>
      </c>
    </row>
    <row r="504" spans="1:29">
      <c r="A504" t="s">
        <v>45</v>
      </c>
      <c r="B504" t="s">
        <v>46</v>
      </c>
      <c r="C504" t="s">
        <v>47</v>
      </c>
      <c r="D504" t="s">
        <v>509</v>
      </c>
      <c r="E504" t="s">
        <v>49</v>
      </c>
      <c r="F504" t="s">
        <v>63</v>
      </c>
      <c r="G504" t="s">
        <v>51</v>
      </c>
      <c r="H504" s="17" t="s">
        <v>52</v>
      </c>
      <c r="I504" t="s">
        <v>53</v>
      </c>
      <c r="J504" t="s">
        <v>54</v>
      </c>
      <c r="K504">
        <v>1</v>
      </c>
      <c r="L504" t="s">
        <v>55</v>
      </c>
      <c r="M504" t="s">
        <v>56</v>
      </c>
      <c r="N504" t="s">
        <v>57</v>
      </c>
      <c r="O504" s="18" t="s">
        <v>58</v>
      </c>
      <c r="P504" s="18" t="s">
        <v>99</v>
      </c>
      <c r="Q504" s="17" t="s">
        <v>100</v>
      </c>
      <c r="R504" s="18" t="s">
        <v>101</v>
      </c>
      <c r="S504" s="32">
        <v>1</v>
      </c>
      <c r="T504" s="19">
        <v>0</v>
      </c>
      <c r="U504" s="17" t="s">
        <v>62</v>
      </c>
      <c r="V504" s="17">
        <v>45889</v>
      </c>
      <c r="W504" s="18">
        <v>8</v>
      </c>
      <c r="X504" s="17">
        <v>45894</v>
      </c>
      <c r="Z504" s="45">
        <v>8</v>
      </c>
      <c r="AA504">
        <v>2025</v>
      </c>
      <c r="AB504" s="42">
        <v>58000</v>
      </c>
      <c r="AC504" s="42">
        <v>0</v>
      </c>
    </row>
    <row r="505" spans="1:29">
      <c r="A505" t="s">
        <v>45</v>
      </c>
      <c r="B505" t="s">
        <v>46</v>
      </c>
      <c r="C505" t="s">
        <v>47</v>
      </c>
      <c r="D505" t="s">
        <v>510</v>
      </c>
      <c r="E505" t="s">
        <v>49</v>
      </c>
      <c r="F505" t="s">
        <v>50</v>
      </c>
      <c r="G505" t="s">
        <v>51</v>
      </c>
      <c r="H505" s="17" t="s">
        <v>52</v>
      </c>
      <c r="I505" t="s">
        <v>53</v>
      </c>
      <c r="J505" t="s">
        <v>224</v>
      </c>
      <c r="K505">
        <v>1</v>
      </c>
      <c r="L505" t="s">
        <v>55</v>
      </c>
      <c r="M505" t="s">
        <v>56</v>
      </c>
      <c r="N505" t="s">
        <v>57</v>
      </c>
      <c r="O505" s="18" t="s">
        <v>58</v>
      </c>
      <c r="P505" s="18" t="s">
        <v>72</v>
      </c>
      <c r="Q505" s="17" t="s">
        <v>221</v>
      </c>
      <c r="R505" s="18" t="s">
        <v>222</v>
      </c>
      <c r="S505" s="32">
        <v>300</v>
      </c>
      <c r="T505" s="19">
        <v>300</v>
      </c>
      <c r="U505" s="17" t="s">
        <v>62</v>
      </c>
      <c r="V505" s="17">
        <v>45889</v>
      </c>
      <c r="W505" s="18">
        <v>8</v>
      </c>
      <c r="X505" s="17">
        <v>45890</v>
      </c>
      <c r="Y505" s="17">
        <v>45897</v>
      </c>
      <c r="Z505" s="45">
        <v>8</v>
      </c>
      <c r="AA505">
        <v>2025</v>
      </c>
      <c r="AB505" s="42">
        <v>2692500</v>
      </c>
      <c r="AC505" s="42">
        <v>2692500</v>
      </c>
    </row>
    <row r="506" spans="1:29">
      <c r="A506" t="s">
        <v>45</v>
      </c>
      <c r="B506" t="s">
        <v>46</v>
      </c>
      <c r="C506" t="s">
        <v>47</v>
      </c>
      <c r="D506" t="s">
        <v>510</v>
      </c>
      <c r="E506" t="s">
        <v>49</v>
      </c>
      <c r="F506" t="s">
        <v>63</v>
      </c>
      <c r="G506" t="s">
        <v>51</v>
      </c>
      <c r="H506" s="17" t="s">
        <v>52</v>
      </c>
      <c r="I506" t="s">
        <v>53</v>
      </c>
      <c r="J506" t="s">
        <v>224</v>
      </c>
      <c r="K506">
        <v>1</v>
      </c>
      <c r="L506" t="s">
        <v>55</v>
      </c>
      <c r="M506" t="s">
        <v>56</v>
      </c>
      <c r="N506" t="s">
        <v>57</v>
      </c>
      <c r="O506" s="18" t="s">
        <v>58</v>
      </c>
      <c r="P506" s="18" t="s">
        <v>99</v>
      </c>
      <c r="Q506" s="17" t="s">
        <v>100</v>
      </c>
      <c r="R506" s="18" t="s">
        <v>101</v>
      </c>
      <c r="S506" s="32">
        <v>300</v>
      </c>
      <c r="T506" s="19">
        <v>300</v>
      </c>
      <c r="U506" s="17" t="s">
        <v>62</v>
      </c>
      <c r="V506" s="17">
        <v>45889</v>
      </c>
      <c r="W506" s="18">
        <v>8</v>
      </c>
      <c r="X506" s="17">
        <v>45890</v>
      </c>
      <c r="Y506" s="17">
        <v>45897</v>
      </c>
      <c r="Z506" s="45">
        <v>8</v>
      </c>
      <c r="AA506">
        <v>2025</v>
      </c>
      <c r="AB506" s="42">
        <v>51900</v>
      </c>
      <c r="AC506" s="42">
        <v>51900</v>
      </c>
    </row>
    <row r="507" spans="1:29">
      <c r="A507" t="s">
        <v>45</v>
      </c>
      <c r="B507" t="s">
        <v>46</v>
      </c>
      <c r="C507" t="s">
        <v>47</v>
      </c>
      <c r="D507" t="s">
        <v>511</v>
      </c>
      <c r="E507" t="s">
        <v>49</v>
      </c>
      <c r="F507" t="s">
        <v>50</v>
      </c>
      <c r="G507" t="s">
        <v>51</v>
      </c>
      <c r="H507" s="17" t="s">
        <v>58</v>
      </c>
      <c r="I507" t="s">
        <v>53</v>
      </c>
      <c r="J507" t="s">
        <v>54</v>
      </c>
      <c r="K507">
        <v>1</v>
      </c>
      <c r="L507" t="s">
        <v>55</v>
      </c>
      <c r="M507" t="s">
        <v>56</v>
      </c>
      <c r="N507" t="s">
        <v>57</v>
      </c>
      <c r="O507" s="18" t="s">
        <v>58</v>
      </c>
      <c r="P507" s="18" t="s">
        <v>68</v>
      </c>
      <c r="Q507" s="17" t="s">
        <v>225</v>
      </c>
      <c r="R507" s="18" t="s">
        <v>226</v>
      </c>
      <c r="S507" s="32">
        <v>20</v>
      </c>
      <c r="T507" s="19">
        <v>0</v>
      </c>
      <c r="U507" s="17" t="s">
        <v>227</v>
      </c>
      <c r="V507" s="17">
        <v>45897</v>
      </c>
      <c r="W507" s="18">
        <v>8</v>
      </c>
      <c r="X507" s="17">
        <v>45898</v>
      </c>
      <c r="Z507" s="45">
        <v>8</v>
      </c>
      <c r="AA507">
        <v>2025</v>
      </c>
      <c r="AB507" s="42">
        <v>214180</v>
      </c>
      <c r="AC507" s="42">
        <v>0</v>
      </c>
    </row>
    <row r="508" spans="1:29">
      <c r="A508" t="s">
        <v>45</v>
      </c>
      <c r="B508" t="s">
        <v>46</v>
      </c>
      <c r="C508" t="s">
        <v>47</v>
      </c>
      <c r="D508" t="s">
        <v>511</v>
      </c>
      <c r="E508" t="s">
        <v>49</v>
      </c>
      <c r="F508" t="s">
        <v>63</v>
      </c>
      <c r="G508" t="s">
        <v>51</v>
      </c>
      <c r="H508" s="17" t="s">
        <v>58</v>
      </c>
      <c r="I508" t="s">
        <v>53</v>
      </c>
      <c r="J508" t="s">
        <v>54</v>
      </c>
      <c r="K508">
        <v>1</v>
      </c>
      <c r="L508" t="s">
        <v>55</v>
      </c>
      <c r="M508" t="s">
        <v>56</v>
      </c>
      <c r="N508" t="s">
        <v>57</v>
      </c>
      <c r="O508" s="18" t="s">
        <v>58</v>
      </c>
      <c r="P508" s="18" t="s">
        <v>68</v>
      </c>
      <c r="Q508" s="17" t="s">
        <v>417</v>
      </c>
      <c r="R508" s="18" t="s">
        <v>418</v>
      </c>
      <c r="S508" s="32">
        <v>2</v>
      </c>
      <c r="T508" s="19">
        <v>0</v>
      </c>
      <c r="U508" s="17" t="s">
        <v>227</v>
      </c>
      <c r="V508" s="17">
        <v>45897</v>
      </c>
      <c r="W508" s="18">
        <v>8</v>
      </c>
      <c r="X508" s="17">
        <v>45898</v>
      </c>
      <c r="Z508" s="45">
        <v>8</v>
      </c>
      <c r="AA508">
        <v>2025</v>
      </c>
      <c r="AB508" s="42">
        <v>30942</v>
      </c>
      <c r="AC508" s="42">
        <v>0</v>
      </c>
    </row>
    <row r="509" spans="1:29">
      <c r="A509" t="s">
        <v>45</v>
      </c>
      <c r="B509" t="s">
        <v>46</v>
      </c>
      <c r="C509" t="s">
        <v>47</v>
      </c>
      <c r="D509" t="s">
        <v>511</v>
      </c>
      <c r="E509" t="s">
        <v>49</v>
      </c>
      <c r="F509" t="s">
        <v>67</v>
      </c>
      <c r="G509" t="s">
        <v>51</v>
      </c>
      <c r="H509" s="17" t="s">
        <v>58</v>
      </c>
      <c r="I509" t="s">
        <v>53</v>
      </c>
      <c r="J509" t="s">
        <v>54</v>
      </c>
      <c r="K509">
        <v>1</v>
      </c>
      <c r="L509" t="s">
        <v>55</v>
      </c>
      <c r="M509" t="s">
        <v>56</v>
      </c>
      <c r="N509" t="s">
        <v>57</v>
      </c>
      <c r="O509" s="18" t="s">
        <v>58</v>
      </c>
      <c r="P509" s="18" t="s">
        <v>99</v>
      </c>
      <c r="Q509" s="17" t="s">
        <v>100</v>
      </c>
      <c r="R509" s="18" t="s">
        <v>101</v>
      </c>
      <c r="S509" s="32">
        <v>22</v>
      </c>
      <c r="T509" s="19">
        <v>0</v>
      </c>
      <c r="U509" s="17" t="s">
        <v>62</v>
      </c>
      <c r="V509" s="17">
        <v>45897</v>
      </c>
      <c r="W509" s="18">
        <v>8</v>
      </c>
      <c r="X509" s="17">
        <v>45898</v>
      </c>
      <c r="Z509" s="45">
        <v>8</v>
      </c>
      <c r="AA509">
        <v>2025</v>
      </c>
      <c r="AB509" s="42">
        <v>57992</v>
      </c>
      <c r="AC509" s="42">
        <v>0</v>
      </c>
    </row>
    <row r="510" spans="1:29">
      <c r="A510" t="s">
        <v>45</v>
      </c>
      <c r="B510" t="s">
        <v>46</v>
      </c>
      <c r="C510" t="s">
        <v>47</v>
      </c>
      <c r="D510" t="s">
        <v>512</v>
      </c>
      <c r="E510" t="s">
        <v>49</v>
      </c>
      <c r="F510" t="s">
        <v>50</v>
      </c>
      <c r="G510" t="s">
        <v>51</v>
      </c>
      <c r="H510" s="17" t="s">
        <v>58</v>
      </c>
      <c r="I510" t="s">
        <v>53</v>
      </c>
      <c r="J510" t="s">
        <v>54</v>
      </c>
      <c r="K510">
        <v>1</v>
      </c>
      <c r="L510" t="s">
        <v>55</v>
      </c>
      <c r="M510" t="s">
        <v>56</v>
      </c>
      <c r="N510" t="s">
        <v>57</v>
      </c>
      <c r="O510" s="18" t="s">
        <v>58</v>
      </c>
      <c r="P510" s="18" t="s">
        <v>72</v>
      </c>
      <c r="Q510" s="17" t="s">
        <v>122</v>
      </c>
      <c r="R510" s="18" t="s">
        <v>123</v>
      </c>
      <c r="S510" s="32">
        <v>10185</v>
      </c>
      <c r="T510" s="19">
        <v>0</v>
      </c>
      <c r="U510" s="17" t="s">
        <v>62</v>
      </c>
      <c r="V510" s="17">
        <v>45786</v>
      </c>
      <c r="W510" s="18">
        <v>5</v>
      </c>
      <c r="X510" s="17">
        <v>45877</v>
      </c>
      <c r="Z510" s="45">
        <v>8</v>
      </c>
      <c r="AA510">
        <v>2025</v>
      </c>
      <c r="AB510" s="42">
        <v>37715055</v>
      </c>
      <c r="AC510" s="42">
        <v>0</v>
      </c>
    </row>
    <row r="511" spans="1:29">
      <c r="A511" t="s">
        <v>45</v>
      </c>
      <c r="B511" t="s">
        <v>46</v>
      </c>
      <c r="C511" t="s">
        <v>47</v>
      </c>
      <c r="D511" t="s">
        <v>512</v>
      </c>
      <c r="E511" t="s">
        <v>49</v>
      </c>
      <c r="F511" t="s">
        <v>63</v>
      </c>
      <c r="G511" t="s">
        <v>51</v>
      </c>
      <c r="H511" s="17" t="s">
        <v>58</v>
      </c>
      <c r="I511" t="s">
        <v>53</v>
      </c>
      <c r="J511" t="s">
        <v>54</v>
      </c>
      <c r="K511">
        <v>1</v>
      </c>
      <c r="L511" t="s">
        <v>55</v>
      </c>
      <c r="M511" t="s">
        <v>56</v>
      </c>
      <c r="N511" t="s">
        <v>57</v>
      </c>
      <c r="O511" s="18" t="s">
        <v>58</v>
      </c>
      <c r="P511" s="18" t="s">
        <v>99</v>
      </c>
      <c r="Q511" s="17" t="s">
        <v>100</v>
      </c>
      <c r="R511" s="18" t="s">
        <v>101</v>
      </c>
      <c r="S511" s="32">
        <v>10185</v>
      </c>
      <c r="T511" s="19">
        <v>0</v>
      </c>
      <c r="U511" s="17" t="s">
        <v>62</v>
      </c>
      <c r="V511" s="17">
        <v>45786</v>
      </c>
      <c r="W511" s="18">
        <v>5</v>
      </c>
      <c r="X511" s="17">
        <v>45877</v>
      </c>
      <c r="Z511" s="45">
        <v>8</v>
      </c>
      <c r="AA511">
        <v>2025</v>
      </c>
      <c r="AB511" s="42">
        <v>1517565</v>
      </c>
      <c r="AC511" s="42">
        <v>0</v>
      </c>
    </row>
    <row r="512" spans="1:29">
      <c r="A512" t="s">
        <v>45</v>
      </c>
      <c r="B512" t="s">
        <v>46</v>
      </c>
      <c r="C512" t="s">
        <v>47</v>
      </c>
      <c r="D512" t="s">
        <v>512</v>
      </c>
      <c r="E512" t="s">
        <v>49</v>
      </c>
      <c r="F512" t="s">
        <v>67</v>
      </c>
      <c r="G512" t="s">
        <v>51</v>
      </c>
      <c r="H512" s="17" t="s">
        <v>58</v>
      </c>
      <c r="I512" t="s">
        <v>53</v>
      </c>
      <c r="J512" t="s">
        <v>54</v>
      </c>
      <c r="K512">
        <v>1</v>
      </c>
      <c r="L512" t="s">
        <v>55</v>
      </c>
      <c r="M512" t="s">
        <v>56</v>
      </c>
      <c r="N512" t="s">
        <v>57</v>
      </c>
      <c r="O512" s="18" t="s">
        <v>58</v>
      </c>
      <c r="P512" s="18" t="s">
        <v>72</v>
      </c>
      <c r="Q512" s="17" t="s">
        <v>513</v>
      </c>
      <c r="R512" s="18" t="s">
        <v>514</v>
      </c>
      <c r="S512" s="32">
        <v>486</v>
      </c>
      <c r="T512" s="19">
        <v>0</v>
      </c>
      <c r="U512" s="17" t="s">
        <v>62</v>
      </c>
      <c r="V512" s="17">
        <v>45786</v>
      </c>
      <c r="W512" s="18">
        <v>5</v>
      </c>
      <c r="X512" s="17">
        <v>45877</v>
      </c>
      <c r="Z512" s="45">
        <v>8</v>
      </c>
      <c r="AA512">
        <v>2025</v>
      </c>
      <c r="AB512" s="42">
        <v>2356614</v>
      </c>
      <c r="AC512" s="42">
        <v>0</v>
      </c>
    </row>
    <row r="513" spans="1:29">
      <c r="A513" t="s">
        <v>45</v>
      </c>
      <c r="B513" t="s">
        <v>46</v>
      </c>
      <c r="C513" t="s">
        <v>47</v>
      </c>
      <c r="D513" t="s">
        <v>512</v>
      </c>
      <c r="E513" t="s">
        <v>49</v>
      </c>
      <c r="F513" t="s">
        <v>71</v>
      </c>
      <c r="G513" t="s">
        <v>51</v>
      </c>
      <c r="H513" s="17" t="s">
        <v>58</v>
      </c>
      <c r="I513" t="s">
        <v>53</v>
      </c>
      <c r="J513" t="s">
        <v>54</v>
      </c>
      <c r="K513">
        <v>1</v>
      </c>
      <c r="L513" t="s">
        <v>55</v>
      </c>
      <c r="M513" t="s">
        <v>56</v>
      </c>
      <c r="N513" t="s">
        <v>57</v>
      </c>
      <c r="O513" s="18" t="s">
        <v>58</v>
      </c>
      <c r="P513" s="18" t="s">
        <v>99</v>
      </c>
      <c r="Q513" s="17" t="s">
        <v>100</v>
      </c>
      <c r="R513" s="18" t="s">
        <v>101</v>
      </c>
      <c r="S513" s="32">
        <v>486</v>
      </c>
      <c r="T513" s="19">
        <v>0</v>
      </c>
      <c r="U513" s="17" t="s">
        <v>62</v>
      </c>
      <c r="V513" s="17">
        <v>45786</v>
      </c>
      <c r="W513" s="18">
        <v>5</v>
      </c>
      <c r="X513" s="17">
        <v>45877</v>
      </c>
      <c r="Z513" s="45">
        <v>8</v>
      </c>
      <c r="AA513">
        <v>2025</v>
      </c>
      <c r="AB513" s="42">
        <v>99144</v>
      </c>
      <c r="AC513" s="42">
        <v>0</v>
      </c>
    </row>
    <row r="514" spans="1:29">
      <c r="A514" t="s">
        <v>45</v>
      </c>
      <c r="B514" t="s">
        <v>46</v>
      </c>
      <c r="C514" t="s">
        <v>47</v>
      </c>
      <c r="D514" t="s">
        <v>512</v>
      </c>
      <c r="E514" t="s">
        <v>49</v>
      </c>
      <c r="F514" t="s">
        <v>75</v>
      </c>
      <c r="G514" t="s">
        <v>51</v>
      </c>
      <c r="H514" s="17" t="s">
        <v>58</v>
      </c>
      <c r="I514" t="s">
        <v>53</v>
      </c>
      <c r="J514" t="s">
        <v>54</v>
      </c>
      <c r="K514">
        <v>1</v>
      </c>
      <c r="L514" t="s">
        <v>55</v>
      </c>
      <c r="M514" t="s">
        <v>56</v>
      </c>
      <c r="N514" t="s">
        <v>57</v>
      </c>
      <c r="O514" s="18" t="s">
        <v>58</v>
      </c>
      <c r="P514" s="18" t="s">
        <v>72</v>
      </c>
      <c r="Q514" s="17" t="s">
        <v>193</v>
      </c>
      <c r="R514" s="18" t="s">
        <v>194</v>
      </c>
      <c r="S514" s="32">
        <v>2187</v>
      </c>
      <c r="T514" s="19">
        <v>0</v>
      </c>
      <c r="U514" s="17" t="s">
        <v>62</v>
      </c>
      <c r="V514" s="17">
        <v>45786</v>
      </c>
      <c r="W514" s="18">
        <v>5</v>
      </c>
      <c r="X514" s="17">
        <v>45877</v>
      </c>
      <c r="Z514" s="45">
        <v>8</v>
      </c>
      <c r="AA514">
        <v>2025</v>
      </c>
      <c r="AB514" s="42">
        <v>18956916</v>
      </c>
      <c r="AC514" s="42">
        <v>0</v>
      </c>
    </row>
    <row r="515" spans="1:29">
      <c r="A515" t="s">
        <v>45</v>
      </c>
      <c r="B515" t="s">
        <v>46</v>
      </c>
      <c r="C515" t="s">
        <v>47</v>
      </c>
      <c r="D515" t="s">
        <v>512</v>
      </c>
      <c r="E515" t="s">
        <v>49</v>
      </c>
      <c r="F515" t="s">
        <v>79</v>
      </c>
      <c r="G515" t="s">
        <v>51</v>
      </c>
      <c r="H515" s="17" t="s">
        <v>58</v>
      </c>
      <c r="I515" t="s">
        <v>53</v>
      </c>
      <c r="J515" t="s">
        <v>54</v>
      </c>
      <c r="K515">
        <v>1</v>
      </c>
      <c r="L515" t="s">
        <v>55</v>
      </c>
      <c r="M515" t="s">
        <v>56</v>
      </c>
      <c r="N515" t="s">
        <v>57</v>
      </c>
      <c r="O515" s="18" t="s">
        <v>58</v>
      </c>
      <c r="P515" s="18" t="s">
        <v>99</v>
      </c>
      <c r="Q515" s="17" t="s">
        <v>100</v>
      </c>
      <c r="R515" s="18" t="s">
        <v>101</v>
      </c>
      <c r="S515" s="32">
        <v>2187</v>
      </c>
      <c r="T515" s="19">
        <v>0</v>
      </c>
      <c r="U515" s="17" t="s">
        <v>62</v>
      </c>
      <c r="V515" s="17">
        <v>45786</v>
      </c>
      <c r="W515" s="18">
        <v>5</v>
      </c>
      <c r="X515" s="17">
        <v>45877</v>
      </c>
      <c r="Z515" s="45">
        <v>8</v>
      </c>
      <c r="AA515">
        <v>2025</v>
      </c>
      <c r="AB515" s="42">
        <v>566433</v>
      </c>
      <c r="AC515" s="42">
        <v>0</v>
      </c>
    </row>
    <row r="516" spans="1:29">
      <c r="A516" t="s">
        <v>45</v>
      </c>
      <c r="B516" t="s">
        <v>46</v>
      </c>
      <c r="C516" t="s">
        <v>47</v>
      </c>
      <c r="D516" t="s">
        <v>512</v>
      </c>
      <c r="E516" t="s">
        <v>49</v>
      </c>
      <c r="F516" t="s">
        <v>98</v>
      </c>
      <c r="G516" t="s">
        <v>51</v>
      </c>
      <c r="H516" s="17" t="s">
        <v>58</v>
      </c>
      <c r="I516" t="s">
        <v>53</v>
      </c>
      <c r="J516" t="s">
        <v>54</v>
      </c>
      <c r="K516">
        <v>1</v>
      </c>
      <c r="L516" t="s">
        <v>55</v>
      </c>
      <c r="M516" t="s">
        <v>56</v>
      </c>
      <c r="N516" t="s">
        <v>57</v>
      </c>
      <c r="O516" s="18" t="s">
        <v>58</v>
      </c>
      <c r="P516" s="18" t="s">
        <v>72</v>
      </c>
      <c r="Q516" s="17" t="s">
        <v>145</v>
      </c>
      <c r="R516" s="18" t="s">
        <v>146</v>
      </c>
      <c r="S516" s="32">
        <v>717</v>
      </c>
      <c r="T516" s="19">
        <v>0</v>
      </c>
      <c r="U516" s="17" t="s">
        <v>62</v>
      </c>
      <c r="V516" s="17">
        <v>45786</v>
      </c>
      <c r="W516" s="18">
        <v>5</v>
      </c>
      <c r="X516" s="17">
        <v>45877</v>
      </c>
      <c r="Z516" s="45">
        <v>8</v>
      </c>
      <c r="AA516">
        <v>2025</v>
      </c>
      <c r="AB516" s="42">
        <v>5728830</v>
      </c>
      <c r="AC516" s="42">
        <v>0</v>
      </c>
    </row>
    <row r="517" spans="1:29">
      <c r="A517" t="s">
        <v>45</v>
      </c>
      <c r="B517" t="s">
        <v>46</v>
      </c>
      <c r="C517" t="s">
        <v>47</v>
      </c>
      <c r="D517" t="s">
        <v>512</v>
      </c>
      <c r="E517" t="s">
        <v>49</v>
      </c>
      <c r="F517" t="s">
        <v>334</v>
      </c>
      <c r="G517" t="s">
        <v>51</v>
      </c>
      <c r="H517" s="17" t="s">
        <v>58</v>
      </c>
      <c r="I517" t="s">
        <v>53</v>
      </c>
      <c r="J517" t="s">
        <v>54</v>
      </c>
      <c r="K517">
        <v>1</v>
      </c>
      <c r="L517" t="s">
        <v>55</v>
      </c>
      <c r="M517" t="s">
        <v>56</v>
      </c>
      <c r="N517" t="s">
        <v>57</v>
      </c>
      <c r="O517" s="18" t="s">
        <v>58</v>
      </c>
      <c r="P517" s="18" t="s">
        <v>99</v>
      </c>
      <c r="Q517" s="17" t="s">
        <v>100</v>
      </c>
      <c r="R517" s="18" t="s">
        <v>101</v>
      </c>
      <c r="S517" s="32">
        <v>717</v>
      </c>
      <c r="T517" s="19">
        <v>0</v>
      </c>
      <c r="U517" s="17" t="s">
        <v>62</v>
      </c>
      <c r="V517" s="17">
        <v>45786</v>
      </c>
      <c r="W517" s="18">
        <v>5</v>
      </c>
      <c r="X517" s="17">
        <v>45877</v>
      </c>
      <c r="Z517" s="45">
        <v>8</v>
      </c>
      <c r="AA517">
        <v>2025</v>
      </c>
      <c r="AB517" s="42">
        <v>172797</v>
      </c>
      <c r="AC517" s="42">
        <v>0</v>
      </c>
    </row>
    <row r="518" spans="1:29">
      <c r="A518" t="s">
        <v>45</v>
      </c>
      <c r="B518" t="s">
        <v>46</v>
      </c>
      <c r="C518" t="s">
        <v>47</v>
      </c>
      <c r="D518" t="s">
        <v>512</v>
      </c>
      <c r="E518" t="s">
        <v>49</v>
      </c>
      <c r="F518" t="s">
        <v>335</v>
      </c>
      <c r="G518" t="s">
        <v>51</v>
      </c>
      <c r="H518" s="17" t="s">
        <v>58</v>
      </c>
      <c r="I518" t="s">
        <v>53</v>
      </c>
      <c r="J518" t="s">
        <v>54</v>
      </c>
      <c r="K518">
        <v>1</v>
      </c>
      <c r="L518" t="s">
        <v>55</v>
      </c>
      <c r="M518" t="s">
        <v>56</v>
      </c>
      <c r="N518" t="s">
        <v>57</v>
      </c>
      <c r="O518" s="18" t="s">
        <v>58</v>
      </c>
      <c r="P518" s="18" t="s">
        <v>86</v>
      </c>
      <c r="Q518" s="17" t="s">
        <v>406</v>
      </c>
      <c r="R518" s="18" t="s">
        <v>407</v>
      </c>
      <c r="S518" s="32">
        <v>301</v>
      </c>
      <c r="T518" s="19">
        <v>0</v>
      </c>
      <c r="U518" s="17" t="s">
        <v>62</v>
      </c>
      <c r="V518" s="17">
        <v>45786</v>
      </c>
      <c r="W518" s="18">
        <v>5</v>
      </c>
      <c r="X518" s="17">
        <v>45877</v>
      </c>
      <c r="Z518" s="45">
        <v>8</v>
      </c>
      <c r="AA518">
        <v>2025</v>
      </c>
      <c r="AB518" s="42">
        <v>4512893</v>
      </c>
      <c r="AC518" s="42">
        <v>0</v>
      </c>
    </row>
    <row r="519" spans="1:29">
      <c r="A519" t="s">
        <v>45</v>
      </c>
      <c r="B519" t="s">
        <v>46</v>
      </c>
      <c r="C519" t="s">
        <v>47</v>
      </c>
      <c r="D519" t="s">
        <v>512</v>
      </c>
      <c r="E519" t="s">
        <v>49</v>
      </c>
      <c r="F519" t="s">
        <v>336</v>
      </c>
      <c r="G519" t="s">
        <v>51</v>
      </c>
      <c r="H519" s="17" t="s">
        <v>58</v>
      </c>
      <c r="I519" t="s">
        <v>53</v>
      </c>
      <c r="J519" t="s">
        <v>54</v>
      </c>
      <c r="K519">
        <v>1</v>
      </c>
      <c r="L519" t="s">
        <v>55</v>
      </c>
      <c r="M519" t="s">
        <v>56</v>
      </c>
      <c r="N519" t="s">
        <v>57</v>
      </c>
      <c r="O519" s="18" t="s">
        <v>58</v>
      </c>
      <c r="P519" s="18" t="s">
        <v>99</v>
      </c>
      <c r="Q519" s="17" t="s">
        <v>100</v>
      </c>
      <c r="R519" s="18" t="s">
        <v>101</v>
      </c>
      <c r="S519" s="32">
        <v>301</v>
      </c>
      <c r="T519" s="19">
        <v>0</v>
      </c>
      <c r="U519" s="17" t="s">
        <v>62</v>
      </c>
      <c r="V519" s="17">
        <v>45786</v>
      </c>
      <c r="W519" s="18">
        <v>5</v>
      </c>
      <c r="X519" s="17">
        <v>45877</v>
      </c>
      <c r="Z519" s="45">
        <v>8</v>
      </c>
      <c r="AA519">
        <v>2025</v>
      </c>
      <c r="AB519" s="42">
        <v>76454</v>
      </c>
      <c r="AC519" s="42">
        <v>0</v>
      </c>
    </row>
    <row r="520" spans="1:29">
      <c r="A520" t="s">
        <v>45</v>
      </c>
      <c r="B520" t="s">
        <v>46</v>
      </c>
      <c r="C520" t="s">
        <v>47</v>
      </c>
      <c r="D520" t="s">
        <v>512</v>
      </c>
      <c r="E520" t="s">
        <v>49</v>
      </c>
      <c r="F520" t="s">
        <v>439</v>
      </c>
      <c r="G520" t="s">
        <v>51</v>
      </c>
      <c r="H520" s="17" t="s">
        <v>58</v>
      </c>
      <c r="I520" t="s">
        <v>53</v>
      </c>
      <c r="J520" t="s">
        <v>54</v>
      </c>
      <c r="K520">
        <v>1</v>
      </c>
      <c r="L520" t="s">
        <v>55</v>
      </c>
      <c r="M520" t="s">
        <v>56</v>
      </c>
      <c r="N520" t="s">
        <v>57</v>
      </c>
      <c r="O520" s="18" t="s">
        <v>58</v>
      </c>
      <c r="P520" s="18" t="s">
        <v>89</v>
      </c>
      <c r="Q520" s="17" t="s">
        <v>90</v>
      </c>
      <c r="R520" s="18" t="s">
        <v>91</v>
      </c>
      <c r="S520" s="32">
        <v>8</v>
      </c>
      <c r="T520" s="19">
        <v>0</v>
      </c>
      <c r="U520" s="17" t="s">
        <v>62</v>
      </c>
      <c r="V520" s="17">
        <v>45786</v>
      </c>
      <c r="W520" s="18">
        <v>5</v>
      </c>
      <c r="X520" s="17">
        <v>45877</v>
      </c>
      <c r="Z520" s="45">
        <v>8</v>
      </c>
      <c r="AA520">
        <v>2025</v>
      </c>
      <c r="AB520" s="42">
        <v>1125240</v>
      </c>
      <c r="AC520" s="42">
        <v>0</v>
      </c>
    </row>
    <row r="521" spans="1:29">
      <c r="A521" t="s">
        <v>45</v>
      </c>
      <c r="B521" t="s">
        <v>46</v>
      </c>
      <c r="C521" t="s">
        <v>47</v>
      </c>
      <c r="D521" t="s">
        <v>512</v>
      </c>
      <c r="E521" t="s">
        <v>49</v>
      </c>
      <c r="F521" t="s">
        <v>440</v>
      </c>
      <c r="G521" t="s">
        <v>51</v>
      </c>
      <c r="H521" s="17" t="s">
        <v>58</v>
      </c>
      <c r="I521" t="s">
        <v>53</v>
      </c>
      <c r="J521" t="s">
        <v>54</v>
      </c>
      <c r="K521">
        <v>1</v>
      </c>
      <c r="L521" t="s">
        <v>55</v>
      </c>
      <c r="M521" t="s">
        <v>56</v>
      </c>
      <c r="N521" t="s">
        <v>57</v>
      </c>
      <c r="O521" s="18" t="s">
        <v>58</v>
      </c>
      <c r="P521" s="18" t="s">
        <v>99</v>
      </c>
      <c r="Q521" s="17" t="s">
        <v>100</v>
      </c>
      <c r="R521" s="18" t="s">
        <v>101</v>
      </c>
      <c r="S521" s="32">
        <v>8</v>
      </c>
      <c r="T521" s="19">
        <v>0</v>
      </c>
      <c r="U521" s="17" t="s">
        <v>62</v>
      </c>
      <c r="V521" s="17">
        <v>45786</v>
      </c>
      <c r="W521" s="18">
        <v>5</v>
      </c>
      <c r="X521" s="17">
        <v>45877</v>
      </c>
      <c r="Z521" s="45">
        <v>8</v>
      </c>
      <c r="AA521">
        <v>2025</v>
      </c>
      <c r="AB521" s="42">
        <v>136832</v>
      </c>
      <c r="AC521" s="42">
        <v>0</v>
      </c>
    </row>
    <row r="522" spans="1:29">
      <c r="A522" t="s">
        <v>45</v>
      </c>
      <c r="B522" t="s">
        <v>46</v>
      </c>
      <c r="C522" t="s">
        <v>47</v>
      </c>
      <c r="D522" t="s">
        <v>512</v>
      </c>
      <c r="E522" t="s">
        <v>49</v>
      </c>
      <c r="F522" t="s">
        <v>515</v>
      </c>
      <c r="G522" t="s">
        <v>51</v>
      </c>
      <c r="H522" s="17" t="s">
        <v>58</v>
      </c>
      <c r="I522" t="s">
        <v>53</v>
      </c>
      <c r="J522" t="s">
        <v>54</v>
      </c>
      <c r="K522">
        <v>1</v>
      </c>
      <c r="L522" t="s">
        <v>55</v>
      </c>
      <c r="M522" t="s">
        <v>56</v>
      </c>
      <c r="N522" t="s">
        <v>57</v>
      </c>
      <c r="O522" s="18" t="s">
        <v>58</v>
      </c>
      <c r="P522" s="18" t="s">
        <v>72</v>
      </c>
      <c r="Q522" s="17" t="s">
        <v>408</v>
      </c>
      <c r="R522" s="18" t="s">
        <v>393</v>
      </c>
      <c r="S522" s="32">
        <v>1003</v>
      </c>
      <c r="T522" s="19">
        <v>0</v>
      </c>
      <c r="U522" s="17" t="s">
        <v>62</v>
      </c>
      <c r="V522" s="17">
        <v>45786</v>
      </c>
      <c r="W522" s="18">
        <v>5</v>
      </c>
      <c r="X522" s="17">
        <v>45877</v>
      </c>
      <c r="Z522" s="45">
        <v>8</v>
      </c>
      <c r="AA522">
        <v>2025</v>
      </c>
      <c r="AB522" s="42">
        <v>5525527</v>
      </c>
      <c r="AC522" s="42">
        <v>0</v>
      </c>
    </row>
    <row r="523" spans="1:29">
      <c r="A523" t="s">
        <v>45</v>
      </c>
      <c r="B523" t="s">
        <v>46</v>
      </c>
      <c r="C523" t="s">
        <v>47</v>
      </c>
      <c r="D523" t="s">
        <v>512</v>
      </c>
      <c r="E523" t="s">
        <v>49</v>
      </c>
      <c r="F523" t="s">
        <v>516</v>
      </c>
      <c r="G523" t="s">
        <v>51</v>
      </c>
      <c r="H523" s="17" t="s">
        <v>58</v>
      </c>
      <c r="I523" t="s">
        <v>53</v>
      </c>
      <c r="J523" t="s">
        <v>54</v>
      </c>
      <c r="K523">
        <v>1</v>
      </c>
      <c r="L523" t="s">
        <v>55</v>
      </c>
      <c r="M523" t="s">
        <v>56</v>
      </c>
      <c r="N523" t="s">
        <v>57</v>
      </c>
      <c r="O523" s="18" t="s">
        <v>58</v>
      </c>
      <c r="P523" s="18" t="s">
        <v>99</v>
      </c>
      <c r="Q523" s="17" t="s">
        <v>100</v>
      </c>
      <c r="R523" s="18" t="s">
        <v>101</v>
      </c>
      <c r="S523" s="32">
        <v>1003</v>
      </c>
      <c r="T523" s="19">
        <v>0</v>
      </c>
      <c r="U523" s="17" t="s">
        <v>62</v>
      </c>
      <c r="V523" s="17">
        <v>45786</v>
      </c>
      <c r="W523" s="18">
        <v>5</v>
      </c>
      <c r="X523" s="17">
        <v>45877</v>
      </c>
      <c r="Z523" s="45">
        <v>8</v>
      </c>
      <c r="AA523">
        <v>2025</v>
      </c>
      <c r="AB523" s="42">
        <v>259777</v>
      </c>
      <c r="AC523" s="42">
        <v>0</v>
      </c>
    </row>
    <row r="524" spans="1:29">
      <c r="A524" t="s">
        <v>45</v>
      </c>
      <c r="B524" t="s">
        <v>46</v>
      </c>
      <c r="C524" t="s">
        <v>47</v>
      </c>
      <c r="D524" t="s">
        <v>517</v>
      </c>
      <c r="E524" t="s">
        <v>49</v>
      </c>
      <c r="F524" t="s">
        <v>50</v>
      </c>
      <c r="G524" t="s">
        <v>51</v>
      </c>
      <c r="H524" s="17" t="s">
        <v>58</v>
      </c>
      <c r="I524" t="s">
        <v>53</v>
      </c>
      <c r="J524" t="s">
        <v>54</v>
      </c>
      <c r="K524">
        <v>1</v>
      </c>
      <c r="L524" t="s">
        <v>55</v>
      </c>
      <c r="M524" t="s">
        <v>56</v>
      </c>
      <c r="N524" t="s">
        <v>57</v>
      </c>
      <c r="O524" s="18" t="s">
        <v>58</v>
      </c>
      <c r="P524" s="18" t="s">
        <v>137</v>
      </c>
      <c r="Q524" s="17" t="s">
        <v>518</v>
      </c>
      <c r="R524" s="18" t="s">
        <v>519</v>
      </c>
      <c r="S524" s="32">
        <v>542</v>
      </c>
      <c r="T524" s="19">
        <v>0</v>
      </c>
      <c r="U524" s="17" t="s">
        <v>62</v>
      </c>
      <c r="V524" s="17">
        <v>45786</v>
      </c>
      <c r="W524" s="18">
        <v>5</v>
      </c>
      <c r="X524" s="17">
        <v>45877</v>
      </c>
      <c r="Z524" s="45">
        <v>8</v>
      </c>
      <c r="AA524">
        <v>2025</v>
      </c>
      <c r="AB524" s="42">
        <v>15909326</v>
      </c>
      <c r="AC524" s="42">
        <v>0</v>
      </c>
    </row>
    <row r="525" spans="1:29">
      <c r="A525" t="s">
        <v>45</v>
      </c>
      <c r="B525" t="s">
        <v>46</v>
      </c>
      <c r="C525" t="s">
        <v>47</v>
      </c>
      <c r="D525" t="s">
        <v>517</v>
      </c>
      <c r="E525" t="s">
        <v>49</v>
      </c>
      <c r="F525" t="s">
        <v>63</v>
      </c>
      <c r="G525" t="s">
        <v>51</v>
      </c>
      <c r="H525" s="17" t="s">
        <v>58</v>
      </c>
      <c r="I525" t="s">
        <v>53</v>
      </c>
      <c r="J525" t="s">
        <v>54</v>
      </c>
      <c r="K525">
        <v>1</v>
      </c>
      <c r="L525" t="s">
        <v>55</v>
      </c>
      <c r="M525" t="s">
        <v>56</v>
      </c>
      <c r="N525" t="s">
        <v>57</v>
      </c>
      <c r="O525" s="18" t="s">
        <v>58</v>
      </c>
      <c r="P525" s="18" t="s">
        <v>99</v>
      </c>
      <c r="Q525" s="17" t="s">
        <v>100</v>
      </c>
      <c r="R525" s="18" t="s">
        <v>101</v>
      </c>
      <c r="S525" s="32">
        <v>542</v>
      </c>
      <c r="T525" s="19">
        <v>0</v>
      </c>
      <c r="U525" s="17" t="s">
        <v>62</v>
      </c>
      <c r="V525" s="17">
        <v>45786</v>
      </c>
      <c r="W525" s="18">
        <v>5</v>
      </c>
      <c r="X525" s="17">
        <v>45877</v>
      </c>
      <c r="Z525" s="45">
        <v>8</v>
      </c>
      <c r="AA525">
        <v>2025</v>
      </c>
      <c r="AB525" s="42">
        <v>936576</v>
      </c>
      <c r="AC525" s="42">
        <v>0</v>
      </c>
    </row>
    <row r="526" spans="1:29">
      <c r="A526" t="s">
        <v>45</v>
      </c>
      <c r="B526" t="s">
        <v>46</v>
      </c>
      <c r="C526" t="s">
        <v>47</v>
      </c>
      <c r="D526" t="s">
        <v>405</v>
      </c>
      <c r="E526" t="s">
        <v>49</v>
      </c>
      <c r="F526" t="s">
        <v>50</v>
      </c>
      <c r="G526" t="s">
        <v>51</v>
      </c>
      <c r="H526" s="17" t="s">
        <v>52</v>
      </c>
      <c r="I526" t="s">
        <v>53</v>
      </c>
      <c r="J526" t="s">
        <v>54</v>
      </c>
      <c r="K526">
        <v>1</v>
      </c>
      <c r="L526" t="s">
        <v>55</v>
      </c>
      <c r="M526" t="s">
        <v>56</v>
      </c>
      <c r="N526" t="s">
        <v>57</v>
      </c>
      <c r="O526" s="18" t="s">
        <v>58</v>
      </c>
      <c r="P526" s="18" t="s">
        <v>72</v>
      </c>
      <c r="Q526" s="17" t="s">
        <v>122</v>
      </c>
      <c r="R526" s="18" t="s">
        <v>123</v>
      </c>
      <c r="S526" s="32">
        <v>10185</v>
      </c>
      <c r="T526" s="19">
        <v>9445</v>
      </c>
      <c r="U526" s="17" t="s">
        <v>62</v>
      </c>
      <c r="V526" s="17">
        <v>45791</v>
      </c>
      <c r="W526" s="18">
        <v>5</v>
      </c>
      <c r="X526" s="17">
        <v>45883</v>
      </c>
      <c r="Y526" s="17">
        <v>45875</v>
      </c>
      <c r="Z526" s="45">
        <v>8</v>
      </c>
      <c r="AA526">
        <v>2025</v>
      </c>
      <c r="AB526" s="42">
        <v>38295600</v>
      </c>
      <c r="AC526" s="42">
        <v>35513200</v>
      </c>
    </row>
    <row r="527" spans="1:29">
      <c r="A527" t="s">
        <v>45</v>
      </c>
      <c r="B527" t="s">
        <v>46</v>
      </c>
      <c r="C527" t="s">
        <v>47</v>
      </c>
      <c r="D527" t="s">
        <v>361</v>
      </c>
      <c r="E527" t="s">
        <v>49</v>
      </c>
      <c r="F527" t="s">
        <v>63</v>
      </c>
      <c r="G527" t="s">
        <v>51</v>
      </c>
      <c r="H527" s="17" t="s">
        <v>52</v>
      </c>
      <c r="I527" t="s">
        <v>53</v>
      </c>
      <c r="J527" t="s">
        <v>54</v>
      </c>
      <c r="K527">
        <v>1</v>
      </c>
      <c r="L527" t="s">
        <v>55</v>
      </c>
      <c r="M527" t="s">
        <v>56</v>
      </c>
      <c r="N527" t="s">
        <v>57</v>
      </c>
      <c r="O527" s="18" t="s">
        <v>58</v>
      </c>
      <c r="P527" s="18" t="s">
        <v>99</v>
      </c>
      <c r="Q527" s="17" t="s">
        <v>100</v>
      </c>
      <c r="R527" s="18" t="s">
        <v>101</v>
      </c>
      <c r="S527" s="32">
        <v>1041</v>
      </c>
      <c r="T527" s="19">
        <v>1041</v>
      </c>
      <c r="U527" s="17" t="s">
        <v>62</v>
      </c>
      <c r="V527" s="17">
        <v>45754</v>
      </c>
      <c r="W527" s="18">
        <v>4</v>
      </c>
      <c r="X527" s="17">
        <v>45779</v>
      </c>
      <c r="Y527" s="17">
        <v>45876</v>
      </c>
      <c r="Z527" s="45">
        <v>8</v>
      </c>
      <c r="AA527">
        <v>2025</v>
      </c>
      <c r="AB527" s="42">
        <v>173847</v>
      </c>
      <c r="AC527" s="42">
        <v>173847</v>
      </c>
    </row>
    <row r="528" spans="1:29">
      <c r="A528" t="s">
        <v>45</v>
      </c>
      <c r="B528" t="s">
        <v>46</v>
      </c>
      <c r="C528" t="s">
        <v>47</v>
      </c>
      <c r="D528" t="s">
        <v>361</v>
      </c>
      <c r="E528" t="s">
        <v>49</v>
      </c>
      <c r="F528" t="s">
        <v>71</v>
      </c>
      <c r="G528" t="s">
        <v>51</v>
      </c>
      <c r="H528" s="17" t="s">
        <v>52</v>
      </c>
      <c r="I528" t="s">
        <v>53</v>
      </c>
      <c r="J528" t="s">
        <v>54</v>
      </c>
      <c r="K528">
        <v>1</v>
      </c>
      <c r="L528" t="s">
        <v>55</v>
      </c>
      <c r="M528" t="s">
        <v>56</v>
      </c>
      <c r="N528" t="s">
        <v>57</v>
      </c>
      <c r="O528" s="18" t="s">
        <v>58</v>
      </c>
      <c r="P528" s="18" t="s">
        <v>99</v>
      </c>
      <c r="Q528" s="17" t="s">
        <v>100</v>
      </c>
      <c r="R528" s="18" t="s">
        <v>101</v>
      </c>
      <c r="S528" s="32">
        <v>2081</v>
      </c>
      <c r="T528" s="19">
        <v>2081</v>
      </c>
      <c r="U528" s="17" t="s">
        <v>62</v>
      </c>
      <c r="V528" s="17">
        <v>45754</v>
      </c>
      <c r="W528" s="18">
        <v>4</v>
      </c>
      <c r="X528" s="17">
        <v>45779</v>
      </c>
      <c r="Y528" s="17">
        <v>45876</v>
      </c>
      <c r="Z528" s="45">
        <v>8</v>
      </c>
      <c r="AA528">
        <v>2025</v>
      </c>
      <c r="AB528" s="42">
        <v>586842</v>
      </c>
      <c r="AC528" s="42">
        <v>586842</v>
      </c>
    </row>
    <row r="529" spans="1:29">
      <c r="A529" t="s">
        <v>45</v>
      </c>
      <c r="B529" t="s">
        <v>46</v>
      </c>
      <c r="C529" t="s">
        <v>47</v>
      </c>
      <c r="D529" t="s">
        <v>304</v>
      </c>
      <c r="E529" t="s">
        <v>49</v>
      </c>
      <c r="F529" t="s">
        <v>63</v>
      </c>
      <c r="G529" t="s">
        <v>51</v>
      </c>
      <c r="H529" s="17" t="s">
        <v>52</v>
      </c>
      <c r="I529" t="s">
        <v>53</v>
      </c>
      <c r="J529" t="s">
        <v>167</v>
      </c>
      <c r="K529">
        <v>1</v>
      </c>
      <c r="L529" t="s">
        <v>55</v>
      </c>
      <c r="M529" t="s">
        <v>56</v>
      </c>
      <c r="N529" t="s">
        <v>57</v>
      </c>
      <c r="O529" s="18" t="s">
        <v>58</v>
      </c>
      <c r="P529" s="18" t="s">
        <v>59</v>
      </c>
      <c r="Q529" s="17" t="s">
        <v>60</v>
      </c>
      <c r="R529" s="18" t="s">
        <v>61</v>
      </c>
      <c r="S529" s="32">
        <v>52</v>
      </c>
      <c r="T529" s="19">
        <v>40</v>
      </c>
      <c r="U529" s="17" t="s">
        <v>62</v>
      </c>
      <c r="V529" s="17">
        <v>45751</v>
      </c>
      <c r="W529" s="18">
        <v>4</v>
      </c>
      <c r="X529" s="17">
        <v>45751</v>
      </c>
      <c r="Y529" s="17">
        <v>45875</v>
      </c>
      <c r="Z529" s="45">
        <v>8</v>
      </c>
      <c r="AA529">
        <v>2025</v>
      </c>
      <c r="AB529" s="42">
        <v>866060</v>
      </c>
      <c r="AC529" s="42">
        <v>666200</v>
      </c>
    </row>
    <row r="530" spans="1:29">
      <c r="A530" t="s">
        <v>45</v>
      </c>
      <c r="B530" t="s">
        <v>46</v>
      </c>
      <c r="C530" t="s">
        <v>47</v>
      </c>
      <c r="D530" t="s">
        <v>520</v>
      </c>
      <c r="E530" t="s">
        <v>49</v>
      </c>
      <c r="F530" t="s">
        <v>50</v>
      </c>
      <c r="G530" t="s">
        <v>51</v>
      </c>
      <c r="H530" s="17" t="s">
        <v>52</v>
      </c>
      <c r="I530" t="s">
        <v>53</v>
      </c>
      <c r="J530" t="s">
        <v>54</v>
      </c>
      <c r="K530">
        <v>1</v>
      </c>
      <c r="L530" t="s">
        <v>55</v>
      </c>
      <c r="M530" t="s">
        <v>56</v>
      </c>
      <c r="N530" t="s">
        <v>57</v>
      </c>
      <c r="O530" s="18" t="s">
        <v>58</v>
      </c>
      <c r="P530" s="18" t="s">
        <v>158</v>
      </c>
      <c r="Q530" s="17" t="s">
        <v>159</v>
      </c>
      <c r="R530" s="18" t="s">
        <v>160</v>
      </c>
      <c r="S530" s="32">
        <v>3</v>
      </c>
      <c r="T530" s="19">
        <v>3</v>
      </c>
      <c r="U530" s="17" t="s">
        <v>62</v>
      </c>
      <c r="V530" s="17">
        <v>45862</v>
      </c>
      <c r="W530" s="18">
        <v>7</v>
      </c>
      <c r="X530" s="17">
        <v>45954</v>
      </c>
      <c r="Y530" s="17">
        <v>45873</v>
      </c>
      <c r="Z530" s="45">
        <v>8</v>
      </c>
      <c r="AA530">
        <v>2025</v>
      </c>
      <c r="AB530" s="42">
        <v>49965</v>
      </c>
      <c r="AC530" s="42">
        <v>49965</v>
      </c>
    </row>
    <row r="531" spans="1:29">
      <c r="A531" t="s">
        <v>45</v>
      </c>
      <c r="B531" t="s">
        <v>46</v>
      </c>
      <c r="C531" t="s">
        <v>47</v>
      </c>
      <c r="D531" t="s">
        <v>520</v>
      </c>
      <c r="E531" t="s">
        <v>49</v>
      </c>
      <c r="F531" t="s">
        <v>63</v>
      </c>
      <c r="G531" t="s">
        <v>51</v>
      </c>
      <c r="H531" s="17" t="s">
        <v>52</v>
      </c>
      <c r="I531" t="s">
        <v>53</v>
      </c>
      <c r="J531" t="s">
        <v>54</v>
      </c>
      <c r="K531">
        <v>1</v>
      </c>
      <c r="L531" t="s">
        <v>55</v>
      </c>
      <c r="M531" t="s">
        <v>56</v>
      </c>
      <c r="N531" t="s">
        <v>57</v>
      </c>
      <c r="O531" s="18" t="s">
        <v>58</v>
      </c>
      <c r="P531" s="18" t="s">
        <v>64</v>
      </c>
      <c r="Q531" s="17" t="s">
        <v>92</v>
      </c>
      <c r="R531" s="18" t="s">
        <v>93</v>
      </c>
      <c r="S531" s="32">
        <v>1</v>
      </c>
      <c r="T531" s="19">
        <v>1</v>
      </c>
      <c r="U531" s="17" t="s">
        <v>62</v>
      </c>
      <c r="V531" s="17">
        <v>45862</v>
      </c>
      <c r="W531" s="18">
        <v>7</v>
      </c>
      <c r="X531" s="17">
        <v>45954</v>
      </c>
      <c r="Y531" s="17">
        <v>45873</v>
      </c>
      <c r="Z531" s="45">
        <v>8</v>
      </c>
      <c r="AA531">
        <v>2025</v>
      </c>
      <c r="AB531" s="42">
        <v>14369</v>
      </c>
      <c r="AC531" s="42">
        <v>14369</v>
      </c>
    </row>
    <row r="532" spans="1:29">
      <c r="A532" t="s">
        <v>45</v>
      </c>
      <c r="B532" t="s">
        <v>46</v>
      </c>
      <c r="C532" t="s">
        <v>47</v>
      </c>
      <c r="D532" t="s">
        <v>521</v>
      </c>
      <c r="E532" t="s">
        <v>49</v>
      </c>
      <c r="F532" t="s">
        <v>50</v>
      </c>
      <c r="G532" t="s">
        <v>51</v>
      </c>
      <c r="H532" s="17" t="s">
        <v>52</v>
      </c>
      <c r="I532" t="s">
        <v>53</v>
      </c>
      <c r="J532" t="s">
        <v>54</v>
      </c>
      <c r="K532">
        <v>1</v>
      </c>
      <c r="L532" t="s">
        <v>55</v>
      </c>
      <c r="M532" t="s">
        <v>56</v>
      </c>
      <c r="N532" t="s">
        <v>57</v>
      </c>
      <c r="O532" s="18" t="s">
        <v>58</v>
      </c>
      <c r="P532" s="18" t="s">
        <v>59</v>
      </c>
      <c r="Q532" s="17" t="s">
        <v>60</v>
      </c>
      <c r="R532" s="18" t="s">
        <v>61</v>
      </c>
      <c r="S532" s="32">
        <v>126</v>
      </c>
      <c r="T532" s="19">
        <v>126</v>
      </c>
      <c r="U532" s="17" t="s">
        <v>62</v>
      </c>
      <c r="V532" s="17">
        <v>45863</v>
      </c>
      <c r="W532" s="18">
        <v>7</v>
      </c>
      <c r="X532" s="17">
        <v>45930</v>
      </c>
      <c r="Y532" s="17">
        <v>45875</v>
      </c>
      <c r="Z532" s="45">
        <v>8</v>
      </c>
      <c r="AA532">
        <v>2025</v>
      </c>
      <c r="AB532" s="42">
        <v>2098530</v>
      </c>
      <c r="AC532" s="42">
        <v>2098530</v>
      </c>
    </row>
    <row r="533" spans="1:29">
      <c r="A533" t="s">
        <v>45</v>
      </c>
      <c r="B533" t="s">
        <v>46</v>
      </c>
      <c r="C533" t="s">
        <v>47</v>
      </c>
      <c r="D533" t="s">
        <v>521</v>
      </c>
      <c r="E533" t="s">
        <v>49</v>
      </c>
      <c r="F533" t="s">
        <v>63</v>
      </c>
      <c r="G533" t="s">
        <v>51</v>
      </c>
      <c r="H533" s="17" t="s">
        <v>52</v>
      </c>
      <c r="I533" t="s">
        <v>53</v>
      </c>
      <c r="J533" t="s">
        <v>54</v>
      </c>
      <c r="K533">
        <v>1</v>
      </c>
      <c r="L533" t="s">
        <v>55</v>
      </c>
      <c r="M533" t="s">
        <v>56</v>
      </c>
      <c r="N533" t="s">
        <v>57</v>
      </c>
      <c r="O533" s="18" t="s">
        <v>58</v>
      </c>
      <c r="P533" s="18" t="s">
        <v>64</v>
      </c>
      <c r="Q533" s="17" t="s">
        <v>92</v>
      </c>
      <c r="R533" s="18" t="s">
        <v>93</v>
      </c>
      <c r="S533" s="32">
        <v>24</v>
      </c>
      <c r="T533" s="19">
        <v>24</v>
      </c>
      <c r="U533" s="17" t="s">
        <v>62</v>
      </c>
      <c r="V533" s="17">
        <v>45863</v>
      </c>
      <c r="W533" s="18">
        <v>7</v>
      </c>
      <c r="X533" s="17">
        <v>45930</v>
      </c>
      <c r="Y533" s="17">
        <v>45875</v>
      </c>
      <c r="Z533" s="45">
        <v>8</v>
      </c>
      <c r="AA533">
        <v>2025</v>
      </c>
      <c r="AB533" s="42">
        <v>344856</v>
      </c>
      <c r="AC533" s="42">
        <v>344856</v>
      </c>
    </row>
    <row r="534" spans="1:29">
      <c r="A534" t="s">
        <v>45</v>
      </c>
      <c r="B534" t="s">
        <v>46</v>
      </c>
      <c r="C534" t="s">
        <v>47</v>
      </c>
      <c r="D534" t="s">
        <v>522</v>
      </c>
      <c r="E534" t="s">
        <v>49</v>
      </c>
      <c r="F534" t="s">
        <v>50</v>
      </c>
      <c r="G534" t="s">
        <v>51</v>
      </c>
      <c r="H534" s="17" t="s">
        <v>52</v>
      </c>
      <c r="I534" t="s">
        <v>53</v>
      </c>
      <c r="J534" t="s">
        <v>420</v>
      </c>
      <c r="K534">
        <v>1</v>
      </c>
      <c r="L534" t="s">
        <v>55</v>
      </c>
      <c r="M534" t="s">
        <v>56</v>
      </c>
      <c r="N534" t="s">
        <v>57</v>
      </c>
      <c r="O534" s="18" t="s">
        <v>58</v>
      </c>
      <c r="P534" s="18" t="s">
        <v>72</v>
      </c>
      <c r="Q534" s="17" t="s">
        <v>151</v>
      </c>
      <c r="R534" s="18" t="s">
        <v>152</v>
      </c>
      <c r="S534" s="32">
        <v>83</v>
      </c>
      <c r="T534" s="19">
        <v>83</v>
      </c>
      <c r="U534" s="17" t="s">
        <v>62</v>
      </c>
      <c r="V534" s="17">
        <v>45866</v>
      </c>
      <c r="W534" s="18">
        <v>7</v>
      </c>
      <c r="X534" s="17">
        <v>45867</v>
      </c>
      <c r="Y534" s="17">
        <v>45875</v>
      </c>
      <c r="Z534" s="45">
        <v>8</v>
      </c>
      <c r="AA534">
        <v>2025</v>
      </c>
      <c r="AB534" s="42">
        <v>2375626</v>
      </c>
      <c r="AC534" s="42">
        <v>2375626</v>
      </c>
    </row>
    <row r="535" spans="1:29">
      <c r="A535" t="s">
        <v>45</v>
      </c>
      <c r="B535" t="s">
        <v>46</v>
      </c>
      <c r="C535" t="s">
        <v>47</v>
      </c>
      <c r="D535" t="s">
        <v>522</v>
      </c>
      <c r="E535" t="s">
        <v>49</v>
      </c>
      <c r="F535" t="s">
        <v>63</v>
      </c>
      <c r="G535" t="s">
        <v>51</v>
      </c>
      <c r="H535" s="17" t="s">
        <v>52</v>
      </c>
      <c r="I535" t="s">
        <v>53</v>
      </c>
      <c r="J535" t="s">
        <v>420</v>
      </c>
      <c r="K535">
        <v>1</v>
      </c>
      <c r="L535" t="s">
        <v>55</v>
      </c>
      <c r="M535" t="s">
        <v>56</v>
      </c>
      <c r="N535" t="s">
        <v>57</v>
      </c>
      <c r="O535" s="18" t="s">
        <v>58</v>
      </c>
      <c r="P535" s="18" t="s">
        <v>86</v>
      </c>
      <c r="Q535" s="17" t="s">
        <v>289</v>
      </c>
      <c r="R535" s="18" t="s">
        <v>290</v>
      </c>
      <c r="S535" s="32">
        <v>948</v>
      </c>
      <c r="T535" s="19">
        <v>948</v>
      </c>
      <c r="U535" s="17" t="s">
        <v>62</v>
      </c>
      <c r="V535" s="17">
        <v>45866</v>
      </c>
      <c r="W535" s="18">
        <v>7</v>
      </c>
      <c r="X535" s="17">
        <v>45867</v>
      </c>
      <c r="Y535" s="17">
        <v>45875</v>
      </c>
      <c r="Z535" s="45">
        <v>8</v>
      </c>
      <c r="AA535">
        <v>2025</v>
      </c>
      <c r="AB535" s="42">
        <v>13384812</v>
      </c>
      <c r="AC535" s="42">
        <v>13384812</v>
      </c>
    </row>
    <row r="536" spans="1:29">
      <c r="A536" t="s">
        <v>45</v>
      </c>
      <c r="B536" t="s">
        <v>46</v>
      </c>
      <c r="C536" t="s">
        <v>47</v>
      </c>
      <c r="D536" t="s">
        <v>522</v>
      </c>
      <c r="E536" t="s">
        <v>49</v>
      </c>
      <c r="F536" t="s">
        <v>67</v>
      </c>
      <c r="G536" t="s">
        <v>51</v>
      </c>
      <c r="H536" s="17" t="s">
        <v>52</v>
      </c>
      <c r="I536" t="s">
        <v>53</v>
      </c>
      <c r="J536" t="s">
        <v>420</v>
      </c>
      <c r="K536">
        <v>1</v>
      </c>
      <c r="L536" t="s">
        <v>55</v>
      </c>
      <c r="M536" t="s">
        <v>56</v>
      </c>
      <c r="N536" t="s">
        <v>57</v>
      </c>
      <c r="O536" s="18" t="s">
        <v>58</v>
      </c>
      <c r="P536" s="18" t="s">
        <v>86</v>
      </c>
      <c r="Q536" s="17" t="s">
        <v>483</v>
      </c>
      <c r="R536" s="18" t="s">
        <v>484</v>
      </c>
      <c r="S536" s="32">
        <v>254</v>
      </c>
      <c r="T536" s="19">
        <v>254</v>
      </c>
      <c r="U536" s="17" t="s">
        <v>62</v>
      </c>
      <c r="V536" s="17">
        <v>45866</v>
      </c>
      <c r="W536" s="18">
        <v>7</v>
      </c>
      <c r="X536" s="17">
        <v>45867</v>
      </c>
      <c r="Y536" s="17">
        <v>45875</v>
      </c>
      <c r="Z536" s="45">
        <v>8</v>
      </c>
      <c r="AA536">
        <v>2025</v>
      </c>
      <c r="AB536" s="42">
        <v>4140708</v>
      </c>
      <c r="AC536" s="42">
        <v>4140708</v>
      </c>
    </row>
    <row r="537" spans="1:29">
      <c r="A537" t="s">
        <v>45</v>
      </c>
      <c r="B537" t="s">
        <v>46</v>
      </c>
      <c r="C537" t="s">
        <v>47</v>
      </c>
      <c r="D537" t="s">
        <v>522</v>
      </c>
      <c r="E537" t="s">
        <v>49</v>
      </c>
      <c r="F537" t="s">
        <v>71</v>
      </c>
      <c r="G537" t="s">
        <v>51</v>
      </c>
      <c r="H537" s="17" t="s">
        <v>52</v>
      </c>
      <c r="I537" t="s">
        <v>53</v>
      </c>
      <c r="J537" t="s">
        <v>420</v>
      </c>
      <c r="K537">
        <v>1</v>
      </c>
      <c r="L537" t="s">
        <v>55</v>
      </c>
      <c r="M537" t="s">
        <v>56</v>
      </c>
      <c r="N537" t="s">
        <v>57</v>
      </c>
      <c r="O537" s="18" t="s">
        <v>58</v>
      </c>
      <c r="P537" s="18" t="s">
        <v>99</v>
      </c>
      <c r="Q537" s="17" t="s">
        <v>100</v>
      </c>
      <c r="R537" s="18" t="s">
        <v>101</v>
      </c>
      <c r="S537" s="32">
        <v>1285</v>
      </c>
      <c r="T537" s="19">
        <v>1285</v>
      </c>
      <c r="U537" s="17" t="s">
        <v>62</v>
      </c>
      <c r="V537" s="17">
        <v>45866</v>
      </c>
      <c r="W537" s="18">
        <v>7</v>
      </c>
      <c r="X537" s="17">
        <v>45867</v>
      </c>
      <c r="Y537" s="17">
        <v>45875</v>
      </c>
      <c r="Z537" s="45">
        <v>8</v>
      </c>
      <c r="AA537">
        <v>2025</v>
      </c>
      <c r="AB537" s="42">
        <v>113080</v>
      </c>
      <c r="AC537" s="42">
        <v>113080</v>
      </c>
    </row>
    <row r="538" spans="1:29">
      <c r="A538" t="s">
        <v>45</v>
      </c>
      <c r="B538" t="s">
        <v>46</v>
      </c>
      <c r="C538" t="s">
        <v>47</v>
      </c>
      <c r="D538" t="s">
        <v>523</v>
      </c>
      <c r="E538" t="s">
        <v>49</v>
      </c>
      <c r="F538" t="s">
        <v>50</v>
      </c>
      <c r="G538" t="s">
        <v>51</v>
      </c>
      <c r="H538" s="17" t="s">
        <v>52</v>
      </c>
      <c r="I538" t="s">
        <v>53</v>
      </c>
      <c r="J538" t="s">
        <v>54</v>
      </c>
      <c r="K538">
        <v>1</v>
      </c>
      <c r="L538" t="s">
        <v>55</v>
      </c>
      <c r="M538" t="s">
        <v>56</v>
      </c>
      <c r="N538" t="s">
        <v>57</v>
      </c>
      <c r="O538" s="18" t="s">
        <v>58</v>
      </c>
      <c r="P538" s="18" t="s">
        <v>68</v>
      </c>
      <c r="Q538" s="17" t="s">
        <v>417</v>
      </c>
      <c r="R538" s="18" t="s">
        <v>418</v>
      </c>
      <c r="S538" s="32">
        <v>50</v>
      </c>
      <c r="T538" s="19">
        <v>50</v>
      </c>
      <c r="U538" s="17" t="s">
        <v>227</v>
      </c>
      <c r="V538" s="17">
        <v>45866</v>
      </c>
      <c r="W538" s="18">
        <v>7</v>
      </c>
      <c r="X538" s="17">
        <v>45960</v>
      </c>
      <c r="Y538" s="17">
        <v>45877</v>
      </c>
      <c r="Z538" s="45">
        <v>8</v>
      </c>
      <c r="AA538">
        <v>2025</v>
      </c>
      <c r="AB538" s="42">
        <v>481900</v>
      </c>
      <c r="AC538" s="42">
        <v>481900</v>
      </c>
    </row>
    <row r="539" spans="1:29">
      <c r="A539" t="s">
        <v>45</v>
      </c>
      <c r="B539" t="s">
        <v>46</v>
      </c>
      <c r="C539" t="s">
        <v>47</v>
      </c>
      <c r="D539" t="s">
        <v>524</v>
      </c>
      <c r="E539" t="s">
        <v>49</v>
      </c>
      <c r="F539" t="s">
        <v>50</v>
      </c>
      <c r="G539" t="s">
        <v>51</v>
      </c>
      <c r="H539" s="17" t="s">
        <v>52</v>
      </c>
      <c r="I539" t="s">
        <v>53</v>
      </c>
      <c r="J539" t="s">
        <v>54</v>
      </c>
      <c r="K539">
        <v>1</v>
      </c>
      <c r="L539" t="s">
        <v>55</v>
      </c>
      <c r="M539" t="s">
        <v>56</v>
      </c>
      <c r="N539" t="s">
        <v>57</v>
      </c>
      <c r="O539" s="18" t="s">
        <v>58</v>
      </c>
      <c r="P539" s="18" t="s">
        <v>86</v>
      </c>
      <c r="Q539" s="17" t="s">
        <v>341</v>
      </c>
      <c r="R539" s="18" t="s">
        <v>342</v>
      </c>
      <c r="S539" s="32">
        <v>195</v>
      </c>
      <c r="T539" s="19">
        <v>195</v>
      </c>
      <c r="U539" s="17" t="s">
        <v>62</v>
      </c>
      <c r="V539" s="17">
        <v>45860</v>
      </c>
      <c r="W539" s="18">
        <v>7</v>
      </c>
      <c r="X539" s="17">
        <v>45866</v>
      </c>
      <c r="Y539" s="17">
        <v>45881</v>
      </c>
      <c r="Z539" s="45">
        <v>8</v>
      </c>
      <c r="AA539">
        <v>2025</v>
      </c>
      <c r="AB539" s="42">
        <v>5805345</v>
      </c>
      <c r="AC539" s="42">
        <v>5805345</v>
      </c>
    </row>
    <row r="540" spans="1:29">
      <c r="A540" t="s">
        <v>45</v>
      </c>
      <c r="B540" t="s">
        <v>46</v>
      </c>
      <c r="C540" t="s">
        <v>47</v>
      </c>
      <c r="D540" t="s">
        <v>525</v>
      </c>
      <c r="E540" t="s">
        <v>49</v>
      </c>
      <c r="F540" t="s">
        <v>50</v>
      </c>
      <c r="G540" t="s">
        <v>51</v>
      </c>
      <c r="H540" s="17" t="s">
        <v>52</v>
      </c>
      <c r="I540" t="s">
        <v>53</v>
      </c>
      <c r="J540" t="s">
        <v>54</v>
      </c>
      <c r="K540">
        <v>1</v>
      </c>
      <c r="L540" t="s">
        <v>55</v>
      </c>
      <c r="M540" t="s">
        <v>56</v>
      </c>
      <c r="N540" t="s">
        <v>57</v>
      </c>
      <c r="O540" s="18" t="s">
        <v>58</v>
      </c>
      <c r="P540" s="18" t="s">
        <v>86</v>
      </c>
      <c r="Q540" s="17" t="s">
        <v>341</v>
      </c>
      <c r="R540" s="18" t="s">
        <v>342</v>
      </c>
      <c r="S540" s="32">
        <v>110</v>
      </c>
      <c r="T540" s="19">
        <v>110</v>
      </c>
      <c r="U540" s="17" t="s">
        <v>62</v>
      </c>
      <c r="V540" s="17">
        <v>45860</v>
      </c>
      <c r="W540" s="18">
        <v>7</v>
      </c>
      <c r="X540" s="17">
        <v>45866</v>
      </c>
      <c r="Y540" s="17">
        <v>45881</v>
      </c>
      <c r="Z540" s="45">
        <v>8</v>
      </c>
      <c r="AA540">
        <v>2025</v>
      </c>
      <c r="AB540" s="42">
        <v>3274810</v>
      </c>
      <c r="AC540" s="42">
        <v>3274810</v>
      </c>
    </row>
    <row r="541" spans="1:29">
      <c r="A541" t="s">
        <v>45</v>
      </c>
      <c r="B541" t="s">
        <v>46</v>
      </c>
      <c r="C541" t="s">
        <v>47</v>
      </c>
      <c r="D541" t="s">
        <v>526</v>
      </c>
      <c r="E541" t="s">
        <v>115</v>
      </c>
      <c r="F541" t="s">
        <v>50</v>
      </c>
      <c r="G541" t="s">
        <v>116</v>
      </c>
      <c r="H541" s="17" t="s">
        <v>52</v>
      </c>
      <c r="I541" t="s">
        <v>53</v>
      </c>
      <c r="J541" t="s">
        <v>125</v>
      </c>
      <c r="K541">
        <v>1</v>
      </c>
      <c r="L541" t="s">
        <v>55</v>
      </c>
      <c r="M541" t="s">
        <v>56</v>
      </c>
      <c r="N541" t="s">
        <v>57</v>
      </c>
      <c r="O541" s="18" t="s">
        <v>58</v>
      </c>
      <c r="P541" s="18" t="s">
        <v>72</v>
      </c>
      <c r="Q541" s="17" t="s">
        <v>122</v>
      </c>
      <c r="R541" s="18" t="s">
        <v>425</v>
      </c>
      <c r="S541" s="32">
        <v>4</v>
      </c>
      <c r="T541" s="19">
        <v>4</v>
      </c>
      <c r="U541" s="17" t="s">
        <v>119</v>
      </c>
      <c r="V541" s="17">
        <v>45863</v>
      </c>
      <c r="W541" s="18">
        <v>7</v>
      </c>
      <c r="X541" s="17">
        <v>45875</v>
      </c>
      <c r="Y541" s="17">
        <v>45875</v>
      </c>
      <c r="Z541" s="45">
        <v>8</v>
      </c>
      <c r="AA541">
        <v>2025</v>
      </c>
      <c r="AB541" s="42">
        <v>1405320</v>
      </c>
      <c r="AC541" s="42">
        <v>1405320</v>
      </c>
    </row>
    <row r="542" spans="1:29">
      <c r="A542" t="s">
        <v>45</v>
      </c>
      <c r="B542" t="s">
        <v>46</v>
      </c>
      <c r="C542" t="s">
        <v>47</v>
      </c>
      <c r="D542" t="s">
        <v>435</v>
      </c>
      <c r="E542" t="s">
        <v>49</v>
      </c>
      <c r="F542" t="s">
        <v>71</v>
      </c>
      <c r="G542" t="s">
        <v>51</v>
      </c>
      <c r="H542" s="17" t="s">
        <v>52</v>
      </c>
      <c r="I542" t="s">
        <v>53</v>
      </c>
      <c r="J542" t="s">
        <v>54</v>
      </c>
      <c r="K542">
        <v>1</v>
      </c>
      <c r="L542" t="s">
        <v>55</v>
      </c>
      <c r="M542" t="s">
        <v>56</v>
      </c>
      <c r="N542" t="s">
        <v>57</v>
      </c>
      <c r="O542" s="18" t="s">
        <v>58</v>
      </c>
      <c r="P542" s="18" t="s">
        <v>72</v>
      </c>
      <c r="Q542" s="17" t="s">
        <v>193</v>
      </c>
      <c r="R542" s="18" t="s">
        <v>194</v>
      </c>
      <c r="S542" s="32">
        <v>120</v>
      </c>
      <c r="T542" s="19">
        <v>120</v>
      </c>
      <c r="U542" s="17" t="s">
        <v>62</v>
      </c>
      <c r="V542" s="17">
        <v>45842</v>
      </c>
      <c r="W542" s="18">
        <v>7</v>
      </c>
      <c r="X542" s="17">
        <v>45933</v>
      </c>
      <c r="Y542" s="17">
        <v>45877</v>
      </c>
      <c r="Z542" s="45">
        <v>8</v>
      </c>
      <c r="AA542">
        <v>2025</v>
      </c>
      <c r="AB542" s="42">
        <v>1109040</v>
      </c>
      <c r="AC542" s="42">
        <v>1109040</v>
      </c>
    </row>
    <row r="543" spans="1:29">
      <c r="A543" t="s">
        <v>45</v>
      </c>
      <c r="B543" t="s">
        <v>46</v>
      </c>
      <c r="C543" t="s">
        <v>47</v>
      </c>
      <c r="D543" t="s">
        <v>435</v>
      </c>
      <c r="E543" t="s">
        <v>49</v>
      </c>
      <c r="F543" t="s">
        <v>75</v>
      </c>
      <c r="G543" t="s">
        <v>51</v>
      </c>
      <c r="H543" s="17" t="s">
        <v>52</v>
      </c>
      <c r="I543" t="s">
        <v>53</v>
      </c>
      <c r="J543" t="s">
        <v>54</v>
      </c>
      <c r="K543">
        <v>1</v>
      </c>
      <c r="L543" t="s">
        <v>55</v>
      </c>
      <c r="M543" t="s">
        <v>56</v>
      </c>
      <c r="N543" t="s">
        <v>57</v>
      </c>
      <c r="O543" s="18" t="s">
        <v>58</v>
      </c>
      <c r="P543" s="18" t="s">
        <v>99</v>
      </c>
      <c r="Q543" s="17" t="s">
        <v>100</v>
      </c>
      <c r="R543" s="18" t="s">
        <v>101</v>
      </c>
      <c r="S543" s="32">
        <v>156</v>
      </c>
      <c r="T543" s="19">
        <v>156</v>
      </c>
      <c r="U543" s="17" t="s">
        <v>62</v>
      </c>
      <c r="V543" s="17">
        <v>45842</v>
      </c>
      <c r="W543" s="18">
        <v>7</v>
      </c>
      <c r="X543" s="17">
        <v>45933</v>
      </c>
      <c r="Y543" s="17">
        <v>45877</v>
      </c>
      <c r="Z543" s="45">
        <v>8</v>
      </c>
      <c r="AA543">
        <v>2025</v>
      </c>
      <c r="AB543" s="42">
        <v>780</v>
      </c>
      <c r="AC543" s="42">
        <v>780</v>
      </c>
    </row>
    <row r="544" spans="1:29">
      <c r="A544" t="s">
        <v>45</v>
      </c>
      <c r="B544" t="s">
        <v>46</v>
      </c>
      <c r="C544" t="s">
        <v>47</v>
      </c>
      <c r="D544" t="s">
        <v>435</v>
      </c>
      <c r="E544" t="s">
        <v>49</v>
      </c>
      <c r="F544" t="s">
        <v>79</v>
      </c>
      <c r="G544" t="s">
        <v>51</v>
      </c>
      <c r="H544" s="17" t="s">
        <v>52</v>
      </c>
      <c r="I544" t="s">
        <v>53</v>
      </c>
      <c r="J544" t="s">
        <v>54</v>
      </c>
      <c r="K544">
        <v>1</v>
      </c>
      <c r="L544" t="s">
        <v>55</v>
      </c>
      <c r="M544" t="s">
        <v>56</v>
      </c>
      <c r="N544" t="s">
        <v>57</v>
      </c>
      <c r="O544" s="18" t="s">
        <v>58</v>
      </c>
      <c r="P544" s="18" t="s">
        <v>80</v>
      </c>
      <c r="Q544" s="17" t="s">
        <v>81</v>
      </c>
      <c r="R544" s="18" t="s">
        <v>82</v>
      </c>
      <c r="S544" s="32">
        <v>156</v>
      </c>
      <c r="T544" s="19">
        <v>156</v>
      </c>
      <c r="U544" s="17" t="s">
        <v>62</v>
      </c>
      <c r="V544" s="17">
        <v>45842</v>
      </c>
      <c r="W544" s="18">
        <v>7</v>
      </c>
      <c r="X544" s="17">
        <v>45933</v>
      </c>
      <c r="Y544" s="17">
        <v>45877</v>
      </c>
      <c r="Z544" s="45">
        <v>8</v>
      </c>
      <c r="AA544">
        <v>2025</v>
      </c>
      <c r="AB544" s="42">
        <v>248508</v>
      </c>
      <c r="AC544" s="42">
        <v>248508</v>
      </c>
    </row>
    <row r="545" spans="1:29">
      <c r="A545" t="s">
        <v>45</v>
      </c>
      <c r="B545" t="s">
        <v>46</v>
      </c>
      <c r="C545" t="s">
        <v>47</v>
      </c>
      <c r="D545" t="s">
        <v>435</v>
      </c>
      <c r="E545" t="s">
        <v>49</v>
      </c>
      <c r="F545" t="s">
        <v>515</v>
      </c>
      <c r="G545" t="s">
        <v>51</v>
      </c>
      <c r="H545" s="17" t="s">
        <v>52</v>
      </c>
      <c r="I545" t="s">
        <v>53</v>
      </c>
      <c r="J545" t="s">
        <v>54</v>
      </c>
      <c r="K545">
        <v>1</v>
      </c>
      <c r="L545" t="s">
        <v>55</v>
      </c>
      <c r="M545" t="s">
        <v>56</v>
      </c>
      <c r="N545" t="s">
        <v>57</v>
      </c>
      <c r="O545" s="18" t="s">
        <v>58</v>
      </c>
      <c r="P545" s="18" t="s">
        <v>99</v>
      </c>
      <c r="Q545" s="17" t="s">
        <v>100</v>
      </c>
      <c r="R545" s="18" t="s">
        <v>101</v>
      </c>
      <c r="S545" s="32">
        <v>110</v>
      </c>
      <c r="T545" s="19">
        <v>110</v>
      </c>
      <c r="U545" s="17" t="s">
        <v>62</v>
      </c>
      <c r="V545" s="17">
        <v>45842</v>
      </c>
      <c r="W545" s="18">
        <v>7</v>
      </c>
      <c r="X545" s="17">
        <v>45933</v>
      </c>
      <c r="Y545" s="17">
        <v>45877</v>
      </c>
      <c r="Z545" s="45">
        <v>8</v>
      </c>
      <c r="AA545">
        <v>2025</v>
      </c>
      <c r="AB545" s="42">
        <v>16500</v>
      </c>
      <c r="AC545" s="42">
        <v>16500</v>
      </c>
    </row>
    <row r="546" spans="1:29">
      <c r="A546" t="s">
        <v>45</v>
      </c>
      <c r="B546" t="s">
        <v>46</v>
      </c>
      <c r="C546" t="s">
        <v>47</v>
      </c>
      <c r="D546" t="s">
        <v>435</v>
      </c>
      <c r="E546" t="s">
        <v>49</v>
      </c>
      <c r="F546" t="s">
        <v>516</v>
      </c>
      <c r="G546" t="s">
        <v>51</v>
      </c>
      <c r="H546" s="17" t="s">
        <v>52</v>
      </c>
      <c r="I546" t="s">
        <v>53</v>
      </c>
      <c r="J546" t="s">
        <v>54</v>
      </c>
      <c r="K546">
        <v>1</v>
      </c>
      <c r="L546" t="s">
        <v>55</v>
      </c>
      <c r="M546" t="s">
        <v>56</v>
      </c>
      <c r="N546" t="s">
        <v>57</v>
      </c>
      <c r="O546" s="18" t="s">
        <v>58</v>
      </c>
      <c r="P546" s="18" t="s">
        <v>76</v>
      </c>
      <c r="Q546" s="17" t="s">
        <v>527</v>
      </c>
      <c r="R546" s="18" t="s">
        <v>528</v>
      </c>
      <c r="S546" s="32">
        <v>110</v>
      </c>
      <c r="T546" s="19">
        <v>110</v>
      </c>
      <c r="U546" s="17" t="s">
        <v>62</v>
      </c>
      <c r="V546" s="17">
        <v>45842</v>
      </c>
      <c r="W546" s="18">
        <v>7</v>
      </c>
      <c r="X546" s="17">
        <v>45933</v>
      </c>
      <c r="Y546" s="17">
        <v>45877</v>
      </c>
      <c r="Z546" s="45">
        <v>8</v>
      </c>
      <c r="AA546">
        <v>2025</v>
      </c>
      <c r="AB546" s="42">
        <v>886270</v>
      </c>
      <c r="AC546" s="42">
        <v>886270</v>
      </c>
    </row>
    <row r="547" spans="1:29">
      <c r="A547" t="s">
        <v>45</v>
      </c>
      <c r="B547" t="s">
        <v>46</v>
      </c>
      <c r="C547" t="s">
        <v>47</v>
      </c>
      <c r="D547" t="s">
        <v>332</v>
      </c>
      <c r="E547" t="s">
        <v>49</v>
      </c>
      <c r="F547" t="s">
        <v>98</v>
      </c>
      <c r="G547" t="s">
        <v>51</v>
      </c>
      <c r="H547" s="17" t="s">
        <v>52</v>
      </c>
      <c r="I547" t="s">
        <v>53</v>
      </c>
      <c r="J547" t="s">
        <v>54</v>
      </c>
      <c r="K547">
        <v>1</v>
      </c>
      <c r="L547" t="s">
        <v>55</v>
      </c>
      <c r="M547" t="s">
        <v>56</v>
      </c>
      <c r="N547" t="s">
        <v>57</v>
      </c>
      <c r="O547" s="18" t="s">
        <v>58</v>
      </c>
      <c r="P547" s="18" t="s">
        <v>72</v>
      </c>
      <c r="Q547" s="17" t="s">
        <v>408</v>
      </c>
      <c r="R547" s="18" t="s">
        <v>393</v>
      </c>
      <c r="S547" s="32">
        <v>949</v>
      </c>
      <c r="T547" s="19">
        <v>367</v>
      </c>
      <c r="U547" s="17" t="s">
        <v>62</v>
      </c>
      <c r="V547" s="17">
        <v>45776</v>
      </c>
      <c r="W547" s="18">
        <v>4</v>
      </c>
      <c r="X547" s="17">
        <v>45868</v>
      </c>
      <c r="Y547" s="17">
        <v>45896</v>
      </c>
      <c r="Z547" s="45">
        <v>8</v>
      </c>
      <c r="AA547">
        <v>2025</v>
      </c>
      <c r="AB547" s="42">
        <v>5228990</v>
      </c>
      <c r="AC547" s="42">
        <v>2022170</v>
      </c>
    </row>
    <row r="548" spans="1:29">
      <c r="A548" t="s">
        <v>45</v>
      </c>
      <c r="B548" t="s">
        <v>46</v>
      </c>
      <c r="C548" t="s">
        <v>47</v>
      </c>
      <c r="D548" t="s">
        <v>529</v>
      </c>
      <c r="E548" t="s">
        <v>49</v>
      </c>
      <c r="F548" t="s">
        <v>50</v>
      </c>
      <c r="G548" t="s">
        <v>51</v>
      </c>
      <c r="H548" s="17" t="s">
        <v>52</v>
      </c>
      <c r="I548" t="s">
        <v>53</v>
      </c>
      <c r="J548" t="s">
        <v>167</v>
      </c>
      <c r="K548">
        <v>1</v>
      </c>
      <c r="L548" t="s">
        <v>55</v>
      </c>
      <c r="M548" t="s">
        <v>56</v>
      </c>
      <c r="N548" t="s">
        <v>57</v>
      </c>
      <c r="O548" s="18" t="s">
        <v>58</v>
      </c>
      <c r="P548" s="18" t="s">
        <v>72</v>
      </c>
      <c r="Q548" s="17" t="s">
        <v>267</v>
      </c>
      <c r="R548" s="18" t="s">
        <v>268</v>
      </c>
      <c r="S548" s="32">
        <v>1926</v>
      </c>
      <c r="T548" s="19">
        <v>1926</v>
      </c>
      <c r="U548" s="17" t="s">
        <v>62</v>
      </c>
      <c r="V548" s="17">
        <v>45810</v>
      </c>
      <c r="W548" s="18">
        <v>6</v>
      </c>
      <c r="X548" s="17">
        <v>45810</v>
      </c>
      <c r="Y548" s="17">
        <v>45883</v>
      </c>
      <c r="Z548" s="45">
        <v>8</v>
      </c>
      <c r="AA548">
        <v>2025</v>
      </c>
      <c r="AB548" s="42">
        <v>47866878</v>
      </c>
      <c r="AC548" s="42">
        <v>47866878</v>
      </c>
    </row>
    <row r="549" spans="1:29">
      <c r="A549" t="s">
        <v>45</v>
      </c>
      <c r="B549" t="s">
        <v>46</v>
      </c>
      <c r="C549" t="s">
        <v>47</v>
      </c>
      <c r="D549" t="s">
        <v>332</v>
      </c>
      <c r="E549" t="s">
        <v>49</v>
      </c>
      <c r="F549" t="s">
        <v>50</v>
      </c>
      <c r="G549" t="s">
        <v>51</v>
      </c>
      <c r="H549" s="17" t="s">
        <v>52</v>
      </c>
      <c r="I549" t="s">
        <v>53</v>
      </c>
      <c r="J549" t="s">
        <v>54</v>
      </c>
      <c r="K549">
        <v>1</v>
      </c>
      <c r="L549" t="s">
        <v>55</v>
      </c>
      <c r="M549" t="s">
        <v>56</v>
      </c>
      <c r="N549" t="s">
        <v>57</v>
      </c>
      <c r="O549" s="18" t="s">
        <v>58</v>
      </c>
      <c r="P549" s="18" t="s">
        <v>72</v>
      </c>
      <c r="Q549" s="17" t="s">
        <v>122</v>
      </c>
      <c r="R549" s="18" t="s">
        <v>123</v>
      </c>
      <c r="S549" s="32">
        <v>5082</v>
      </c>
      <c r="T549" s="19">
        <v>3614</v>
      </c>
      <c r="U549" s="17" t="s">
        <v>62</v>
      </c>
      <c r="V549" s="17">
        <v>45776</v>
      </c>
      <c r="W549" s="18">
        <v>4</v>
      </c>
      <c r="X549" s="17">
        <v>45868</v>
      </c>
      <c r="Y549" s="17">
        <v>45922</v>
      </c>
      <c r="Z549" s="45">
        <v>9</v>
      </c>
      <c r="AA549">
        <v>2025</v>
      </c>
      <c r="AB549" s="42">
        <v>18818646</v>
      </c>
      <c r="AC549" s="42">
        <v>13382642</v>
      </c>
    </row>
    <row r="550" spans="1:29">
      <c r="A550" t="s">
        <v>45</v>
      </c>
      <c r="B550" t="s">
        <v>46</v>
      </c>
      <c r="C550" t="s">
        <v>47</v>
      </c>
      <c r="D550" t="s">
        <v>332</v>
      </c>
      <c r="E550" t="s">
        <v>49</v>
      </c>
      <c r="F550" t="s">
        <v>63</v>
      </c>
      <c r="G550" t="s">
        <v>51</v>
      </c>
      <c r="H550" s="17" t="s">
        <v>52</v>
      </c>
      <c r="I550" t="s">
        <v>53</v>
      </c>
      <c r="J550" t="s">
        <v>54</v>
      </c>
      <c r="K550">
        <v>1</v>
      </c>
      <c r="L550" t="s">
        <v>55</v>
      </c>
      <c r="M550" t="s">
        <v>56</v>
      </c>
      <c r="N550" t="s">
        <v>57</v>
      </c>
      <c r="O550" s="18" t="s">
        <v>58</v>
      </c>
      <c r="P550" s="18" t="s">
        <v>99</v>
      </c>
      <c r="Q550" s="17" t="s">
        <v>100</v>
      </c>
      <c r="R550" s="18" t="s">
        <v>101</v>
      </c>
      <c r="S550" s="32">
        <v>5082</v>
      </c>
      <c r="T550" s="19">
        <v>3614</v>
      </c>
      <c r="U550" s="17" t="s">
        <v>62</v>
      </c>
      <c r="V550" s="17">
        <v>45776</v>
      </c>
      <c r="W550" s="18">
        <v>4</v>
      </c>
      <c r="X550" s="17">
        <v>45868</v>
      </c>
      <c r="Y550" s="17">
        <v>45922</v>
      </c>
      <c r="Z550" s="45">
        <v>9</v>
      </c>
      <c r="AA550">
        <v>2025</v>
      </c>
      <c r="AB550" s="42">
        <v>675906</v>
      </c>
      <c r="AC550" s="42">
        <v>480662</v>
      </c>
    </row>
    <row r="551" spans="1:29">
      <c r="A551" t="s">
        <v>45</v>
      </c>
      <c r="B551" t="s">
        <v>46</v>
      </c>
      <c r="C551" t="s">
        <v>47</v>
      </c>
      <c r="D551" t="s">
        <v>530</v>
      </c>
      <c r="E551" t="s">
        <v>49</v>
      </c>
      <c r="F551" t="s">
        <v>50</v>
      </c>
      <c r="G551" t="s">
        <v>51</v>
      </c>
      <c r="H551" s="17" t="s">
        <v>58</v>
      </c>
      <c r="I551" t="s">
        <v>53</v>
      </c>
      <c r="J551" t="s">
        <v>54</v>
      </c>
      <c r="K551">
        <v>1</v>
      </c>
      <c r="L551" t="s">
        <v>55</v>
      </c>
      <c r="M551" t="s">
        <v>56</v>
      </c>
      <c r="N551" t="s">
        <v>57</v>
      </c>
      <c r="O551" s="18" t="s">
        <v>58</v>
      </c>
      <c r="P551" s="18" t="s">
        <v>86</v>
      </c>
      <c r="Q551" s="17" t="s">
        <v>111</v>
      </c>
      <c r="R551" s="18" t="s">
        <v>112</v>
      </c>
      <c r="S551" s="32">
        <v>537</v>
      </c>
      <c r="T551" s="19">
        <v>0</v>
      </c>
      <c r="U551" s="17" t="s">
        <v>113</v>
      </c>
      <c r="V551" s="17">
        <v>45834</v>
      </c>
      <c r="W551" s="18">
        <v>6</v>
      </c>
      <c r="X551" s="17">
        <v>45926</v>
      </c>
      <c r="Z551" s="45">
        <v>9</v>
      </c>
      <c r="AA551">
        <v>2025</v>
      </c>
      <c r="AB551" s="42">
        <v>26346831</v>
      </c>
      <c r="AC551" s="42">
        <v>0</v>
      </c>
    </row>
    <row r="552" spans="1:29">
      <c r="A552" t="s">
        <v>45</v>
      </c>
      <c r="B552" t="s">
        <v>46</v>
      </c>
      <c r="C552" t="s">
        <v>47</v>
      </c>
      <c r="D552" t="s">
        <v>530</v>
      </c>
      <c r="E552" t="s">
        <v>49</v>
      </c>
      <c r="F552" t="s">
        <v>63</v>
      </c>
      <c r="G552" t="s">
        <v>51</v>
      </c>
      <c r="H552" s="17" t="s">
        <v>58</v>
      </c>
      <c r="I552" t="s">
        <v>53</v>
      </c>
      <c r="J552" t="s">
        <v>54</v>
      </c>
      <c r="K552">
        <v>1</v>
      </c>
      <c r="L552" t="s">
        <v>55</v>
      </c>
      <c r="M552" t="s">
        <v>56</v>
      </c>
      <c r="N552" t="s">
        <v>57</v>
      </c>
      <c r="O552" s="18" t="s">
        <v>58</v>
      </c>
      <c r="P552" s="18" t="s">
        <v>99</v>
      </c>
      <c r="Q552" s="17" t="s">
        <v>100</v>
      </c>
      <c r="R552" s="18" t="s">
        <v>101</v>
      </c>
      <c r="S552" s="32">
        <v>537</v>
      </c>
      <c r="T552" s="19">
        <v>0</v>
      </c>
      <c r="U552" s="17" t="s">
        <v>62</v>
      </c>
      <c r="V552" s="17">
        <v>45834</v>
      </c>
      <c r="W552" s="18">
        <v>6</v>
      </c>
      <c r="X552" s="17">
        <v>45926</v>
      </c>
      <c r="Z552" s="45">
        <v>9</v>
      </c>
      <c r="AA552">
        <v>2025</v>
      </c>
      <c r="AB552" s="42">
        <v>92901</v>
      </c>
      <c r="AC552" s="42">
        <v>0</v>
      </c>
    </row>
    <row r="553" spans="1:29">
      <c r="A553" t="s">
        <v>45</v>
      </c>
      <c r="B553" t="s">
        <v>46</v>
      </c>
      <c r="C553" t="s">
        <v>47</v>
      </c>
      <c r="D553" t="s">
        <v>531</v>
      </c>
      <c r="E553" t="s">
        <v>49</v>
      </c>
      <c r="F553" t="s">
        <v>50</v>
      </c>
      <c r="G553" t="s">
        <v>51</v>
      </c>
      <c r="H553" s="17" t="s">
        <v>52</v>
      </c>
      <c r="I553" t="s">
        <v>53</v>
      </c>
      <c r="J553" t="s">
        <v>54</v>
      </c>
      <c r="K553">
        <v>1</v>
      </c>
      <c r="L553" t="s">
        <v>55</v>
      </c>
      <c r="M553" t="s">
        <v>56</v>
      </c>
      <c r="N553" t="s">
        <v>57</v>
      </c>
      <c r="O553" s="18" t="s">
        <v>58</v>
      </c>
      <c r="P553" s="18" t="s">
        <v>132</v>
      </c>
      <c r="Q553" s="17" t="s">
        <v>133</v>
      </c>
      <c r="R553" s="18" t="s">
        <v>134</v>
      </c>
      <c r="S553" s="32">
        <v>4880</v>
      </c>
      <c r="T553" s="19">
        <v>4600</v>
      </c>
      <c r="U553" s="17" t="s">
        <v>62</v>
      </c>
      <c r="V553" s="17">
        <v>45833</v>
      </c>
      <c r="W553" s="18">
        <v>6</v>
      </c>
      <c r="X553" s="17">
        <v>45960</v>
      </c>
      <c r="Y553" s="17">
        <v>45922</v>
      </c>
      <c r="Z553" s="45">
        <v>9</v>
      </c>
      <c r="AA553">
        <v>2025</v>
      </c>
      <c r="AB553" s="42">
        <v>29036000</v>
      </c>
      <c r="AC553" s="42">
        <v>27370000</v>
      </c>
    </row>
    <row r="554" spans="1:29">
      <c r="A554" t="s">
        <v>45</v>
      </c>
      <c r="B554" t="s">
        <v>46</v>
      </c>
      <c r="C554" t="s">
        <v>47</v>
      </c>
      <c r="D554" t="s">
        <v>532</v>
      </c>
      <c r="E554" t="s">
        <v>49</v>
      </c>
      <c r="F554" t="s">
        <v>50</v>
      </c>
      <c r="G554" t="s">
        <v>51</v>
      </c>
      <c r="H554" s="17" t="s">
        <v>58</v>
      </c>
      <c r="I554" t="s">
        <v>53</v>
      </c>
      <c r="J554" t="s">
        <v>224</v>
      </c>
      <c r="K554">
        <v>1</v>
      </c>
      <c r="L554" t="s">
        <v>55</v>
      </c>
      <c r="M554" t="s">
        <v>56</v>
      </c>
      <c r="N554" t="s">
        <v>57</v>
      </c>
      <c r="O554" s="18" t="s">
        <v>58</v>
      </c>
      <c r="P554" s="18" t="s">
        <v>533</v>
      </c>
      <c r="Q554" s="17" t="s">
        <v>534</v>
      </c>
      <c r="R554" s="18" t="s">
        <v>535</v>
      </c>
      <c r="S554" s="32">
        <v>46</v>
      </c>
      <c r="T554" s="19">
        <v>0</v>
      </c>
      <c r="U554" s="17" t="s">
        <v>62</v>
      </c>
      <c r="V554" s="17">
        <v>45820</v>
      </c>
      <c r="W554" s="18">
        <v>6</v>
      </c>
      <c r="X554" s="17">
        <v>45912</v>
      </c>
      <c r="Z554" s="45">
        <v>9</v>
      </c>
      <c r="AA554">
        <v>2025</v>
      </c>
      <c r="AB554" s="42">
        <v>1021936</v>
      </c>
      <c r="AC554" s="42">
        <v>0</v>
      </c>
    </row>
    <row r="555" spans="1:29">
      <c r="A555" t="s">
        <v>45</v>
      </c>
      <c r="B555" t="s">
        <v>46</v>
      </c>
      <c r="C555" t="s">
        <v>47</v>
      </c>
      <c r="D555" t="s">
        <v>532</v>
      </c>
      <c r="E555" t="s">
        <v>49</v>
      </c>
      <c r="F555" t="s">
        <v>63</v>
      </c>
      <c r="G555" t="s">
        <v>51</v>
      </c>
      <c r="H555" s="17" t="s">
        <v>58</v>
      </c>
      <c r="I555" t="s">
        <v>53</v>
      </c>
      <c r="J555" t="s">
        <v>224</v>
      </c>
      <c r="K555">
        <v>1</v>
      </c>
      <c r="L555" t="s">
        <v>55</v>
      </c>
      <c r="M555" t="s">
        <v>56</v>
      </c>
      <c r="N555" t="s">
        <v>57</v>
      </c>
      <c r="O555" s="18" t="s">
        <v>58</v>
      </c>
      <c r="P555" s="18" t="s">
        <v>99</v>
      </c>
      <c r="Q555" s="17" t="s">
        <v>100</v>
      </c>
      <c r="R555" s="18" t="s">
        <v>101</v>
      </c>
      <c r="S555" s="32">
        <v>46</v>
      </c>
      <c r="T555" s="19">
        <v>0</v>
      </c>
      <c r="U555" s="17" t="s">
        <v>62</v>
      </c>
      <c r="V555" s="17">
        <v>45820</v>
      </c>
      <c r="W555" s="18">
        <v>6</v>
      </c>
      <c r="X555" s="17">
        <v>45912</v>
      </c>
      <c r="Z555" s="45">
        <v>9</v>
      </c>
      <c r="AA555">
        <v>2025</v>
      </c>
      <c r="AB555" s="42">
        <v>4508</v>
      </c>
      <c r="AC555" s="42">
        <v>0</v>
      </c>
    </row>
    <row r="556" spans="1:29">
      <c r="A556" t="s">
        <v>45</v>
      </c>
      <c r="B556" t="s">
        <v>46</v>
      </c>
      <c r="C556" t="s">
        <v>47</v>
      </c>
      <c r="D556" t="s">
        <v>532</v>
      </c>
      <c r="E556" t="s">
        <v>49</v>
      </c>
      <c r="F556" t="s">
        <v>67</v>
      </c>
      <c r="G556" t="s">
        <v>51</v>
      </c>
      <c r="H556" s="17" t="s">
        <v>58</v>
      </c>
      <c r="I556" t="s">
        <v>53</v>
      </c>
      <c r="J556" t="s">
        <v>224</v>
      </c>
      <c r="K556">
        <v>1</v>
      </c>
      <c r="L556" t="s">
        <v>55</v>
      </c>
      <c r="M556" t="s">
        <v>56</v>
      </c>
      <c r="N556" t="s">
        <v>57</v>
      </c>
      <c r="O556" s="18" t="s">
        <v>58</v>
      </c>
      <c r="P556" s="18" t="s">
        <v>533</v>
      </c>
      <c r="Q556" s="17" t="s">
        <v>536</v>
      </c>
      <c r="R556" s="18" t="s">
        <v>537</v>
      </c>
      <c r="S556" s="32">
        <v>723</v>
      </c>
      <c r="T556" s="19">
        <v>0</v>
      </c>
      <c r="U556" s="17" t="s">
        <v>62</v>
      </c>
      <c r="V556" s="17">
        <v>45820</v>
      </c>
      <c r="W556" s="18">
        <v>6</v>
      </c>
      <c r="X556" s="17">
        <v>45912</v>
      </c>
      <c r="Z556" s="45">
        <v>9</v>
      </c>
      <c r="AA556">
        <v>2025</v>
      </c>
      <c r="AB556" s="42">
        <v>22903194</v>
      </c>
      <c r="AC556" s="42">
        <v>0</v>
      </c>
    </row>
    <row r="557" spans="1:29">
      <c r="A557" t="s">
        <v>45</v>
      </c>
      <c r="B557" t="s">
        <v>46</v>
      </c>
      <c r="C557" t="s">
        <v>47</v>
      </c>
      <c r="D557" t="s">
        <v>532</v>
      </c>
      <c r="E557" t="s">
        <v>49</v>
      </c>
      <c r="F557" t="s">
        <v>71</v>
      </c>
      <c r="G557" t="s">
        <v>51</v>
      </c>
      <c r="H557" s="17" t="s">
        <v>58</v>
      </c>
      <c r="I557" t="s">
        <v>53</v>
      </c>
      <c r="J557" t="s">
        <v>224</v>
      </c>
      <c r="K557">
        <v>1</v>
      </c>
      <c r="L557" t="s">
        <v>55</v>
      </c>
      <c r="M557" t="s">
        <v>56</v>
      </c>
      <c r="N557" t="s">
        <v>57</v>
      </c>
      <c r="O557" s="18" t="s">
        <v>58</v>
      </c>
      <c r="P557" s="18" t="s">
        <v>99</v>
      </c>
      <c r="Q557" s="17" t="s">
        <v>100</v>
      </c>
      <c r="R557" s="18" t="s">
        <v>101</v>
      </c>
      <c r="S557" s="32">
        <v>723</v>
      </c>
      <c r="T557" s="19">
        <v>0</v>
      </c>
      <c r="U557" s="17" t="s">
        <v>62</v>
      </c>
      <c r="V557" s="17">
        <v>45820</v>
      </c>
      <c r="W557" s="18">
        <v>6</v>
      </c>
      <c r="X557" s="17">
        <v>45912</v>
      </c>
      <c r="Z557" s="45">
        <v>9</v>
      </c>
      <c r="AA557">
        <v>2025</v>
      </c>
      <c r="AB557" s="42">
        <v>70854</v>
      </c>
      <c r="AC557" s="42">
        <v>0</v>
      </c>
    </row>
    <row r="558" spans="1:29">
      <c r="A558" t="s">
        <v>45</v>
      </c>
      <c r="B558" t="s">
        <v>46</v>
      </c>
      <c r="C558" t="s">
        <v>47</v>
      </c>
      <c r="D558" t="s">
        <v>538</v>
      </c>
      <c r="E558" t="s">
        <v>115</v>
      </c>
      <c r="F558" t="s">
        <v>50</v>
      </c>
      <c r="G558" t="s">
        <v>116</v>
      </c>
      <c r="H558" s="17" t="s">
        <v>52</v>
      </c>
      <c r="I558" t="s">
        <v>53</v>
      </c>
      <c r="J558" t="s">
        <v>125</v>
      </c>
      <c r="K558">
        <v>1</v>
      </c>
      <c r="L558" t="s">
        <v>55</v>
      </c>
      <c r="M558" t="s">
        <v>56</v>
      </c>
      <c r="N558" t="s">
        <v>57</v>
      </c>
      <c r="O558" s="18" t="s">
        <v>58</v>
      </c>
      <c r="P558" s="18" t="s">
        <v>72</v>
      </c>
      <c r="Q558" s="17" t="s">
        <v>117</v>
      </c>
      <c r="R558" s="18" t="s">
        <v>393</v>
      </c>
      <c r="S558" s="32">
        <v>4</v>
      </c>
      <c r="T558" s="19">
        <v>4</v>
      </c>
      <c r="U558" s="17" t="s">
        <v>119</v>
      </c>
      <c r="V558" s="17">
        <v>45904</v>
      </c>
      <c r="W558" s="18">
        <v>9</v>
      </c>
      <c r="X558" s="17">
        <v>45916</v>
      </c>
      <c r="Y558" s="17">
        <v>45909</v>
      </c>
      <c r="Z558" s="45">
        <v>9</v>
      </c>
      <c r="AA558">
        <v>2025</v>
      </c>
      <c r="AB558" s="42">
        <v>1406000</v>
      </c>
      <c r="AC558" s="42">
        <v>1406000</v>
      </c>
    </row>
    <row r="559" spans="1:29">
      <c r="A559" t="s">
        <v>45</v>
      </c>
      <c r="B559" t="s">
        <v>46</v>
      </c>
      <c r="C559" t="s">
        <v>47</v>
      </c>
      <c r="D559" t="s">
        <v>539</v>
      </c>
      <c r="E559" t="s">
        <v>115</v>
      </c>
      <c r="F559" t="s">
        <v>50</v>
      </c>
      <c r="G559" t="s">
        <v>116</v>
      </c>
      <c r="H559" s="17" t="s">
        <v>52</v>
      </c>
      <c r="I559" t="s">
        <v>53</v>
      </c>
      <c r="J559" t="s">
        <v>110</v>
      </c>
      <c r="K559">
        <v>1</v>
      </c>
      <c r="L559" t="s">
        <v>55</v>
      </c>
      <c r="M559" t="s">
        <v>56</v>
      </c>
      <c r="N559" t="s">
        <v>57</v>
      </c>
      <c r="O559" s="18" t="s">
        <v>58</v>
      </c>
      <c r="P559" s="18" t="s">
        <v>72</v>
      </c>
      <c r="Q559" s="17" t="s">
        <v>122</v>
      </c>
      <c r="R559" s="18" t="s">
        <v>425</v>
      </c>
      <c r="S559" s="32">
        <v>8</v>
      </c>
      <c r="T559" s="19">
        <v>8</v>
      </c>
      <c r="U559" s="17" t="s">
        <v>119</v>
      </c>
      <c r="V559" s="17">
        <v>45905</v>
      </c>
      <c r="W559" s="18">
        <v>9</v>
      </c>
      <c r="X559" s="17">
        <v>45917</v>
      </c>
      <c r="Y559" s="17">
        <v>45911</v>
      </c>
      <c r="Z559" s="45">
        <v>9</v>
      </c>
      <c r="AA559">
        <v>2025</v>
      </c>
      <c r="AB559" s="42">
        <v>2810640</v>
      </c>
      <c r="AC559" s="42">
        <v>2810640</v>
      </c>
    </row>
    <row r="560" spans="1:29">
      <c r="A560" t="s">
        <v>45</v>
      </c>
      <c r="B560" t="s">
        <v>46</v>
      </c>
      <c r="C560" t="s">
        <v>47</v>
      </c>
      <c r="D560" t="s">
        <v>539</v>
      </c>
      <c r="E560" t="s">
        <v>115</v>
      </c>
      <c r="F560" t="s">
        <v>63</v>
      </c>
      <c r="G560" t="s">
        <v>116</v>
      </c>
      <c r="H560" s="17" t="s">
        <v>52</v>
      </c>
      <c r="I560" t="s">
        <v>53</v>
      </c>
      <c r="J560" t="s">
        <v>110</v>
      </c>
      <c r="K560">
        <v>1</v>
      </c>
      <c r="L560" t="s">
        <v>55</v>
      </c>
      <c r="M560" t="s">
        <v>56</v>
      </c>
      <c r="N560" t="s">
        <v>57</v>
      </c>
      <c r="O560" s="18" t="s">
        <v>58</v>
      </c>
      <c r="P560" s="18" t="s">
        <v>72</v>
      </c>
      <c r="Q560" s="17" t="s">
        <v>117</v>
      </c>
      <c r="R560" s="18" t="s">
        <v>393</v>
      </c>
      <c r="S560" s="32">
        <v>10</v>
      </c>
      <c r="T560" s="19">
        <v>10</v>
      </c>
      <c r="U560" s="17" t="s">
        <v>119</v>
      </c>
      <c r="V560" s="17">
        <v>45905</v>
      </c>
      <c r="W560" s="18">
        <v>9</v>
      </c>
      <c r="X560" s="17">
        <v>45917</v>
      </c>
      <c r="Y560" s="17">
        <v>45911</v>
      </c>
      <c r="Z560" s="45">
        <v>9</v>
      </c>
      <c r="AA560">
        <v>2025</v>
      </c>
      <c r="AB560" s="42">
        <v>3515000</v>
      </c>
      <c r="AC560" s="42">
        <v>3515000</v>
      </c>
    </row>
    <row r="561" spans="1:29">
      <c r="A561" t="s">
        <v>45</v>
      </c>
      <c r="B561" t="s">
        <v>46</v>
      </c>
      <c r="C561" t="s">
        <v>47</v>
      </c>
      <c r="D561" t="s">
        <v>540</v>
      </c>
      <c r="E561" t="s">
        <v>115</v>
      </c>
      <c r="F561" t="s">
        <v>50</v>
      </c>
      <c r="G561" t="s">
        <v>116</v>
      </c>
      <c r="H561" s="17" t="s">
        <v>52</v>
      </c>
      <c r="I561" t="s">
        <v>53</v>
      </c>
      <c r="J561" t="s">
        <v>190</v>
      </c>
      <c r="K561">
        <v>1</v>
      </c>
      <c r="L561" t="s">
        <v>55</v>
      </c>
      <c r="M561" t="s">
        <v>56</v>
      </c>
      <c r="N561" t="s">
        <v>57</v>
      </c>
      <c r="O561" s="18" t="s">
        <v>58</v>
      </c>
      <c r="P561" s="18" t="s">
        <v>72</v>
      </c>
      <c r="Q561" s="17" t="s">
        <v>122</v>
      </c>
      <c r="R561" s="18" t="s">
        <v>425</v>
      </c>
      <c r="S561" s="32">
        <v>4</v>
      </c>
      <c r="T561" s="19">
        <v>4</v>
      </c>
      <c r="U561" s="17" t="s">
        <v>119</v>
      </c>
      <c r="V561" s="17">
        <v>45905</v>
      </c>
      <c r="W561" s="18">
        <v>9</v>
      </c>
      <c r="X561" s="17">
        <v>45917</v>
      </c>
      <c r="Y561" s="17">
        <v>45915</v>
      </c>
      <c r="Z561" s="45">
        <v>9</v>
      </c>
      <c r="AA561">
        <v>2025</v>
      </c>
      <c r="AB561" s="42">
        <v>1405320</v>
      </c>
      <c r="AC561" s="42">
        <v>1405320</v>
      </c>
    </row>
    <row r="562" spans="1:29">
      <c r="A562" t="s">
        <v>45</v>
      </c>
      <c r="B562" t="s">
        <v>46</v>
      </c>
      <c r="C562" t="s">
        <v>47</v>
      </c>
      <c r="D562" t="s">
        <v>541</v>
      </c>
      <c r="E562" t="s">
        <v>115</v>
      </c>
      <c r="F562" t="s">
        <v>50</v>
      </c>
      <c r="G562" t="s">
        <v>116</v>
      </c>
      <c r="H562" s="17" t="s">
        <v>52</v>
      </c>
      <c r="I562" t="s">
        <v>53</v>
      </c>
      <c r="J562" t="s">
        <v>125</v>
      </c>
      <c r="K562">
        <v>1</v>
      </c>
      <c r="L562" t="s">
        <v>55</v>
      </c>
      <c r="M562" t="s">
        <v>56</v>
      </c>
      <c r="N562" t="s">
        <v>57</v>
      </c>
      <c r="O562" s="18" t="s">
        <v>58</v>
      </c>
      <c r="P562" s="18" t="s">
        <v>72</v>
      </c>
      <c r="Q562" s="17" t="s">
        <v>122</v>
      </c>
      <c r="R562" s="18" t="s">
        <v>425</v>
      </c>
      <c r="S562" s="32">
        <v>4</v>
      </c>
      <c r="T562" s="19">
        <v>4</v>
      </c>
      <c r="U562" s="17" t="s">
        <v>119</v>
      </c>
      <c r="V562" s="17">
        <v>45905</v>
      </c>
      <c r="W562" s="18">
        <v>9</v>
      </c>
      <c r="X562" s="17">
        <v>45917</v>
      </c>
      <c r="Y562" s="17">
        <v>45915</v>
      </c>
      <c r="Z562" s="45">
        <v>9</v>
      </c>
      <c r="AA562">
        <v>2025</v>
      </c>
      <c r="AB562" s="42">
        <v>1405320</v>
      </c>
      <c r="AC562" s="42">
        <v>1405320</v>
      </c>
    </row>
    <row r="563" spans="1:29">
      <c r="A563" t="s">
        <v>45</v>
      </c>
      <c r="B563" t="s">
        <v>46</v>
      </c>
      <c r="C563" t="s">
        <v>47</v>
      </c>
      <c r="D563" t="s">
        <v>542</v>
      </c>
      <c r="E563" t="s">
        <v>115</v>
      </c>
      <c r="F563" t="s">
        <v>50</v>
      </c>
      <c r="G563" t="s">
        <v>116</v>
      </c>
      <c r="H563" s="17" t="s">
        <v>52</v>
      </c>
      <c r="I563" t="s">
        <v>53</v>
      </c>
      <c r="J563" t="s">
        <v>121</v>
      </c>
      <c r="K563">
        <v>1</v>
      </c>
      <c r="L563" t="s">
        <v>55</v>
      </c>
      <c r="M563" t="s">
        <v>56</v>
      </c>
      <c r="N563" t="s">
        <v>57</v>
      </c>
      <c r="O563" s="18" t="s">
        <v>58</v>
      </c>
      <c r="P563" s="18" t="s">
        <v>72</v>
      </c>
      <c r="Q563" s="17" t="s">
        <v>145</v>
      </c>
      <c r="R563" s="18" t="s">
        <v>411</v>
      </c>
      <c r="S563" s="32">
        <v>1</v>
      </c>
      <c r="T563" s="19">
        <v>1</v>
      </c>
      <c r="U563" s="17" t="s">
        <v>119</v>
      </c>
      <c r="V563" s="17">
        <v>45912</v>
      </c>
      <c r="W563" s="18">
        <v>9</v>
      </c>
      <c r="X563" s="17">
        <v>45926</v>
      </c>
      <c r="Y563" s="17">
        <v>45917</v>
      </c>
      <c r="Z563" s="45">
        <v>9</v>
      </c>
      <c r="AA563">
        <v>2025</v>
      </c>
      <c r="AB563" s="42">
        <v>732480</v>
      </c>
      <c r="AC563" s="42">
        <v>732480</v>
      </c>
    </row>
    <row r="564" spans="1:29">
      <c r="A564" t="s">
        <v>45</v>
      </c>
      <c r="B564" t="s">
        <v>46</v>
      </c>
      <c r="C564" t="s">
        <v>47</v>
      </c>
      <c r="D564" t="s">
        <v>542</v>
      </c>
      <c r="E564" t="s">
        <v>115</v>
      </c>
      <c r="F564" t="s">
        <v>63</v>
      </c>
      <c r="G564" t="s">
        <v>116</v>
      </c>
      <c r="H564" s="17" t="s">
        <v>52</v>
      </c>
      <c r="I564" t="s">
        <v>53</v>
      </c>
      <c r="J564" t="s">
        <v>121</v>
      </c>
      <c r="K564">
        <v>1</v>
      </c>
      <c r="L564" t="s">
        <v>55</v>
      </c>
      <c r="M564" t="s">
        <v>56</v>
      </c>
      <c r="N564" t="s">
        <v>57</v>
      </c>
      <c r="O564" s="18" t="s">
        <v>58</v>
      </c>
      <c r="P564" s="18" t="s">
        <v>72</v>
      </c>
      <c r="Q564" s="17" t="s">
        <v>122</v>
      </c>
      <c r="R564" s="18" t="s">
        <v>425</v>
      </c>
      <c r="S564" s="32">
        <v>10</v>
      </c>
      <c r="T564" s="19">
        <v>10</v>
      </c>
      <c r="U564" s="17" t="s">
        <v>119</v>
      </c>
      <c r="V564" s="17">
        <v>45912</v>
      </c>
      <c r="W564" s="18">
        <v>9</v>
      </c>
      <c r="X564" s="17">
        <v>45926</v>
      </c>
      <c r="Y564" s="17">
        <v>45917</v>
      </c>
      <c r="Z564" s="45">
        <v>9</v>
      </c>
      <c r="AA564">
        <v>2025</v>
      </c>
      <c r="AB564" s="42">
        <v>3513300</v>
      </c>
      <c r="AC564" s="42">
        <v>3513300</v>
      </c>
    </row>
    <row r="565" spans="1:29">
      <c r="A565" t="s">
        <v>45</v>
      </c>
      <c r="B565" t="s">
        <v>46</v>
      </c>
      <c r="C565" t="s">
        <v>47</v>
      </c>
      <c r="D565" t="s">
        <v>542</v>
      </c>
      <c r="E565" t="s">
        <v>115</v>
      </c>
      <c r="F565" t="s">
        <v>67</v>
      </c>
      <c r="G565" t="s">
        <v>116</v>
      </c>
      <c r="H565" s="17" t="s">
        <v>52</v>
      </c>
      <c r="I565" t="s">
        <v>53</v>
      </c>
      <c r="J565" t="s">
        <v>121</v>
      </c>
      <c r="K565">
        <v>1</v>
      </c>
      <c r="L565" t="s">
        <v>55</v>
      </c>
      <c r="M565" t="s">
        <v>56</v>
      </c>
      <c r="N565" t="s">
        <v>57</v>
      </c>
      <c r="O565" s="18" t="s">
        <v>58</v>
      </c>
      <c r="P565" s="18" t="s">
        <v>72</v>
      </c>
      <c r="Q565" s="17" t="s">
        <v>117</v>
      </c>
      <c r="R565" s="18" t="s">
        <v>393</v>
      </c>
      <c r="S565" s="32">
        <v>4</v>
      </c>
      <c r="T565" s="19">
        <v>4</v>
      </c>
      <c r="U565" s="17" t="s">
        <v>119</v>
      </c>
      <c r="V565" s="17">
        <v>45912</v>
      </c>
      <c r="W565" s="18">
        <v>9</v>
      </c>
      <c r="X565" s="17">
        <v>45926</v>
      </c>
      <c r="Y565" s="17">
        <v>45917</v>
      </c>
      <c r="Z565" s="45">
        <v>9</v>
      </c>
      <c r="AA565">
        <v>2025</v>
      </c>
      <c r="AB565" s="42">
        <v>1406000</v>
      </c>
      <c r="AC565" s="42">
        <v>1406000</v>
      </c>
    </row>
    <row r="566" spans="1:29">
      <c r="A566" t="s">
        <v>45</v>
      </c>
      <c r="B566" t="s">
        <v>46</v>
      </c>
      <c r="C566" t="s">
        <v>47</v>
      </c>
      <c r="D566" t="s">
        <v>543</v>
      </c>
      <c r="E566" t="s">
        <v>115</v>
      </c>
      <c r="F566" t="s">
        <v>50</v>
      </c>
      <c r="G566" t="s">
        <v>116</v>
      </c>
      <c r="H566" s="17" t="s">
        <v>52</v>
      </c>
      <c r="I566" t="s">
        <v>53</v>
      </c>
      <c r="J566" t="s">
        <v>125</v>
      </c>
      <c r="K566">
        <v>1</v>
      </c>
      <c r="L566" t="s">
        <v>55</v>
      </c>
      <c r="M566" t="s">
        <v>56</v>
      </c>
      <c r="N566" t="s">
        <v>57</v>
      </c>
      <c r="O566" s="18" t="s">
        <v>58</v>
      </c>
      <c r="P566" s="18" t="s">
        <v>72</v>
      </c>
      <c r="Q566" s="17" t="s">
        <v>122</v>
      </c>
      <c r="R566" s="18" t="s">
        <v>425</v>
      </c>
      <c r="S566" s="32">
        <v>4</v>
      </c>
      <c r="T566" s="19">
        <v>4</v>
      </c>
      <c r="U566" s="17" t="s">
        <v>119</v>
      </c>
      <c r="V566" s="17">
        <v>45912</v>
      </c>
      <c r="W566" s="18">
        <v>9</v>
      </c>
      <c r="X566" s="17">
        <v>45926</v>
      </c>
      <c r="Y566" s="17">
        <v>45924</v>
      </c>
      <c r="Z566" s="45">
        <v>9</v>
      </c>
      <c r="AA566">
        <v>2025</v>
      </c>
      <c r="AB566" s="42">
        <v>1405320</v>
      </c>
      <c r="AC566" s="42">
        <v>1405320</v>
      </c>
    </row>
    <row r="567" spans="1:29">
      <c r="A567" t="s">
        <v>45</v>
      </c>
      <c r="B567" t="s">
        <v>46</v>
      </c>
      <c r="C567" t="s">
        <v>47</v>
      </c>
      <c r="D567" t="s">
        <v>544</v>
      </c>
      <c r="E567" t="s">
        <v>49</v>
      </c>
      <c r="F567" t="s">
        <v>50</v>
      </c>
      <c r="G567" t="s">
        <v>51</v>
      </c>
      <c r="H567" s="17" t="s">
        <v>52</v>
      </c>
      <c r="I567" t="s">
        <v>53</v>
      </c>
      <c r="J567" t="s">
        <v>420</v>
      </c>
      <c r="K567">
        <v>1</v>
      </c>
      <c r="L567" t="s">
        <v>55</v>
      </c>
      <c r="M567" t="s">
        <v>56</v>
      </c>
      <c r="N567" t="s">
        <v>57</v>
      </c>
      <c r="O567" s="18" t="s">
        <v>58</v>
      </c>
      <c r="P567" s="18" t="s">
        <v>72</v>
      </c>
      <c r="Q567" s="17" t="s">
        <v>151</v>
      </c>
      <c r="R567" s="18" t="s">
        <v>152</v>
      </c>
      <c r="S567" s="32">
        <v>10</v>
      </c>
      <c r="T567" s="19">
        <v>10</v>
      </c>
      <c r="U567" s="17" t="s">
        <v>62</v>
      </c>
      <c r="V567" s="17">
        <v>45902</v>
      </c>
      <c r="W567" s="18">
        <v>9</v>
      </c>
      <c r="X567" s="17">
        <v>45902</v>
      </c>
      <c r="Y567" s="17">
        <v>45923</v>
      </c>
      <c r="Z567" s="45">
        <v>9</v>
      </c>
      <c r="AA567">
        <v>2025</v>
      </c>
      <c r="AB567" s="42">
        <v>286210</v>
      </c>
      <c r="AC567" s="42">
        <v>286210</v>
      </c>
    </row>
    <row r="568" spans="1:29">
      <c r="A568" t="s">
        <v>45</v>
      </c>
      <c r="B568" t="s">
        <v>46</v>
      </c>
      <c r="C568" t="s">
        <v>47</v>
      </c>
      <c r="D568" t="s">
        <v>544</v>
      </c>
      <c r="E568" t="s">
        <v>49</v>
      </c>
      <c r="F568" t="s">
        <v>63</v>
      </c>
      <c r="G568" t="s">
        <v>51</v>
      </c>
      <c r="H568" s="17" t="s">
        <v>52</v>
      </c>
      <c r="I568" t="s">
        <v>53</v>
      </c>
      <c r="J568" t="s">
        <v>420</v>
      </c>
      <c r="K568">
        <v>1</v>
      </c>
      <c r="L568" t="s">
        <v>55</v>
      </c>
      <c r="M568" t="s">
        <v>56</v>
      </c>
      <c r="N568" t="s">
        <v>57</v>
      </c>
      <c r="O568" s="18" t="s">
        <v>58</v>
      </c>
      <c r="P568" s="18" t="s">
        <v>72</v>
      </c>
      <c r="Q568" s="17" t="s">
        <v>545</v>
      </c>
      <c r="R568" s="18" t="s">
        <v>546</v>
      </c>
      <c r="S568" s="32">
        <v>144</v>
      </c>
      <c r="T568" s="19">
        <v>144</v>
      </c>
      <c r="U568" s="17" t="s">
        <v>62</v>
      </c>
      <c r="V568" s="17">
        <v>45902</v>
      </c>
      <c r="W568" s="18">
        <v>9</v>
      </c>
      <c r="X568" s="17">
        <v>45902</v>
      </c>
      <c r="Y568" s="17">
        <v>45923</v>
      </c>
      <c r="Z568" s="45">
        <v>9</v>
      </c>
      <c r="AA568">
        <v>2025</v>
      </c>
      <c r="AB568" s="42">
        <v>1732608</v>
      </c>
      <c r="AC568" s="42">
        <v>1732608</v>
      </c>
    </row>
    <row r="569" spans="1:29">
      <c r="A569" t="s">
        <v>45</v>
      </c>
      <c r="B569" t="s">
        <v>46</v>
      </c>
      <c r="C569" t="s">
        <v>47</v>
      </c>
      <c r="D569" t="s">
        <v>544</v>
      </c>
      <c r="E569" t="s">
        <v>49</v>
      </c>
      <c r="F569" t="s">
        <v>67</v>
      </c>
      <c r="G569" t="s">
        <v>51</v>
      </c>
      <c r="H569" s="17" t="s">
        <v>52</v>
      </c>
      <c r="I569" t="s">
        <v>53</v>
      </c>
      <c r="J569" t="s">
        <v>420</v>
      </c>
      <c r="K569">
        <v>1</v>
      </c>
      <c r="L569" t="s">
        <v>55</v>
      </c>
      <c r="M569" t="s">
        <v>56</v>
      </c>
      <c r="N569" t="s">
        <v>57</v>
      </c>
      <c r="O569" s="18" t="s">
        <v>58</v>
      </c>
      <c r="P569" s="18" t="s">
        <v>99</v>
      </c>
      <c r="Q569" s="17" t="s">
        <v>100</v>
      </c>
      <c r="R569" s="18" t="s">
        <v>101</v>
      </c>
      <c r="S569" s="32">
        <v>154</v>
      </c>
      <c r="T569" s="19">
        <v>154</v>
      </c>
      <c r="U569" s="17" t="s">
        <v>62</v>
      </c>
      <c r="V569" s="17">
        <v>45902</v>
      </c>
      <c r="W569" s="18">
        <v>9</v>
      </c>
      <c r="X569" s="17">
        <v>45902</v>
      </c>
      <c r="Y569" s="17">
        <v>45923</v>
      </c>
      <c r="Z569" s="45">
        <v>9</v>
      </c>
      <c r="AA569">
        <v>2025</v>
      </c>
      <c r="AB569" s="42">
        <v>112574</v>
      </c>
      <c r="AC569" s="42">
        <v>112574</v>
      </c>
    </row>
    <row r="570" spans="1:29">
      <c r="A570" t="s">
        <v>45</v>
      </c>
      <c r="B570" t="s">
        <v>46</v>
      </c>
      <c r="C570" t="s">
        <v>47</v>
      </c>
      <c r="D570" t="s">
        <v>547</v>
      </c>
      <c r="E570" t="s">
        <v>49</v>
      </c>
      <c r="F570" t="s">
        <v>50</v>
      </c>
      <c r="G570" t="s">
        <v>51</v>
      </c>
      <c r="H570" s="17" t="s">
        <v>52</v>
      </c>
      <c r="I570" t="s">
        <v>53</v>
      </c>
      <c r="J570" t="s">
        <v>136</v>
      </c>
      <c r="K570">
        <v>1</v>
      </c>
      <c r="L570" t="s">
        <v>55</v>
      </c>
      <c r="M570" t="s">
        <v>56</v>
      </c>
      <c r="N570" t="s">
        <v>57</v>
      </c>
      <c r="O570" s="18" t="s">
        <v>58</v>
      </c>
      <c r="P570" s="18" t="s">
        <v>72</v>
      </c>
      <c r="Q570" s="17" t="s">
        <v>151</v>
      </c>
      <c r="R570" s="18" t="s">
        <v>152</v>
      </c>
      <c r="S570" s="32">
        <v>5</v>
      </c>
      <c r="T570" s="19">
        <v>5</v>
      </c>
      <c r="U570" s="17" t="s">
        <v>62</v>
      </c>
      <c r="V570" s="17">
        <v>45901</v>
      </c>
      <c r="W570" s="18">
        <v>9</v>
      </c>
      <c r="X570" s="17">
        <v>45901</v>
      </c>
      <c r="Y570" s="17">
        <v>45911</v>
      </c>
      <c r="Z570" s="45">
        <v>9</v>
      </c>
      <c r="AA570">
        <v>2025</v>
      </c>
      <c r="AB570" s="42">
        <v>153820</v>
      </c>
      <c r="AC570" s="42">
        <v>153820</v>
      </c>
    </row>
    <row r="571" spans="1:29">
      <c r="A571" t="s">
        <v>45</v>
      </c>
      <c r="B571" t="s">
        <v>46</v>
      </c>
      <c r="C571" t="s">
        <v>47</v>
      </c>
      <c r="D571" t="s">
        <v>547</v>
      </c>
      <c r="E571" t="s">
        <v>49</v>
      </c>
      <c r="F571" t="s">
        <v>63</v>
      </c>
      <c r="G571" t="s">
        <v>51</v>
      </c>
      <c r="H571" s="17" t="s">
        <v>52</v>
      </c>
      <c r="I571" t="s">
        <v>53</v>
      </c>
      <c r="J571" t="s">
        <v>136</v>
      </c>
      <c r="K571">
        <v>1</v>
      </c>
      <c r="L571" t="s">
        <v>55</v>
      </c>
      <c r="M571" t="s">
        <v>56</v>
      </c>
      <c r="N571" t="s">
        <v>57</v>
      </c>
      <c r="O571" s="18" t="s">
        <v>58</v>
      </c>
      <c r="P571" s="18" t="s">
        <v>99</v>
      </c>
      <c r="Q571" s="17" t="s">
        <v>100</v>
      </c>
      <c r="R571" s="18" t="s">
        <v>101</v>
      </c>
      <c r="S571" s="32">
        <v>1</v>
      </c>
      <c r="T571" s="19">
        <v>1</v>
      </c>
      <c r="U571" s="17" t="s">
        <v>62</v>
      </c>
      <c r="V571" s="17">
        <v>45901</v>
      </c>
      <c r="W571" s="18">
        <v>9</v>
      </c>
      <c r="X571" s="17">
        <v>45901</v>
      </c>
      <c r="Y571" s="17">
        <v>45911</v>
      </c>
      <c r="Z571" s="45">
        <v>9</v>
      </c>
      <c r="AA571">
        <v>2025</v>
      </c>
      <c r="AB571" s="42">
        <v>58000</v>
      </c>
      <c r="AC571" s="42">
        <v>58000</v>
      </c>
    </row>
    <row r="572" spans="1:29">
      <c r="A572" t="s">
        <v>45</v>
      </c>
      <c r="B572" t="s">
        <v>46</v>
      </c>
      <c r="C572" t="s">
        <v>47</v>
      </c>
      <c r="D572" t="s">
        <v>548</v>
      </c>
      <c r="E572" t="s">
        <v>49</v>
      </c>
      <c r="F572" t="s">
        <v>50</v>
      </c>
      <c r="G572" t="s">
        <v>51</v>
      </c>
      <c r="H572" s="17" t="s">
        <v>52</v>
      </c>
      <c r="I572" t="s">
        <v>53</v>
      </c>
      <c r="J572" t="s">
        <v>167</v>
      </c>
      <c r="K572">
        <v>1</v>
      </c>
      <c r="L572" t="s">
        <v>55</v>
      </c>
      <c r="M572" t="s">
        <v>56</v>
      </c>
      <c r="N572" t="s">
        <v>57</v>
      </c>
      <c r="O572" s="18" t="s">
        <v>58</v>
      </c>
      <c r="P572" s="18" t="s">
        <v>549</v>
      </c>
      <c r="Q572" s="17" t="s">
        <v>550</v>
      </c>
      <c r="R572" s="18" t="s">
        <v>551</v>
      </c>
      <c r="S572" s="32">
        <v>182</v>
      </c>
      <c r="T572" s="19">
        <v>182</v>
      </c>
      <c r="U572" s="17" t="s">
        <v>62</v>
      </c>
      <c r="V572" s="17">
        <v>45903</v>
      </c>
      <c r="W572" s="18">
        <v>9</v>
      </c>
      <c r="X572" s="17">
        <v>45903</v>
      </c>
      <c r="Y572" s="17">
        <v>45911</v>
      </c>
      <c r="Z572" s="45">
        <v>9</v>
      </c>
      <c r="AA572">
        <v>2025</v>
      </c>
      <c r="AB572" s="42">
        <v>5154240</v>
      </c>
      <c r="AC572" s="42">
        <v>5154240</v>
      </c>
    </row>
    <row r="573" spans="1:29">
      <c r="A573" t="s">
        <v>45</v>
      </c>
      <c r="B573" t="s">
        <v>46</v>
      </c>
      <c r="C573" t="s">
        <v>47</v>
      </c>
      <c r="D573" t="s">
        <v>552</v>
      </c>
      <c r="E573" t="s">
        <v>49</v>
      </c>
      <c r="F573" t="s">
        <v>50</v>
      </c>
      <c r="G573" t="s">
        <v>51</v>
      </c>
      <c r="H573" s="17" t="s">
        <v>52</v>
      </c>
      <c r="I573" t="s">
        <v>53</v>
      </c>
      <c r="J573" t="s">
        <v>54</v>
      </c>
      <c r="K573">
        <v>1</v>
      </c>
      <c r="L573" t="s">
        <v>55</v>
      </c>
      <c r="M573" t="s">
        <v>56</v>
      </c>
      <c r="N573" t="s">
        <v>57</v>
      </c>
      <c r="O573" s="18" t="s">
        <v>58</v>
      </c>
      <c r="P573" s="18" t="s">
        <v>72</v>
      </c>
      <c r="Q573" s="17" t="s">
        <v>122</v>
      </c>
      <c r="R573" s="18" t="s">
        <v>425</v>
      </c>
      <c r="S573" s="32">
        <v>220</v>
      </c>
      <c r="T573" s="19">
        <v>220</v>
      </c>
      <c r="U573" s="17" t="s">
        <v>62</v>
      </c>
      <c r="V573" s="17">
        <v>45903</v>
      </c>
      <c r="W573" s="18">
        <v>9</v>
      </c>
      <c r="X573" s="17">
        <v>45904</v>
      </c>
      <c r="Y573" s="17">
        <v>45911</v>
      </c>
      <c r="Z573" s="45">
        <v>9</v>
      </c>
      <c r="AA573">
        <v>2025</v>
      </c>
      <c r="AB573" s="42">
        <v>827200</v>
      </c>
      <c r="AC573" s="42">
        <v>827200</v>
      </c>
    </row>
    <row r="574" spans="1:29">
      <c r="A574" t="s">
        <v>45</v>
      </c>
      <c r="B574" t="s">
        <v>46</v>
      </c>
      <c r="C574" t="s">
        <v>47</v>
      </c>
      <c r="D574" t="s">
        <v>553</v>
      </c>
      <c r="E574" t="s">
        <v>49</v>
      </c>
      <c r="F574" t="s">
        <v>50</v>
      </c>
      <c r="G574" t="s">
        <v>51</v>
      </c>
      <c r="H574" s="17" t="s">
        <v>52</v>
      </c>
      <c r="I574" t="s">
        <v>53</v>
      </c>
      <c r="J574" t="s">
        <v>167</v>
      </c>
      <c r="K574">
        <v>1</v>
      </c>
      <c r="L574" t="s">
        <v>55</v>
      </c>
      <c r="M574" t="s">
        <v>56</v>
      </c>
      <c r="N574" t="s">
        <v>57</v>
      </c>
      <c r="O574" s="18" t="s">
        <v>58</v>
      </c>
      <c r="P574" s="18" t="s">
        <v>68</v>
      </c>
      <c r="Q574" s="17" t="s">
        <v>417</v>
      </c>
      <c r="R574" s="18" t="s">
        <v>418</v>
      </c>
      <c r="S574" s="32">
        <v>72</v>
      </c>
      <c r="T574" s="19">
        <v>72</v>
      </c>
      <c r="U574" s="17" t="s">
        <v>227</v>
      </c>
      <c r="V574" s="17">
        <v>45903</v>
      </c>
      <c r="W574" s="18">
        <v>9</v>
      </c>
      <c r="X574" s="17">
        <v>45903</v>
      </c>
      <c r="Y574" s="17">
        <v>45925</v>
      </c>
      <c r="Z574" s="45">
        <v>9</v>
      </c>
      <c r="AA574">
        <v>2025</v>
      </c>
      <c r="AB574" s="42">
        <v>586008</v>
      </c>
      <c r="AC574" s="42">
        <v>586008</v>
      </c>
    </row>
    <row r="575" spans="1:29">
      <c r="A575" t="s">
        <v>45</v>
      </c>
      <c r="B575" t="s">
        <v>46</v>
      </c>
      <c r="C575" t="s">
        <v>47</v>
      </c>
      <c r="D575" t="s">
        <v>554</v>
      </c>
      <c r="E575" t="s">
        <v>49</v>
      </c>
      <c r="F575" t="s">
        <v>50</v>
      </c>
      <c r="G575" t="s">
        <v>51</v>
      </c>
      <c r="H575" s="17" t="s">
        <v>58</v>
      </c>
      <c r="I575" t="s">
        <v>53</v>
      </c>
      <c r="J575" t="s">
        <v>434</v>
      </c>
      <c r="K575">
        <v>1</v>
      </c>
      <c r="L575" t="s">
        <v>55</v>
      </c>
      <c r="M575" t="s">
        <v>84</v>
      </c>
      <c r="N575" t="s">
        <v>85</v>
      </c>
      <c r="O575" s="18" t="s">
        <v>58</v>
      </c>
      <c r="P575" s="18" t="s">
        <v>94</v>
      </c>
      <c r="Q575" s="17" t="s">
        <v>441</v>
      </c>
      <c r="R575" s="18" t="s">
        <v>442</v>
      </c>
      <c r="S575" s="32">
        <v>50</v>
      </c>
      <c r="T575" s="19">
        <v>0</v>
      </c>
      <c r="U575" s="17" t="s">
        <v>62</v>
      </c>
      <c r="V575" s="17">
        <v>45903</v>
      </c>
      <c r="W575" s="18">
        <v>9</v>
      </c>
      <c r="X575" s="17">
        <v>45903</v>
      </c>
      <c r="Z575" s="45">
        <v>9</v>
      </c>
      <c r="AA575">
        <v>2025</v>
      </c>
      <c r="AB575" s="42">
        <v>563950</v>
      </c>
      <c r="AC575" s="42">
        <v>0</v>
      </c>
    </row>
    <row r="576" spans="1:29">
      <c r="A576" t="s">
        <v>45</v>
      </c>
      <c r="B576" t="s">
        <v>46</v>
      </c>
      <c r="C576" t="s">
        <v>47</v>
      </c>
      <c r="D576" t="s">
        <v>554</v>
      </c>
      <c r="E576" t="s">
        <v>49</v>
      </c>
      <c r="F576" t="s">
        <v>63</v>
      </c>
      <c r="G576" t="s">
        <v>51</v>
      </c>
      <c r="H576" s="17" t="s">
        <v>58</v>
      </c>
      <c r="I576" t="s">
        <v>53</v>
      </c>
      <c r="J576" t="s">
        <v>434</v>
      </c>
      <c r="K576">
        <v>1</v>
      </c>
      <c r="L576" t="s">
        <v>55</v>
      </c>
      <c r="M576" t="s">
        <v>84</v>
      </c>
      <c r="N576" t="s">
        <v>85</v>
      </c>
      <c r="O576" s="18" t="s">
        <v>58</v>
      </c>
      <c r="P576" s="18" t="s">
        <v>94</v>
      </c>
      <c r="Q576" s="17" t="s">
        <v>95</v>
      </c>
      <c r="R576" s="18" t="s">
        <v>96</v>
      </c>
      <c r="S576" s="32">
        <v>50</v>
      </c>
      <c r="T576" s="19">
        <v>0</v>
      </c>
      <c r="U576" s="17" t="s">
        <v>62</v>
      </c>
      <c r="V576" s="17">
        <v>45903</v>
      </c>
      <c r="W576" s="18">
        <v>9</v>
      </c>
      <c r="X576" s="17">
        <v>45903</v>
      </c>
      <c r="Z576" s="45">
        <v>9</v>
      </c>
      <c r="AA576">
        <v>2025</v>
      </c>
      <c r="AB576" s="42">
        <v>867350</v>
      </c>
      <c r="AC576" s="42">
        <v>0</v>
      </c>
    </row>
    <row r="577" spans="1:29">
      <c r="A577" t="s">
        <v>45</v>
      </c>
      <c r="B577" t="s">
        <v>46</v>
      </c>
      <c r="C577" t="s">
        <v>47</v>
      </c>
      <c r="D577" t="s">
        <v>555</v>
      </c>
      <c r="E577" t="s">
        <v>49</v>
      </c>
      <c r="F577" t="s">
        <v>50</v>
      </c>
      <c r="G577" t="s">
        <v>51</v>
      </c>
      <c r="H577" s="17" t="s">
        <v>52</v>
      </c>
      <c r="I577" t="s">
        <v>53</v>
      </c>
      <c r="J577" t="s">
        <v>54</v>
      </c>
      <c r="K577">
        <v>1</v>
      </c>
      <c r="L577" t="s">
        <v>55</v>
      </c>
      <c r="M577" t="s">
        <v>56</v>
      </c>
      <c r="N577" t="s">
        <v>57</v>
      </c>
      <c r="O577" s="18" t="s">
        <v>58</v>
      </c>
      <c r="P577" s="18" t="s">
        <v>86</v>
      </c>
      <c r="Q577" s="17" t="s">
        <v>379</v>
      </c>
      <c r="R577" s="18" t="s">
        <v>380</v>
      </c>
      <c r="S577" s="32">
        <v>90</v>
      </c>
      <c r="T577" s="19">
        <v>90</v>
      </c>
      <c r="U577" s="17" t="s">
        <v>62</v>
      </c>
      <c r="V577" s="17">
        <v>45903</v>
      </c>
      <c r="W577" s="18">
        <v>9</v>
      </c>
      <c r="X577" s="17">
        <v>45904</v>
      </c>
      <c r="Y577" s="17">
        <v>45904</v>
      </c>
      <c r="Z577" s="45">
        <v>9</v>
      </c>
      <c r="AA577">
        <v>2025</v>
      </c>
      <c r="AB577" s="42">
        <v>6055920</v>
      </c>
      <c r="AC577" s="42">
        <v>6055920</v>
      </c>
    </row>
    <row r="578" spans="1:29">
      <c r="A578" t="s">
        <v>45</v>
      </c>
      <c r="B578" t="s">
        <v>46</v>
      </c>
      <c r="C578" t="s">
        <v>47</v>
      </c>
      <c r="D578" t="s">
        <v>555</v>
      </c>
      <c r="E578" t="s">
        <v>49</v>
      </c>
      <c r="F578" t="s">
        <v>63</v>
      </c>
      <c r="G578" t="s">
        <v>51</v>
      </c>
      <c r="H578" s="17" t="s">
        <v>52</v>
      </c>
      <c r="I578" t="s">
        <v>53</v>
      </c>
      <c r="J578" t="s">
        <v>54</v>
      </c>
      <c r="K578">
        <v>1</v>
      </c>
      <c r="L578" t="s">
        <v>55</v>
      </c>
      <c r="M578" t="s">
        <v>56</v>
      </c>
      <c r="N578" t="s">
        <v>57</v>
      </c>
      <c r="O578" s="18" t="s">
        <v>58</v>
      </c>
      <c r="P578" s="18" t="s">
        <v>99</v>
      </c>
      <c r="Q578" s="17" t="s">
        <v>100</v>
      </c>
      <c r="R578" s="18" t="s">
        <v>101</v>
      </c>
      <c r="S578" s="32">
        <v>90</v>
      </c>
      <c r="T578" s="19">
        <v>90</v>
      </c>
      <c r="U578" s="17" t="s">
        <v>62</v>
      </c>
      <c r="V578" s="17">
        <v>45903</v>
      </c>
      <c r="W578" s="18">
        <v>9</v>
      </c>
      <c r="X578" s="17">
        <v>45904</v>
      </c>
      <c r="Y578" s="17">
        <v>45904</v>
      </c>
      <c r="Z578" s="45">
        <v>9</v>
      </c>
      <c r="AA578">
        <v>2025</v>
      </c>
      <c r="AB578" s="42">
        <v>27360</v>
      </c>
      <c r="AC578" s="42">
        <v>27360</v>
      </c>
    </row>
    <row r="579" spans="1:29">
      <c r="A579" t="s">
        <v>45</v>
      </c>
      <c r="B579" t="s">
        <v>46</v>
      </c>
      <c r="C579" t="s">
        <v>47</v>
      </c>
      <c r="D579" t="s">
        <v>556</v>
      </c>
      <c r="E579" t="s">
        <v>49</v>
      </c>
      <c r="F579" t="s">
        <v>50</v>
      </c>
      <c r="G579" t="s">
        <v>51</v>
      </c>
      <c r="H579" s="17" t="s">
        <v>52</v>
      </c>
      <c r="I579" t="s">
        <v>53</v>
      </c>
      <c r="J579" t="s">
        <v>434</v>
      </c>
      <c r="K579">
        <v>1</v>
      </c>
      <c r="L579" t="s">
        <v>55</v>
      </c>
      <c r="M579" t="s">
        <v>84</v>
      </c>
      <c r="N579" t="s">
        <v>85</v>
      </c>
      <c r="O579" s="18" t="s">
        <v>58</v>
      </c>
      <c r="P579" s="18" t="s">
        <v>94</v>
      </c>
      <c r="Q579" s="17" t="s">
        <v>441</v>
      </c>
      <c r="R579" s="18" t="s">
        <v>442</v>
      </c>
      <c r="S579" s="32">
        <v>50</v>
      </c>
      <c r="T579" s="19">
        <v>50</v>
      </c>
      <c r="U579" s="17" t="s">
        <v>62</v>
      </c>
      <c r="V579" s="17">
        <v>45904</v>
      </c>
      <c r="W579" s="18">
        <v>9</v>
      </c>
      <c r="X579" s="17">
        <v>45905</v>
      </c>
      <c r="Y579" s="17">
        <v>45911</v>
      </c>
      <c r="Z579" s="45">
        <v>9</v>
      </c>
      <c r="AA579">
        <v>2025</v>
      </c>
      <c r="AB579" s="42">
        <v>563950</v>
      </c>
      <c r="AC579" s="42">
        <v>563950</v>
      </c>
    </row>
    <row r="580" spans="1:29">
      <c r="A580" t="s">
        <v>45</v>
      </c>
      <c r="B580" t="s">
        <v>46</v>
      </c>
      <c r="C580" t="s">
        <v>47</v>
      </c>
      <c r="D580" t="s">
        <v>556</v>
      </c>
      <c r="E580" t="s">
        <v>49</v>
      </c>
      <c r="F580" t="s">
        <v>63</v>
      </c>
      <c r="G580" t="s">
        <v>51</v>
      </c>
      <c r="H580" s="17" t="s">
        <v>52</v>
      </c>
      <c r="I580" t="s">
        <v>53</v>
      </c>
      <c r="J580" t="s">
        <v>434</v>
      </c>
      <c r="K580">
        <v>1</v>
      </c>
      <c r="L580" t="s">
        <v>55</v>
      </c>
      <c r="M580" t="s">
        <v>84</v>
      </c>
      <c r="N580" t="s">
        <v>85</v>
      </c>
      <c r="O580" s="18" t="s">
        <v>58</v>
      </c>
      <c r="P580" s="18" t="s">
        <v>94</v>
      </c>
      <c r="Q580" s="17" t="s">
        <v>95</v>
      </c>
      <c r="R580" s="18" t="s">
        <v>96</v>
      </c>
      <c r="S580" s="32">
        <v>50</v>
      </c>
      <c r="T580" s="19">
        <v>50</v>
      </c>
      <c r="U580" s="17" t="s">
        <v>62</v>
      </c>
      <c r="V580" s="17">
        <v>45904</v>
      </c>
      <c r="W580" s="18">
        <v>9</v>
      </c>
      <c r="X580" s="17">
        <v>45905</v>
      </c>
      <c r="Y580" s="17">
        <v>45911</v>
      </c>
      <c r="Z580" s="45">
        <v>9</v>
      </c>
      <c r="AA580">
        <v>2025</v>
      </c>
      <c r="AB580" s="42">
        <v>867350</v>
      </c>
      <c r="AC580" s="42">
        <v>867350</v>
      </c>
    </row>
    <row r="581" spans="1:29">
      <c r="A581" t="s">
        <v>45</v>
      </c>
      <c r="B581" t="s">
        <v>46</v>
      </c>
      <c r="C581" t="s">
        <v>47</v>
      </c>
      <c r="D581" t="s">
        <v>557</v>
      </c>
      <c r="E581" t="s">
        <v>49</v>
      </c>
      <c r="F581" t="s">
        <v>50</v>
      </c>
      <c r="G581" t="s">
        <v>51</v>
      </c>
      <c r="H581" s="17" t="s">
        <v>58</v>
      </c>
      <c r="I581" t="s">
        <v>53</v>
      </c>
      <c r="J581" t="s">
        <v>54</v>
      </c>
      <c r="K581">
        <v>1</v>
      </c>
      <c r="L581" t="s">
        <v>55</v>
      </c>
      <c r="M581" t="s">
        <v>56</v>
      </c>
      <c r="N581" t="s">
        <v>57</v>
      </c>
      <c r="O581" s="18" t="s">
        <v>58</v>
      </c>
      <c r="P581" s="18" t="s">
        <v>86</v>
      </c>
      <c r="Q581" s="17" t="s">
        <v>379</v>
      </c>
      <c r="R581" s="18" t="s">
        <v>380</v>
      </c>
      <c r="S581" s="32">
        <v>101</v>
      </c>
      <c r="T581" s="19">
        <v>0</v>
      </c>
      <c r="U581" s="17" t="s">
        <v>62</v>
      </c>
      <c r="V581" s="17">
        <v>45905</v>
      </c>
      <c r="W581" s="18">
        <v>9</v>
      </c>
      <c r="X581" s="17">
        <v>45905</v>
      </c>
      <c r="Z581" s="45">
        <v>9</v>
      </c>
      <c r="AA581">
        <v>2025</v>
      </c>
      <c r="AB581" s="42">
        <v>6796088</v>
      </c>
      <c r="AC581" s="42">
        <v>0</v>
      </c>
    </row>
    <row r="582" spans="1:29">
      <c r="A582" t="s">
        <v>45</v>
      </c>
      <c r="B582" t="s">
        <v>46</v>
      </c>
      <c r="C582" t="s">
        <v>47</v>
      </c>
      <c r="D582" t="s">
        <v>557</v>
      </c>
      <c r="E582" t="s">
        <v>49</v>
      </c>
      <c r="F582" t="s">
        <v>63</v>
      </c>
      <c r="G582" t="s">
        <v>51</v>
      </c>
      <c r="H582" s="17" t="s">
        <v>58</v>
      </c>
      <c r="I582" t="s">
        <v>53</v>
      </c>
      <c r="J582" t="s">
        <v>54</v>
      </c>
      <c r="K582">
        <v>1</v>
      </c>
      <c r="L582" t="s">
        <v>55</v>
      </c>
      <c r="M582" t="s">
        <v>56</v>
      </c>
      <c r="N582" t="s">
        <v>57</v>
      </c>
      <c r="O582" s="18" t="s">
        <v>58</v>
      </c>
      <c r="P582" s="18" t="s">
        <v>99</v>
      </c>
      <c r="Q582" s="17" t="s">
        <v>100</v>
      </c>
      <c r="R582" s="18" t="s">
        <v>101</v>
      </c>
      <c r="S582" s="32">
        <v>101</v>
      </c>
      <c r="T582" s="19">
        <v>0</v>
      </c>
      <c r="U582" s="17" t="s">
        <v>62</v>
      </c>
      <c r="V582" s="17">
        <v>45905</v>
      </c>
      <c r="W582" s="18">
        <v>9</v>
      </c>
      <c r="X582" s="17">
        <v>45905</v>
      </c>
      <c r="Z582" s="45">
        <v>9</v>
      </c>
      <c r="AA582">
        <v>2025</v>
      </c>
      <c r="AB582" s="42">
        <v>30704</v>
      </c>
      <c r="AC582" s="42">
        <v>0</v>
      </c>
    </row>
    <row r="583" spans="1:29">
      <c r="A583" t="s">
        <v>45</v>
      </c>
      <c r="B583" t="s">
        <v>46</v>
      </c>
      <c r="C583" t="s">
        <v>47</v>
      </c>
      <c r="D583" t="s">
        <v>558</v>
      </c>
      <c r="E583" t="s">
        <v>49</v>
      </c>
      <c r="F583" t="s">
        <v>50</v>
      </c>
      <c r="G583" t="s">
        <v>51</v>
      </c>
      <c r="H583" s="17" t="s">
        <v>52</v>
      </c>
      <c r="I583" t="s">
        <v>53</v>
      </c>
      <c r="J583" t="s">
        <v>224</v>
      </c>
      <c r="K583">
        <v>1</v>
      </c>
      <c r="L583" t="s">
        <v>55</v>
      </c>
      <c r="M583" t="s">
        <v>56</v>
      </c>
      <c r="N583" t="s">
        <v>57</v>
      </c>
      <c r="O583" s="18" t="s">
        <v>58</v>
      </c>
      <c r="P583" s="18" t="s">
        <v>72</v>
      </c>
      <c r="Q583" s="17" t="s">
        <v>221</v>
      </c>
      <c r="R583" s="18" t="s">
        <v>222</v>
      </c>
      <c r="S583" s="32">
        <v>300</v>
      </c>
      <c r="T583" s="19">
        <v>300</v>
      </c>
      <c r="U583" s="17" t="s">
        <v>62</v>
      </c>
      <c r="V583" s="17">
        <v>45904</v>
      </c>
      <c r="W583" s="18">
        <v>9</v>
      </c>
      <c r="X583" s="17">
        <v>45905</v>
      </c>
      <c r="Y583" s="17">
        <v>45912</v>
      </c>
      <c r="Z583" s="45">
        <v>9</v>
      </c>
      <c r="AA583">
        <v>2025</v>
      </c>
      <c r="AB583" s="42">
        <v>2692500</v>
      </c>
      <c r="AC583" s="42">
        <v>2692500</v>
      </c>
    </row>
    <row r="584" spans="1:29">
      <c r="A584" t="s">
        <v>45</v>
      </c>
      <c r="B584" t="s">
        <v>46</v>
      </c>
      <c r="C584" t="s">
        <v>47</v>
      </c>
      <c r="D584" t="s">
        <v>558</v>
      </c>
      <c r="E584" t="s">
        <v>49</v>
      </c>
      <c r="F584" t="s">
        <v>63</v>
      </c>
      <c r="G584" t="s">
        <v>51</v>
      </c>
      <c r="H584" s="17" t="s">
        <v>52</v>
      </c>
      <c r="I584" t="s">
        <v>53</v>
      </c>
      <c r="J584" t="s">
        <v>224</v>
      </c>
      <c r="K584">
        <v>1</v>
      </c>
      <c r="L584" t="s">
        <v>55</v>
      </c>
      <c r="M584" t="s">
        <v>56</v>
      </c>
      <c r="N584" t="s">
        <v>57</v>
      </c>
      <c r="O584" s="18" t="s">
        <v>58</v>
      </c>
      <c r="P584" s="18" t="s">
        <v>99</v>
      </c>
      <c r="Q584" s="17" t="s">
        <v>100</v>
      </c>
      <c r="R584" s="18" t="s">
        <v>101</v>
      </c>
      <c r="S584" s="32">
        <v>300</v>
      </c>
      <c r="T584" s="19">
        <v>300</v>
      </c>
      <c r="U584" s="17" t="s">
        <v>62</v>
      </c>
      <c r="V584" s="17">
        <v>45904</v>
      </c>
      <c r="W584" s="18">
        <v>9</v>
      </c>
      <c r="X584" s="17">
        <v>45905</v>
      </c>
      <c r="Y584" s="17">
        <v>45912</v>
      </c>
      <c r="Z584" s="45">
        <v>9</v>
      </c>
      <c r="AA584">
        <v>2025</v>
      </c>
      <c r="AB584" s="42">
        <v>51900</v>
      </c>
      <c r="AC584" s="42">
        <v>51900</v>
      </c>
    </row>
    <row r="585" spans="1:29">
      <c r="A585" t="s">
        <v>45</v>
      </c>
      <c r="B585" t="s">
        <v>46</v>
      </c>
      <c r="C585" t="s">
        <v>47</v>
      </c>
      <c r="D585" t="s">
        <v>559</v>
      </c>
      <c r="E585" t="s">
        <v>49</v>
      </c>
      <c r="F585" t="s">
        <v>50</v>
      </c>
      <c r="G585" t="s">
        <v>51</v>
      </c>
      <c r="H585" s="17" t="s">
        <v>52</v>
      </c>
      <c r="I585" t="s">
        <v>53</v>
      </c>
      <c r="J585" t="s">
        <v>54</v>
      </c>
      <c r="K585">
        <v>1</v>
      </c>
      <c r="L585" t="s">
        <v>55</v>
      </c>
      <c r="M585" t="s">
        <v>56</v>
      </c>
      <c r="N585" t="s">
        <v>57</v>
      </c>
      <c r="O585" s="18" t="s">
        <v>58</v>
      </c>
      <c r="P585" s="18" t="s">
        <v>533</v>
      </c>
      <c r="Q585" s="17" t="s">
        <v>536</v>
      </c>
      <c r="R585" s="18" t="s">
        <v>537</v>
      </c>
      <c r="S585" s="32">
        <v>13</v>
      </c>
      <c r="T585" s="19">
        <v>13</v>
      </c>
      <c r="U585" s="17" t="s">
        <v>62</v>
      </c>
      <c r="V585" s="17">
        <v>45908</v>
      </c>
      <c r="W585" s="18">
        <v>9</v>
      </c>
      <c r="X585" s="17">
        <v>45912</v>
      </c>
      <c r="Y585" s="17">
        <v>45926</v>
      </c>
      <c r="Z585" s="45">
        <v>9</v>
      </c>
      <c r="AA585">
        <v>2025</v>
      </c>
      <c r="AB585" s="42">
        <v>414232</v>
      </c>
      <c r="AC585" s="42">
        <v>414232</v>
      </c>
    </row>
    <row r="586" spans="1:29">
      <c r="A586" t="s">
        <v>45</v>
      </c>
      <c r="B586" t="s">
        <v>46</v>
      </c>
      <c r="C586" t="s">
        <v>47</v>
      </c>
      <c r="D586" t="s">
        <v>560</v>
      </c>
      <c r="E586" t="s">
        <v>49</v>
      </c>
      <c r="F586" t="s">
        <v>50</v>
      </c>
      <c r="G586" t="s">
        <v>51</v>
      </c>
      <c r="H586" s="17" t="s">
        <v>52</v>
      </c>
      <c r="I586" t="s">
        <v>53</v>
      </c>
      <c r="J586" t="s">
        <v>54</v>
      </c>
      <c r="K586">
        <v>1</v>
      </c>
      <c r="L586" t="s">
        <v>55</v>
      </c>
      <c r="M586" t="s">
        <v>56</v>
      </c>
      <c r="N586" t="s">
        <v>57</v>
      </c>
      <c r="O586" s="18" t="s">
        <v>58</v>
      </c>
      <c r="P586" s="18" t="s">
        <v>132</v>
      </c>
      <c r="Q586" s="17" t="s">
        <v>133</v>
      </c>
      <c r="R586" s="18" t="s">
        <v>134</v>
      </c>
      <c r="S586" s="32">
        <v>9</v>
      </c>
      <c r="T586" s="19">
        <v>9</v>
      </c>
      <c r="U586" s="17" t="s">
        <v>62</v>
      </c>
      <c r="V586" s="17">
        <v>45909</v>
      </c>
      <c r="W586" s="18">
        <v>9</v>
      </c>
      <c r="X586" s="17">
        <v>45910</v>
      </c>
      <c r="Y586" s="17">
        <v>45917</v>
      </c>
      <c r="Z586" s="45">
        <v>9</v>
      </c>
      <c r="AA586">
        <v>2025</v>
      </c>
      <c r="AB586" s="42">
        <v>423081</v>
      </c>
      <c r="AC586" s="42">
        <v>423081</v>
      </c>
    </row>
    <row r="587" spans="1:29">
      <c r="A587" t="s">
        <v>45</v>
      </c>
      <c r="B587" t="s">
        <v>46</v>
      </c>
      <c r="C587" t="s">
        <v>47</v>
      </c>
      <c r="D587" t="s">
        <v>561</v>
      </c>
      <c r="E587" t="s">
        <v>49</v>
      </c>
      <c r="F587" t="s">
        <v>50</v>
      </c>
      <c r="G587" t="s">
        <v>51</v>
      </c>
      <c r="H587" s="17" t="s">
        <v>52</v>
      </c>
      <c r="I587" t="s">
        <v>53</v>
      </c>
      <c r="J587" t="s">
        <v>316</v>
      </c>
      <c r="K587">
        <v>1</v>
      </c>
      <c r="L587" t="s">
        <v>55</v>
      </c>
      <c r="M587" t="s">
        <v>56</v>
      </c>
      <c r="N587" t="s">
        <v>57</v>
      </c>
      <c r="O587" s="18" t="s">
        <v>58</v>
      </c>
      <c r="P587" s="18" t="s">
        <v>549</v>
      </c>
      <c r="Q587" s="17" t="s">
        <v>562</v>
      </c>
      <c r="R587" s="18" t="s">
        <v>563</v>
      </c>
      <c r="S587" s="32">
        <v>100</v>
      </c>
      <c r="T587" s="19">
        <v>100</v>
      </c>
      <c r="U587" s="17" t="s">
        <v>62</v>
      </c>
      <c r="V587" s="17">
        <v>45909</v>
      </c>
      <c r="W587" s="18">
        <v>9</v>
      </c>
      <c r="X587" s="17">
        <v>45909</v>
      </c>
      <c r="Y587" s="17">
        <v>45917</v>
      </c>
      <c r="Z587" s="45">
        <v>9</v>
      </c>
      <c r="AA587">
        <v>2025</v>
      </c>
      <c r="AB587" s="42">
        <v>6202400</v>
      </c>
      <c r="AC587" s="42">
        <v>6202400</v>
      </c>
    </row>
    <row r="588" spans="1:29">
      <c r="A588" t="s">
        <v>45</v>
      </c>
      <c r="B588" t="s">
        <v>46</v>
      </c>
      <c r="C588" t="s">
        <v>47</v>
      </c>
      <c r="D588" t="s">
        <v>561</v>
      </c>
      <c r="E588" t="s">
        <v>49</v>
      </c>
      <c r="F588" t="s">
        <v>63</v>
      </c>
      <c r="G588" t="s">
        <v>51</v>
      </c>
      <c r="H588" s="17" t="s">
        <v>52</v>
      </c>
      <c r="I588" t="s">
        <v>53</v>
      </c>
      <c r="J588" t="s">
        <v>316</v>
      </c>
      <c r="K588">
        <v>1</v>
      </c>
      <c r="L588" t="s">
        <v>55</v>
      </c>
      <c r="M588" t="s">
        <v>56</v>
      </c>
      <c r="N588" t="s">
        <v>57</v>
      </c>
      <c r="O588" s="18" t="s">
        <v>58</v>
      </c>
      <c r="P588" s="18" t="s">
        <v>132</v>
      </c>
      <c r="Q588" s="17" t="s">
        <v>564</v>
      </c>
      <c r="R588" s="18" t="s">
        <v>565</v>
      </c>
      <c r="S588" s="32">
        <v>14</v>
      </c>
      <c r="T588" s="19">
        <v>14</v>
      </c>
      <c r="U588" s="17" t="s">
        <v>62</v>
      </c>
      <c r="V588" s="17">
        <v>45909</v>
      </c>
      <c r="W588" s="18">
        <v>9</v>
      </c>
      <c r="X588" s="17">
        <v>45909</v>
      </c>
      <c r="Y588" s="17">
        <v>45917</v>
      </c>
      <c r="Z588" s="45">
        <v>9</v>
      </c>
      <c r="AA588">
        <v>2025</v>
      </c>
      <c r="AB588" s="42">
        <v>389816</v>
      </c>
      <c r="AC588" s="42">
        <v>389816</v>
      </c>
    </row>
    <row r="589" spans="1:29">
      <c r="A589" t="s">
        <v>45</v>
      </c>
      <c r="B589" t="s">
        <v>46</v>
      </c>
      <c r="C589" t="s">
        <v>47</v>
      </c>
      <c r="D589" t="s">
        <v>561</v>
      </c>
      <c r="E589" t="s">
        <v>49</v>
      </c>
      <c r="F589" t="s">
        <v>67</v>
      </c>
      <c r="G589" t="s">
        <v>51</v>
      </c>
      <c r="H589" s="17" t="s">
        <v>52</v>
      </c>
      <c r="I589" t="s">
        <v>53</v>
      </c>
      <c r="J589" t="s">
        <v>316</v>
      </c>
      <c r="K589">
        <v>1</v>
      </c>
      <c r="L589" t="s">
        <v>55</v>
      </c>
      <c r="M589" t="s">
        <v>56</v>
      </c>
      <c r="N589" t="s">
        <v>57</v>
      </c>
      <c r="O589" s="18" t="s">
        <v>58</v>
      </c>
      <c r="P589" s="18" t="s">
        <v>80</v>
      </c>
      <c r="Q589" s="17" t="s">
        <v>81</v>
      </c>
      <c r="R589" s="18" t="s">
        <v>82</v>
      </c>
      <c r="S589" s="32">
        <v>18</v>
      </c>
      <c r="T589" s="19">
        <v>18</v>
      </c>
      <c r="U589" s="17" t="s">
        <v>62</v>
      </c>
      <c r="V589" s="17">
        <v>45909</v>
      </c>
      <c r="W589" s="18">
        <v>9</v>
      </c>
      <c r="X589" s="17">
        <v>45909</v>
      </c>
      <c r="Y589" s="17">
        <v>45917</v>
      </c>
      <c r="Z589" s="45">
        <v>9</v>
      </c>
      <c r="AA589">
        <v>2025</v>
      </c>
      <c r="AB589" s="42">
        <v>23400</v>
      </c>
      <c r="AC589" s="42">
        <v>23400</v>
      </c>
    </row>
    <row r="590" spans="1:29">
      <c r="A590" t="s">
        <v>45</v>
      </c>
      <c r="B590" t="s">
        <v>46</v>
      </c>
      <c r="C590" t="s">
        <v>47</v>
      </c>
      <c r="D590" t="s">
        <v>566</v>
      </c>
      <c r="E590" t="s">
        <v>49</v>
      </c>
      <c r="F590" t="s">
        <v>50</v>
      </c>
      <c r="G590" t="s">
        <v>51</v>
      </c>
      <c r="H590" s="17" t="s">
        <v>52</v>
      </c>
      <c r="I590" t="s">
        <v>53</v>
      </c>
      <c r="J590" t="s">
        <v>54</v>
      </c>
      <c r="K590">
        <v>1</v>
      </c>
      <c r="L590" t="s">
        <v>55</v>
      </c>
      <c r="M590" t="s">
        <v>56</v>
      </c>
      <c r="N590" t="s">
        <v>57</v>
      </c>
      <c r="O590" s="18" t="s">
        <v>58</v>
      </c>
      <c r="P590" s="18" t="s">
        <v>132</v>
      </c>
      <c r="Q590" s="17" t="s">
        <v>133</v>
      </c>
      <c r="R590" s="18" t="s">
        <v>134</v>
      </c>
      <c r="S590" s="32">
        <v>9</v>
      </c>
      <c r="T590" s="19">
        <v>9</v>
      </c>
      <c r="U590" s="17" t="s">
        <v>62</v>
      </c>
      <c r="V590" s="17">
        <v>45909</v>
      </c>
      <c r="W590" s="18">
        <v>9</v>
      </c>
      <c r="X590" s="17">
        <v>45910</v>
      </c>
      <c r="Y590" s="17">
        <v>45917</v>
      </c>
      <c r="Z590" s="45">
        <v>9</v>
      </c>
      <c r="AA590">
        <v>2025</v>
      </c>
      <c r="AB590" s="42">
        <v>423081</v>
      </c>
      <c r="AC590" s="42">
        <v>423081</v>
      </c>
    </row>
    <row r="591" spans="1:29">
      <c r="A591" t="s">
        <v>45</v>
      </c>
      <c r="B591" t="s">
        <v>46</v>
      </c>
      <c r="C591" t="s">
        <v>47</v>
      </c>
      <c r="D591" t="s">
        <v>567</v>
      </c>
      <c r="E591" t="s">
        <v>49</v>
      </c>
      <c r="F591" t="s">
        <v>50</v>
      </c>
      <c r="G591" t="s">
        <v>51</v>
      </c>
      <c r="H591" s="17" t="s">
        <v>52</v>
      </c>
      <c r="I591" t="s">
        <v>53</v>
      </c>
      <c r="J591" t="s">
        <v>54</v>
      </c>
      <c r="K591">
        <v>1</v>
      </c>
      <c r="L591" t="s">
        <v>55</v>
      </c>
      <c r="M591" t="s">
        <v>56</v>
      </c>
      <c r="N591" t="s">
        <v>57</v>
      </c>
      <c r="O591" s="18" t="s">
        <v>58</v>
      </c>
      <c r="P591" s="18" t="s">
        <v>172</v>
      </c>
      <c r="Q591" s="17" t="s">
        <v>173</v>
      </c>
      <c r="R591" s="18" t="s">
        <v>174</v>
      </c>
      <c r="S591" s="32">
        <v>9</v>
      </c>
      <c r="T591" s="19">
        <v>9</v>
      </c>
      <c r="U591" s="17" t="s">
        <v>62</v>
      </c>
      <c r="V591" s="17">
        <v>45911</v>
      </c>
      <c r="W591" s="18">
        <v>9</v>
      </c>
      <c r="X591" s="17">
        <v>45911</v>
      </c>
      <c r="Y591" s="17">
        <v>45917</v>
      </c>
      <c r="Z591" s="45">
        <v>9</v>
      </c>
      <c r="AA591">
        <v>2025</v>
      </c>
      <c r="AB591" s="42">
        <v>423081</v>
      </c>
      <c r="AC591" s="42">
        <v>423081</v>
      </c>
    </row>
    <row r="592" spans="1:29">
      <c r="A592" t="s">
        <v>45</v>
      </c>
      <c r="B592" t="s">
        <v>46</v>
      </c>
      <c r="C592" t="s">
        <v>47</v>
      </c>
      <c r="D592" t="s">
        <v>568</v>
      </c>
      <c r="E592" t="s">
        <v>49</v>
      </c>
      <c r="F592" t="s">
        <v>50</v>
      </c>
      <c r="G592" t="s">
        <v>51</v>
      </c>
      <c r="H592" s="17" t="s">
        <v>52</v>
      </c>
      <c r="I592" t="s">
        <v>53</v>
      </c>
      <c r="J592" t="s">
        <v>54</v>
      </c>
      <c r="K592">
        <v>1</v>
      </c>
      <c r="L592" t="s">
        <v>55</v>
      </c>
      <c r="M592" t="s">
        <v>56</v>
      </c>
      <c r="N592" t="s">
        <v>57</v>
      </c>
      <c r="O592" s="18" t="s">
        <v>58</v>
      </c>
      <c r="P592" s="18" t="s">
        <v>172</v>
      </c>
      <c r="Q592" s="17" t="s">
        <v>173</v>
      </c>
      <c r="R592" s="18" t="s">
        <v>174</v>
      </c>
      <c r="S592" s="32">
        <v>9</v>
      </c>
      <c r="T592" s="19">
        <v>9</v>
      </c>
      <c r="U592" s="17" t="s">
        <v>62</v>
      </c>
      <c r="V592" s="17">
        <v>45911</v>
      </c>
      <c r="W592" s="18">
        <v>9</v>
      </c>
      <c r="X592" s="17">
        <v>45911</v>
      </c>
      <c r="Y592" s="17">
        <v>45917</v>
      </c>
      <c r="Z592" s="45">
        <v>9</v>
      </c>
      <c r="AA592">
        <v>2025</v>
      </c>
      <c r="AB592" s="42">
        <v>423081</v>
      </c>
      <c r="AC592" s="42">
        <v>423081</v>
      </c>
    </row>
    <row r="593" spans="1:29">
      <c r="A593" t="s">
        <v>45</v>
      </c>
      <c r="B593" t="s">
        <v>46</v>
      </c>
      <c r="C593" t="s">
        <v>47</v>
      </c>
      <c r="D593" t="s">
        <v>569</v>
      </c>
      <c r="E593" t="s">
        <v>49</v>
      </c>
      <c r="F593" t="s">
        <v>50</v>
      </c>
      <c r="G593" t="s">
        <v>51</v>
      </c>
      <c r="H593" s="17" t="s">
        <v>52</v>
      </c>
      <c r="I593" t="s">
        <v>53</v>
      </c>
      <c r="J593" t="s">
        <v>54</v>
      </c>
      <c r="K593">
        <v>1</v>
      </c>
      <c r="L593" t="s">
        <v>55</v>
      </c>
      <c r="M593" t="s">
        <v>56</v>
      </c>
      <c r="N593" t="s">
        <v>57</v>
      </c>
      <c r="O593" s="18" t="s">
        <v>58</v>
      </c>
      <c r="P593" s="18" t="s">
        <v>72</v>
      </c>
      <c r="Q593" s="17" t="s">
        <v>247</v>
      </c>
      <c r="R593" s="18" t="s">
        <v>570</v>
      </c>
      <c r="S593" s="32">
        <v>96</v>
      </c>
      <c r="T593" s="19">
        <v>50</v>
      </c>
      <c r="U593" s="17" t="s">
        <v>62</v>
      </c>
      <c r="V593" s="17">
        <v>45849</v>
      </c>
      <c r="W593" s="18">
        <v>7</v>
      </c>
      <c r="X593" s="17">
        <v>45940</v>
      </c>
      <c r="Y593" s="17">
        <v>45926</v>
      </c>
      <c r="Z593" s="45">
        <v>9</v>
      </c>
      <c r="AA593">
        <v>2025</v>
      </c>
      <c r="AB593" s="42">
        <v>587328</v>
      </c>
      <c r="AC593" s="42">
        <v>305900</v>
      </c>
    </row>
    <row r="594" spans="1:29">
      <c r="A594" t="s">
        <v>45</v>
      </c>
      <c r="B594" t="s">
        <v>46</v>
      </c>
      <c r="C594" t="s">
        <v>47</v>
      </c>
      <c r="D594" t="s">
        <v>569</v>
      </c>
      <c r="E594" t="s">
        <v>49</v>
      </c>
      <c r="F594" t="s">
        <v>63</v>
      </c>
      <c r="G594" t="s">
        <v>51</v>
      </c>
      <c r="H594" s="17" t="s">
        <v>52</v>
      </c>
      <c r="I594" t="s">
        <v>53</v>
      </c>
      <c r="J594" t="s">
        <v>54</v>
      </c>
      <c r="K594">
        <v>1</v>
      </c>
      <c r="L594" t="s">
        <v>55</v>
      </c>
      <c r="M594" t="s">
        <v>56</v>
      </c>
      <c r="N594" t="s">
        <v>57</v>
      </c>
      <c r="O594" s="18" t="s">
        <v>58</v>
      </c>
      <c r="P594" s="18" t="s">
        <v>99</v>
      </c>
      <c r="Q594" s="17" t="s">
        <v>100</v>
      </c>
      <c r="R594" s="18" t="s">
        <v>101</v>
      </c>
      <c r="S594" s="32">
        <v>96</v>
      </c>
      <c r="T594" s="19">
        <v>50</v>
      </c>
      <c r="U594" s="17" t="s">
        <v>62</v>
      </c>
      <c r="V594" s="17">
        <v>45849</v>
      </c>
      <c r="W594" s="18">
        <v>7</v>
      </c>
      <c r="X594" s="17">
        <v>45940</v>
      </c>
      <c r="Y594" s="17">
        <v>45926</v>
      </c>
      <c r="Z594" s="45">
        <v>9</v>
      </c>
      <c r="AA594">
        <v>2025</v>
      </c>
      <c r="AB594" s="42">
        <v>20832</v>
      </c>
      <c r="AC594" s="42">
        <v>10850</v>
      </c>
    </row>
    <row r="595" spans="1:29">
      <c r="A595" t="s">
        <v>45</v>
      </c>
      <c r="B595" t="s">
        <v>46</v>
      </c>
      <c r="C595" t="s">
        <v>47</v>
      </c>
      <c r="D595" t="s">
        <v>487</v>
      </c>
      <c r="E595" t="s">
        <v>49</v>
      </c>
      <c r="F595" t="s">
        <v>50</v>
      </c>
      <c r="G595" t="s">
        <v>51</v>
      </c>
      <c r="H595" s="17" t="s">
        <v>52</v>
      </c>
      <c r="I595" t="s">
        <v>53</v>
      </c>
      <c r="J595" t="s">
        <v>54</v>
      </c>
      <c r="K595">
        <v>1</v>
      </c>
      <c r="L595" t="s">
        <v>55</v>
      </c>
      <c r="M595" t="s">
        <v>56</v>
      </c>
      <c r="N595" t="s">
        <v>57</v>
      </c>
      <c r="O595" s="18" t="s">
        <v>58</v>
      </c>
      <c r="P595" s="18" t="s">
        <v>99</v>
      </c>
      <c r="Q595" s="17" t="s">
        <v>100</v>
      </c>
      <c r="R595" s="18" t="s">
        <v>101</v>
      </c>
      <c r="S595" s="32">
        <v>30</v>
      </c>
      <c r="T595" s="19">
        <v>30</v>
      </c>
      <c r="U595" s="17" t="s">
        <v>62</v>
      </c>
      <c r="V595" s="17">
        <v>45867</v>
      </c>
      <c r="W595" s="18">
        <v>7</v>
      </c>
      <c r="X595" s="17">
        <v>45960</v>
      </c>
      <c r="Y595" s="17">
        <v>45904</v>
      </c>
      <c r="Z595" s="45">
        <v>9</v>
      </c>
      <c r="AA595">
        <v>2025</v>
      </c>
      <c r="AB595" s="42">
        <v>2250</v>
      </c>
      <c r="AC595" s="42">
        <v>2250</v>
      </c>
    </row>
    <row r="596" spans="1:29">
      <c r="A596" t="s">
        <v>45</v>
      </c>
      <c r="B596" t="s">
        <v>46</v>
      </c>
      <c r="C596" t="s">
        <v>47</v>
      </c>
      <c r="D596" t="s">
        <v>487</v>
      </c>
      <c r="E596" t="s">
        <v>49</v>
      </c>
      <c r="F596" t="s">
        <v>63</v>
      </c>
      <c r="G596" t="s">
        <v>51</v>
      </c>
      <c r="H596" s="17" t="s">
        <v>52</v>
      </c>
      <c r="I596" t="s">
        <v>53</v>
      </c>
      <c r="J596" t="s">
        <v>54</v>
      </c>
      <c r="K596">
        <v>1</v>
      </c>
      <c r="L596" t="s">
        <v>55</v>
      </c>
      <c r="M596" t="s">
        <v>56</v>
      </c>
      <c r="N596" t="s">
        <v>57</v>
      </c>
      <c r="O596" s="18" t="s">
        <v>58</v>
      </c>
      <c r="P596" s="18" t="s">
        <v>68</v>
      </c>
      <c r="Q596" s="17" t="s">
        <v>69</v>
      </c>
      <c r="R596" s="18" t="s">
        <v>70</v>
      </c>
      <c r="S596" s="32">
        <v>30</v>
      </c>
      <c r="T596" s="19">
        <v>30</v>
      </c>
      <c r="U596" s="17" t="s">
        <v>62</v>
      </c>
      <c r="V596" s="17">
        <v>45867</v>
      </c>
      <c r="W596" s="18">
        <v>7</v>
      </c>
      <c r="X596" s="17">
        <v>45960</v>
      </c>
      <c r="Y596" s="17">
        <v>45904</v>
      </c>
      <c r="Z596" s="45">
        <v>9</v>
      </c>
      <c r="AA596">
        <v>2025</v>
      </c>
      <c r="AB596" s="42">
        <v>2282700</v>
      </c>
      <c r="AC596" s="42">
        <v>2282700</v>
      </c>
    </row>
    <row r="597" spans="1:29">
      <c r="A597" t="s">
        <v>45</v>
      </c>
      <c r="B597" t="s">
        <v>46</v>
      </c>
      <c r="C597" t="s">
        <v>47</v>
      </c>
      <c r="D597" t="s">
        <v>571</v>
      </c>
      <c r="E597" t="s">
        <v>49</v>
      </c>
      <c r="F597" t="s">
        <v>50</v>
      </c>
      <c r="G597" t="s">
        <v>51</v>
      </c>
      <c r="H597" s="17" t="s">
        <v>52</v>
      </c>
      <c r="I597" t="s">
        <v>53</v>
      </c>
      <c r="J597" t="s">
        <v>54</v>
      </c>
      <c r="K597">
        <v>1</v>
      </c>
      <c r="L597" t="s">
        <v>55</v>
      </c>
      <c r="M597" t="s">
        <v>56</v>
      </c>
      <c r="N597" t="s">
        <v>57</v>
      </c>
      <c r="O597" s="18" t="s">
        <v>58</v>
      </c>
      <c r="P597" s="18" t="s">
        <v>86</v>
      </c>
      <c r="Q597" s="17" t="s">
        <v>87</v>
      </c>
      <c r="R597" s="18" t="s">
        <v>88</v>
      </c>
      <c r="S597" s="32">
        <v>45</v>
      </c>
      <c r="T597" s="19">
        <v>45</v>
      </c>
      <c r="U597" s="17" t="s">
        <v>62</v>
      </c>
      <c r="V597" s="17">
        <v>45896</v>
      </c>
      <c r="W597" s="18">
        <v>8</v>
      </c>
      <c r="X597" s="17">
        <v>45903</v>
      </c>
      <c r="Y597" s="17">
        <v>45923</v>
      </c>
      <c r="Z597" s="45">
        <v>9</v>
      </c>
      <c r="AA597">
        <v>2025</v>
      </c>
      <c r="AB597" s="42">
        <v>1365345</v>
      </c>
      <c r="AC597" s="42">
        <v>1365345</v>
      </c>
    </row>
    <row r="598" spans="1:29">
      <c r="A598" t="s">
        <v>45</v>
      </c>
      <c r="B598" t="s">
        <v>46</v>
      </c>
      <c r="C598" t="s">
        <v>47</v>
      </c>
      <c r="D598" t="s">
        <v>571</v>
      </c>
      <c r="E598" t="s">
        <v>49</v>
      </c>
      <c r="F598" t="s">
        <v>63</v>
      </c>
      <c r="G598" t="s">
        <v>51</v>
      </c>
      <c r="H598" s="17" t="s">
        <v>52</v>
      </c>
      <c r="I598" t="s">
        <v>53</v>
      </c>
      <c r="J598" t="s">
        <v>54</v>
      </c>
      <c r="K598">
        <v>1</v>
      </c>
      <c r="L598" t="s">
        <v>55</v>
      </c>
      <c r="M598" t="s">
        <v>56</v>
      </c>
      <c r="N598" t="s">
        <v>57</v>
      </c>
      <c r="O598" s="18" t="s">
        <v>58</v>
      </c>
      <c r="P598" s="18" t="s">
        <v>99</v>
      </c>
      <c r="Q598" s="17" t="s">
        <v>100</v>
      </c>
      <c r="R598" s="18" t="s">
        <v>101</v>
      </c>
      <c r="S598" s="32">
        <v>1</v>
      </c>
      <c r="T598" s="19">
        <v>1</v>
      </c>
      <c r="U598" s="17" t="s">
        <v>62</v>
      </c>
      <c r="V598" s="17">
        <v>45896</v>
      </c>
      <c r="W598" s="18">
        <v>8</v>
      </c>
      <c r="X598" s="17">
        <v>45903</v>
      </c>
      <c r="Y598" s="17">
        <v>45923</v>
      </c>
      <c r="Z598" s="45">
        <v>9</v>
      </c>
      <c r="AA598">
        <v>2025</v>
      </c>
      <c r="AB598" s="42">
        <v>58000</v>
      </c>
      <c r="AC598" s="42">
        <v>58000</v>
      </c>
    </row>
    <row r="599" spans="1:29">
      <c r="A599" t="s">
        <v>45</v>
      </c>
      <c r="B599" t="s">
        <v>46</v>
      </c>
      <c r="C599" t="s">
        <v>47</v>
      </c>
      <c r="D599" t="s">
        <v>572</v>
      </c>
      <c r="E599" t="s">
        <v>49</v>
      </c>
      <c r="F599" t="s">
        <v>50</v>
      </c>
      <c r="G599" t="s">
        <v>51</v>
      </c>
      <c r="H599" s="17" t="s">
        <v>52</v>
      </c>
      <c r="I599" t="s">
        <v>53</v>
      </c>
      <c r="J599" t="s">
        <v>54</v>
      </c>
      <c r="K599">
        <v>1</v>
      </c>
      <c r="L599" t="s">
        <v>55</v>
      </c>
      <c r="M599" t="s">
        <v>56</v>
      </c>
      <c r="N599" t="s">
        <v>57</v>
      </c>
      <c r="O599" s="18" t="s">
        <v>58</v>
      </c>
      <c r="P599" s="18" t="s">
        <v>68</v>
      </c>
      <c r="Q599" s="17" t="s">
        <v>225</v>
      </c>
      <c r="R599" s="18" t="s">
        <v>226</v>
      </c>
      <c r="S599" s="32">
        <v>2</v>
      </c>
      <c r="T599" s="19">
        <v>1</v>
      </c>
      <c r="U599" s="17" t="s">
        <v>227</v>
      </c>
      <c r="V599" s="17">
        <v>45897</v>
      </c>
      <c r="W599" s="18">
        <v>8</v>
      </c>
      <c r="X599" s="17">
        <v>45898</v>
      </c>
      <c r="Y599" s="17">
        <v>45905</v>
      </c>
      <c r="Z599" s="45">
        <v>9</v>
      </c>
      <c r="AA599">
        <v>2025</v>
      </c>
      <c r="AB599" s="42">
        <v>30942</v>
      </c>
      <c r="AC599" s="42">
        <v>15471</v>
      </c>
    </row>
    <row r="600" spans="1:29">
      <c r="A600" t="s">
        <v>45</v>
      </c>
      <c r="B600" t="s">
        <v>46</v>
      </c>
      <c r="C600" t="s">
        <v>47</v>
      </c>
      <c r="D600" t="s">
        <v>572</v>
      </c>
      <c r="E600" t="s">
        <v>49</v>
      </c>
      <c r="F600" t="s">
        <v>63</v>
      </c>
      <c r="G600" t="s">
        <v>51</v>
      </c>
      <c r="H600" s="17" t="s">
        <v>52</v>
      </c>
      <c r="I600" t="s">
        <v>53</v>
      </c>
      <c r="J600" t="s">
        <v>54</v>
      </c>
      <c r="K600">
        <v>1</v>
      </c>
      <c r="L600" t="s">
        <v>55</v>
      </c>
      <c r="M600" t="s">
        <v>56</v>
      </c>
      <c r="N600" t="s">
        <v>57</v>
      </c>
      <c r="O600" s="18" t="s">
        <v>58</v>
      </c>
      <c r="P600" s="18" t="s">
        <v>68</v>
      </c>
      <c r="Q600" s="17" t="s">
        <v>417</v>
      </c>
      <c r="R600" s="18" t="s">
        <v>418</v>
      </c>
      <c r="S600" s="32">
        <v>20</v>
      </c>
      <c r="T600" s="19">
        <v>13</v>
      </c>
      <c r="U600" s="17" t="s">
        <v>227</v>
      </c>
      <c r="V600" s="17">
        <v>45897</v>
      </c>
      <c r="W600" s="18">
        <v>8</v>
      </c>
      <c r="X600" s="17">
        <v>45898</v>
      </c>
      <c r="Y600" s="17">
        <v>45905</v>
      </c>
      <c r="Z600" s="45">
        <v>9</v>
      </c>
      <c r="AA600">
        <v>2025</v>
      </c>
      <c r="AB600" s="42">
        <v>214180</v>
      </c>
      <c r="AC600" s="42">
        <v>139217</v>
      </c>
    </row>
    <row r="601" spans="1:29">
      <c r="A601" t="s">
        <v>45</v>
      </c>
      <c r="B601" t="s">
        <v>46</v>
      </c>
      <c r="C601" t="s">
        <v>47</v>
      </c>
      <c r="D601" t="s">
        <v>572</v>
      </c>
      <c r="E601" t="s">
        <v>49</v>
      </c>
      <c r="F601" t="s">
        <v>67</v>
      </c>
      <c r="G601" t="s">
        <v>51</v>
      </c>
      <c r="H601" s="17" t="s">
        <v>52</v>
      </c>
      <c r="I601" t="s">
        <v>53</v>
      </c>
      <c r="J601" t="s">
        <v>54</v>
      </c>
      <c r="K601">
        <v>1</v>
      </c>
      <c r="L601" t="s">
        <v>55</v>
      </c>
      <c r="M601" t="s">
        <v>56</v>
      </c>
      <c r="N601" t="s">
        <v>57</v>
      </c>
      <c r="O601" s="18" t="s">
        <v>58</v>
      </c>
      <c r="P601" s="18" t="s">
        <v>99</v>
      </c>
      <c r="Q601" s="17" t="s">
        <v>100</v>
      </c>
      <c r="R601" s="18" t="s">
        <v>101</v>
      </c>
      <c r="S601" s="32">
        <v>22</v>
      </c>
      <c r="T601" s="19">
        <v>14</v>
      </c>
      <c r="U601" s="17" t="s">
        <v>62</v>
      </c>
      <c r="V601" s="17">
        <v>45897</v>
      </c>
      <c r="W601" s="18">
        <v>8</v>
      </c>
      <c r="X601" s="17">
        <v>45898</v>
      </c>
      <c r="Y601" s="17">
        <v>45905</v>
      </c>
      <c r="Z601" s="45">
        <v>9</v>
      </c>
      <c r="AA601">
        <v>2025</v>
      </c>
      <c r="AB601" s="42">
        <v>57992</v>
      </c>
      <c r="AC601" s="42">
        <v>36904</v>
      </c>
    </row>
    <row r="602" spans="1:29">
      <c r="A602" t="s">
        <v>45</v>
      </c>
      <c r="B602" t="s">
        <v>46</v>
      </c>
      <c r="C602" t="s">
        <v>47</v>
      </c>
      <c r="D602" t="s">
        <v>573</v>
      </c>
      <c r="E602" t="s">
        <v>49</v>
      </c>
      <c r="F602" t="s">
        <v>50</v>
      </c>
      <c r="G602" t="s">
        <v>51</v>
      </c>
      <c r="H602" s="17" t="s">
        <v>52</v>
      </c>
      <c r="I602" t="s">
        <v>53</v>
      </c>
      <c r="J602" t="s">
        <v>420</v>
      </c>
      <c r="K602">
        <v>1</v>
      </c>
      <c r="L602" t="s">
        <v>55</v>
      </c>
      <c r="M602" t="s">
        <v>56</v>
      </c>
      <c r="N602" t="s">
        <v>57</v>
      </c>
      <c r="O602" s="18" t="s">
        <v>58</v>
      </c>
      <c r="P602" s="18" t="s">
        <v>64</v>
      </c>
      <c r="Q602" s="17" t="s">
        <v>65</v>
      </c>
      <c r="R602" s="18" t="s">
        <v>66</v>
      </c>
      <c r="S602" s="32">
        <v>30</v>
      </c>
      <c r="T602" s="19">
        <v>30</v>
      </c>
      <c r="U602" s="17" t="s">
        <v>62</v>
      </c>
      <c r="V602" s="17">
        <v>45891</v>
      </c>
      <c r="W602" s="18">
        <v>8</v>
      </c>
      <c r="X602" s="17">
        <v>45891</v>
      </c>
      <c r="Y602" s="17">
        <v>45902</v>
      </c>
      <c r="Z602" s="45">
        <v>9</v>
      </c>
      <c r="AA602">
        <v>2025</v>
      </c>
      <c r="AB602" s="42">
        <v>422250</v>
      </c>
      <c r="AC602" s="42">
        <v>422250</v>
      </c>
    </row>
    <row r="603" spans="1:29">
      <c r="A603" t="s">
        <v>45</v>
      </c>
      <c r="B603" t="s">
        <v>46</v>
      </c>
      <c r="C603" t="s">
        <v>47</v>
      </c>
      <c r="D603" t="s">
        <v>573</v>
      </c>
      <c r="E603" t="s">
        <v>49</v>
      </c>
      <c r="F603" t="s">
        <v>63</v>
      </c>
      <c r="G603" t="s">
        <v>51</v>
      </c>
      <c r="H603" s="17" t="s">
        <v>52</v>
      </c>
      <c r="I603" t="s">
        <v>53</v>
      </c>
      <c r="J603" t="s">
        <v>420</v>
      </c>
      <c r="K603">
        <v>1</v>
      </c>
      <c r="L603" t="s">
        <v>55</v>
      </c>
      <c r="M603" t="s">
        <v>56</v>
      </c>
      <c r="N603" t="s">
        <v>57</v>
      </c>
      <c r="O603" s="18" t="s">
        <v>58</v>
      </c>
      <c r="P603" s="18" t="s">
        <v>59</v>
      </c>
      <c r="Q603" s="17" t="s">
        <v>60</v>
      </c>
      <c r="R603" s="18" t="s">
        <v>61</v>
      </c>
      <c r="S603" s="32">
        <v>25</v>
      </c>
      <c r="T603" s="19">
        <v>25</v>
      </c>
      <c r="U603" s="17" t="s">
        <v>62</v>
      </c>
      <c r="V603" s="17">
        <v>45891</v>
      </c>
      <c r="W603" s="18">
        <v>8</v>
      </c>
      <c r="X603" s="17">
        <v>45891</v>
      </c>
      <c r="Y603" s="17">
        <v>45902</v>
      </c>
      <c r="Z603" s="45">
        <v>9</v>
      </c>
      <c r="AA603">
        <v>2025</v>
      </c>
      <c r="AB603" s="42">
        <v>407875</v>
      </c>
      <c r="AC603" s="42">
        <v>407875</v>
      </c>
    </row>
    <row r="604" spans="1:29">
      <c r="A604" t="s">
        <v>45</v>
      </c>
      <c r="B604" t="s">
        <v>46</v>
      </c>
      <c r="C604" t="s">
        <v>47</v>
      </c>
      <c r="D604" t="s">
        <v>574</v>
      </c>
      <c r="E604" t="s">
        <v>49</v>
      </c>
      <c r="F604" t="s">
        <v>50</v>
      </c>
      <c r="G604" t="s">
        <v>51</v>
      </c>
      <c r="H604" s="17" t="s">
        <v>52</v>
      </c>
      <c r="I604" t="s">
        <v>53</v>
      </c>
      <c r="J604" t="s">
        <v>136</v>
      </c>
      <c r="K604">
        <v>1</v>
      </c>
      <c r="L604" t="s">
        <v>55</v>
      </c>
      <c r="M604" t="s">
        <v>56</v>
      </c>
      <c r="N604" t="s">
        <v>57</v>
      </c>
      <c r="O604" s="18" t="s">
        <v>58</v>
      </c>
      <c r="P604" s="18" t="s">
        <v>59</v>
      </c>
      <c r="Q604" s="17" t="s">
        <v>575</v>
      </c>
      <c r="R604" s="18" t="s">
        <v>576</v>
      </c>
      <c r="S604" s="32">
        <v>111</v>
      </c>
      <c r="T604" s="19">
        <v>111</v>
      </c>
      <c r="U604" s="17" t="s">
        <v>62</v>
      </c>
      <c r="V604" s="17">
        <v>45894</v>
      </c>
      <c r="W604" s="18">
        <v>8</v>
      </c>
      <c r="X604" s="17">
        <v>45894</v>
      </c>
      <c r="Y604" s="17">
        <v>45911</v>
      </c>
      <c r="Z604" s="45">
        <v>9</v>
      </c>
      <c r="AA604">
        <v>2025</v>
      </c>
      <c r="AB604" s="42">
        <v>1894881</v>
      </c>
      <c r="AC604" s="42">
        <v>1894881</v>
      </c>
    </row>
    <row r="605" spans="1:29">
      <c r="A605" t="s">
        <v>45</v>
      </c>
      <c r="B605" t="s">
        <v>46</v>
      </c>
      <c r="C605" t="s">
        <v>47</v>
      </c>
      <c r="D605" t="s">
        <v>574</v>
      </c>
      <c r="E605" t="s">
        <v>49</v>
      </c>
      <c r="F605" t="s">
        <v>63</v>
      </c>
      <c r="G605" t="s">
        <v>51</v>
      </c>
      <c r="H605" s="17" t="s">
        <v>52</v>
      </c>
      <c r="I605" t="s">
        <v>53</v>
      </c>
      <c r="J605" t="s">
        <v>136</v>
      </c>
      <c r="K605">
        <v>1</v>
      </c>
      <c r="L605" t="s">
        <v>55</v>
      </c>
      <c r="M605" t="s">
        <v>56</v>
      </c>
      <c r="N605" t="s">
        <v>57</v>
      </c>
      <c r="O605" s="18" t="s">
        <v>58</v>
      </c>
      <c r="P605" s="18" t="s">
        <v>64</v>
      </c>
      <c r="Q605" s="17" t="s">
        <v>577</v>
      </c>
      <c r="R605" s="18" t="s">
        <v>578</v>
      </c>
      <c r="S605" s="32">
        <v>106</v>
      </c>
      <c r="T605" s="19">
        <v>106</v>
      </c>
      <c r="U605" s="17" t="s">
        <v>62</v>
      </c>
      <c r="V605" s="17">
        <v>45894</v>
      </c>
      <c r="W605" s="18">
        <v>8</v>
      </c>
      <c r="X605" s="17">
        <v>45894</v>
      </c>
      <c r="Y605" s="17">
        <v>45911</v>
      </c>
      <c r="Z605" s="45">
        <v>9</v>
      </c>
      <c r="AA605">
        <v>2025</v>
      </c>
      <c r="AB605" s="42">
        <v>1561168</v>
      </c>
      <c r="AC605" s="42">
        <v>1561168</v>
      </c>
    </row>
    <row r="606" spans="1:29">
      <c r="A606" t="s">
        <v>45</v>
      </c>
      <c r="B606" t="s">
        <v>46</v>
      </c>
      <c r="C606" t="s">
        <v>47</v>
      </c>
      <c r="D606" t="s">
        <v>574</v>
      </c>
      <c r="E606" t="s">
        <v>49</v>
      </c>
      <c r="F606" t="s">
        <v>67</v>
      </c>
      <c r="G606" t="s">
        <v>51</v>
      </c>
      <c r="H606" s="17" t="s">
        <v>52</v>
      </c>
      <c r="I606" t="s">
        <v>53</v>
      </c>
      <c r="J606" t="s">
        <v>136</v>
      </c>
      <c r="K606">
        <v>1</v>
      </c>
      <c r="L606" t="s">
        <v>55</v>
      </c>
      <c r="M606" t="s">
        <v>56</v>
      </c>
      <c r="N606" t="s">
        <v>57</v>
      </c>
      <c r="O606" s="18" t="s">
        <v>58</v>
      </c>
      <c r="P606" s="18" t="s">
        <v>80</v>
      </c>
      <c r="Q606" s="17" t="s">
        <v>579</v>
      </c>
      <c r="R606" s="18" t="s">
        <v>580</v>
      </c>
      <c r="S606" s="32">
        <v>2</v>
      </c>
      <c r="T606" s="19">
        <v>2</v>
      </c>
      <c r="U606" s="17" t="s">
        <v>62</v>
      </c>
      <c r="V606" s="17">
        <v>45894</v>
      </c>
      <c r="W606" s="18">
        <v>8</v>
      </c>
      <c r="X606" s="17">
        <v>45894</v>
      </c>
      <c r="Y606" s="17">
        <v>45911</v>
      </c>
      <c r="Z606" s="45">
        <v>9</v>
      </c>
      <c r="AA606">
        <v>2025</v>
      </c>
      <c r="AB606" s="42">
        <v>155984</v>
      </c>
      <c r="AC606" s="42">
        <v>155984</v>
      </c>
    </row>
    <row r="607" spans="1:29">
      <c r="A607" t="s">
        <v>45</v>
      </c>
      <c r="B607" t="s">
        <v>46</v>
      </c>
      <c r="C607" t="s">
        <v>47</v>
      </c>
      <c r="D607" t="s">
        <v>574</v>
      </c>
      <c r="E607" t="s">
        <v>49</v>
      </c>
      <c r="F607" t="s">
        <v>71</v>
      </c>
      <c r="G607" t="s">
        <v>51</v>
      </c>
      <c r="H607" s="17" t="s">
        <v>52</v>
      </c>
      <c r="I607" t="s">
        <v>53</v>
      </c>
      <c r="J607" t="s">
        <v>136</v>
      </c>
      <c r="K607">
        <v>1</v>
      </c>
      <c r="L607" t="s">
        <v>55</v>
      </c>
      <c r="M607" t="s">
        <v>56</v>
      </c>
      <c r="N607" t="s">
        <v>57</v>
      </c>
      <c r="O607" s="18" t="s">
        <v>58</v>
      </c>
      <c r="P607" s="18" t="s">
        <v>99</v>
      </c>
      <c r="Q607" s="17" t="s">
        <v>100</v>
      </c>
      <c r="R607" s="18" t="s">
        <v>101</v>
      </c>
      <c r="S607" s="32">
        <v>1</v>
      </c>
      <c r="T607" s="19">
        <v>1</v>
      </c>
      <c r="U607" s="17" t="s">
        <v>62</v>
      </c>
      <c r="V607" s="17">
        <v>45894</v>
      </c>
      <c r="W607" s="18">
        <v>8</v>
      </c>
      <c r="X607" s="17">
        <v>45894</v>
      </c>
      <c r="Y607" s="17">
        <v>45911</v>
      </c>
      <c r="Z607" s="45">
        <v>9</v>
      </c>
      <c r="AA607">
        <v>2025</v>
      </c>
      <c r="AB607" s="42">
        <v>58000</v>
      </c>
      <c r="AC607" s="42">
        <v>58000</v>
      </c>
    </row>
    <row r="608" spans="1:29">
      <c r="A608" t="s">
        <v>45</v>
      </c>
      <c r="B608" t="s">
        <v>46</v>
      </c>
      <c r="C608" t="s">
        <v>47</v>
      </c>
      <c r="D608" t="s">
        <v>581</v>
      </c>
      <c r="E608" t="s">
        <v>49</v>
      </c>
      <c r="F608" t="s">
        <v>50</v>
      </c>
      <c r="G608" t="s">
        <v>51</v>
      </c>
      <c r="H608" s="17" t="s">
        <v>52</v>
      </c>
      <c r="I608" t="s">
        <v>53</v>
      </c>
      <c r="J608" t="s">
        <v>150</v>
      </c>
      <c r="K608">
        <v>1</v>
      </c>
      <c r="L608" t="s">
        <v>55</v>
      </c>
      <c r="M608" t="s">
        <v>56</v>
      </c>
      <c r="N608" t="s">
        <v>57</v>
      </c>
      <c r="O608" s="18" t="s">
        <v>58</v>
      </c>
      <c r="P608" s="18" t="s">
        <v>72</v>
      </c>
      <c r="Q608" s="17" t="s">
        <v>151</v>
      </c>
      <c r="R608" s="18" t="s">
        <v>152</v>
      </c>
      <c r="S608" s="32">
        <v>30</v>
      </c>
      <c r="T608" s="19">
        <v>30</v>
      </c>
      <c r="U608" s="17" t="s">
        <v>62</v>
      </c>
      <c r="V608" s="17">
        <v>45896</v>
      </c>
      <c r="W608" s="18">
        <v>8</v>
      </c>
      <c r="X608" s="17">
        <v>45897</v>
      </c>
      <c r="Y608" s="17">
        <v>45915</v>
      </c>
      <c r="Z608" s="45">
        <v>9</v>
      </c>
      <c r="AA608">
        <v>2025</v>
      </c>
      <c r="AB608" s="42">
        <v>879660</v>
      </c>
      <c r="AC608" s="42">
        <v>879660</v>
      </c>
    </row>
    <row r="609" spans="1:29">
      <c r="A609" t="s">
        <v>45</v>
      </c>
      <c r="B609" t="s">
        <v>46</v>
      </c>
      <c r="C609" t="s">
        <v>47</v>
      </c>
      <c r="D609" t="s">
        <v>581</v>
      </c>
      <c r="E609" t="s">
        <v>49</v>
      </c>
      <c r="F609" t="s">
        <v>63</v>
      </c>
      <c r="G609" t="s">
        <v>51</v>
      </c>
      <c r="H609" s="17" t="s">
        <v>52</v>
      </c>
      <c r="I609" t="s">
        <v>53</v>
      </c>
      <c r="J609" t="s">
        <v>150</v>
      </c>
      <c r="K609">
        <v>1</v>
      </c>
      <c r="L609" t="s">
        <v>55</v>
      </c>
      <c r="M609" t="s">
        <v>56</v>
      </c>
      <c r="N609" t="s">
        <v>57</v>
      </c>
      <c r="O609" s="18" t="s">
        <v>58</v>
      </c>
      <c r="P609" s="18" t="s">
        <v>99</v>
      </c>
      <c r="Q609" s="17" t="s">
        <v>100</v>
      </c>
      <c r="R609" s="18" t="s">
        <v>101</v>
      </c>
      <c r="S609" s="32">
        <v>1</v>
      </c>
      <c r="T609" s="19">
        <v>1</v>
      </c>
      <c r="U609" s="17" t="s">
        <v>62</v>
      </c>
      <c r="V609" s="17">
        <v>45896</v>
      </c>
      <c r="W609" s="18">
        <v>8</v>
      </c>
      <c r="X609" s="17">
        <v>45897</v>
      </c>
      <c r="Y609" s="17">
        <v>45915</v>
      </c>
      <c r="Z609" s="45">
        <v>9</v>
      </c>
      <c r="AA609">
        <v>2025</v>
      </c>
      <c r="AB609" s="42">
        <v>58000</v>
      </c>
      <c r="AC609" s="42">
        <v>58000</v>
      </c>
    </row>
    <row r="610" spans="1:29">
      <c r="A610" t="s">
        <v>45</v>
      </c>
      <c r="B610" t="s">
        <v>46</v>
      </c>
      <c r="C610" t="s">
        <v>47</v>
      </c>
      <c r="D610" t="s">
        <v>582</v>
      </c>
      <c r="E610" t="s">
        <v>115</v>
      </c>
      <c r="F610" t="s">
        <v>50</v>
      </c>
      <c r="G610" t="s">
        <v>116</v>
      </c>
      <c r="H610" s="17" t="s">
        <v>52</v>
      </c>
      <c r="I610" t="s">
        <v>53</v>
      </c>
      <c r="J610" t="s">
        <v>125</v>
      </c>
      <c r="K610">
        <v>1</v>
      </c>
      <c r="L610" t="s">
        <v>55</v>
      </c>
      <c r="M610" t="s">
        <v>56</v>
      </c>
      <c r="N610" t="s">
        <v>57</v>
      </c>
      <c r="O610" s="18" t="s">
        <v>58</v>
      </c>
      <c r="P610" s="18" t="s">
        <v>72</v>
      </c>
      <c r="Q610" s="17" t="s">
        <v>122</v>
      </c>
      <c r="R610" s="18" t="s">
        <v>425</v>
      </c>
      <c r="S610" s="32">
        <v>4</v>
      </c>
      <c r="T610" s="19">
        <v>4</v>
      </c>
      <c r="U610" s="17" t="s">
        <v>119</v>
      </c>
      <c r="V610" s="17">
        <v>45891</v>
      </c>
      <c r="W610" s="18">
        <v>8</v>
      </c>
      <c r="X610" s="17">
        <v>45903</v>
      </c>
      <c r="Y610" s="17">
        <v>45903</v>
      </c>
      <c r="Z610" s="45">
        <v>9</v>
      </c>
      <c r="AA610">
        <v>2025</v>
      </c>
      <c r="AB610" s="42">
        <v>1405320</v>
      </c>
      <c r="AC610" s="42">
        <v>1405320</v>
      </c>
    </row>
    <row r="611" spans="1:29">
      <c r="A611" t="s">
        <v>45</v>
      </c>
      <c r="B611" t="s">
        <v>46</v>
      </c>
      <c r="C611" t="s">
        <v>47</v>
      </c>
      <c r="D611" t="s">
        <v>583</v>
      </c>
      <c r="E611" t="s">
        <v>214</v>
      </c>
      <c r="F611" t="s">
        <v>50</v>
      </c>
      <c r="G611" t="s">
        <v>51</v>
      </c>
      <c r="H611" s="17" t="s">
        <v>215</v>
      </c>
      <c r="I611" t="s">
        <v>53</v>
      </c>
      <c r="J611" t="s">
        <v>167</v>
      </c>
      <c r="K611">
        <v>10</v>
      </c>
      <c r="L611" t="s">
        <v>55</v>
      </c>
      <c r="M611" t="s">
        <v>56</v>
      </c>
      <c r="N611" t="s">
        <v>57</v>
      </c>
      <c r="O611" s="18" t="s">
        <v>58</v>
      </c>
      <c r="P611" s="18" t="s">
        <v>132</v>
      </c>
      <c r="Q611" s="17" t="s">
        <v>133</v>
      </c>
      <c r="R611" s="18" t="s">
        <v>134</v>
      </c>
      <c r="S611" s="32">
        <v>120</v>
      </c>
      <c r="T611" s="19">
        <v>2.4</v>
      </c>
      <c r="U611" s="17" t="s">
        <v>239</v>
      </c>
      <c r="V611" s="17">
        <v>45895</v>
      </c>
      <c r="W611" s="18">
        <v>8</v>
      </c>
      <c r="X611" s="17">
        <v>45895</v>
      </c>
      <c r="Y611" s="17">
        <v>45903</v>
      </c>
      <c r="Z611" s="45">
        <v>9</v>
      </c>
      <c r="AA611">
        <v>2025</v>
      </c>
      <c r="AB611" s="42">
        <v>714720</v>
      </c>
      <c r="AC611" s="42">
        <v>-14294</v>
      </c>
    </row>
    <row r="612" spans="1:29">
      <c r="A612" t="s">
        <v>45</v>
      </c>
      <c r="B612" t="s">
        <v>46</v>
      </c>
      <c r="C612" t="s">
        <v>47</v>
      </c>
      <c r="D612" t="s">
        <v>584</v>
      </c>
      <c r="E612" t="s">
        <v>115</v>
      </c>
      <c r="F612" t="s">
        <v>50</v>
      </c>
      <c r="G612" t="s">
        <v>116</v>
      </c>
      <c r="H612" s="17" t="s">
        <v>52</v>
      </c>
      <c r="I612" t="s">
        <v>53</v>
      </c>
      <c r="J612" t="s">
        <v>110</v>
      </c>
      <c r="K612">
        <v>1</v>
      </c>
      <c r="L612" t="s">
        <v>55</v>
      </c>
      <c r="M612" t="s">
        <v>56</v>
      </c>
      <c r="N612" t="s">
        <v>57</v>
      </c>
      <c r="O612" s="18" t="s">
        <v>58</v>
      </c>
      <c r="P612" s="18" t="s">
        <v>72</v>
      </c>
      <c r="Q612" s="17" t="s">
        <v>122</v>
      </c>
      <c r="R612" s="18" t="s">
        <v>425</v>
      </c>
      <c r="S612" s="32">
        <v>4</v>
      </c>
      <c r="T612" s="19">
        <v>4</v>
      </c>
      <c r="U612" s="17" t="s">
        <v>119</v>
      </c>
      <c r="V612" s="17">
        <v>45898</v>
      </c>
      <c r="W612" s="18">
        <v>8</v>
      </c>
      <c r="X612" s="17">
        <v>45910</v>
      </c>
      <c r="Y612" s="17">
        <v>45905</v>
      </c>
      <c r="Z612" s="45">
        <v>9</v>
      </c>
      <c r="AA612">
        <v>2025</v>
      </c>
      <c r="AB612" s="42">
        <v>1405320</v>
      </c>
      <c r="AC612" s="42">
        <v>1405320</v>
      </c>
    </row>
    <row r="613" spans="1:29">
      <c r="A613" t="s">
        <v>45</v>
      </c>
      <c r="B613" t="s">
        <v>46</v>
      </c>
      <c r="C613" t="s">
        <v>47</v>
      </c>
      <c r="D613" t="s">
        <v>584</v>
      </c>
      <c r="E613" t="s">
        <v>115</v>
      </c>
      <c r="F613" t="s">
        <v>63</v>
      </c>
      <c r="G613" t="s">
        <v>116</v>
      </c>
      <c r="H613" s="17" t="s">
        <v>52</v>
      </c>
      <c r="I613" t="s">
        <v>53</v>
      </c>
      <c r="J613" t="s">
        <v>110</v>
      </c>
      <c r="K613">
        <v>1</v>
      </c>
      <c r="L613" t="s">
        <v>55</v>
      </c>
      <c r="M613" t="s">
        <v>56</v>
      </c>
      <c r="N613" t="s">
        <v>57</v>
      </c>
      <c r="O613" s="18" t="s">
        <v>58</v>
      </c>
      <c r="P613" s="18" t="s">
        <v>72</v>
      </c>
      <c r="Q613" s="17" t="s">
        <v>117</v>
      </c>
      <c r="R613" s="18" t="s">
        <v>393</v>
      </c>
      <c r="S613" s="32">
        <v>2</v>
      </c>
      <c r="T613" s="19">
        <v>2</v>
      </c>
      <c r="U613" s="17" t="s">
        <v>119</v>
      </c>
      <c r="V613" s="17">
        <v>45898</v>
      </c>
      <c r="W613" s="18">
        <v>8</v>
      </c>
      <c r="X613" s="17">
        <v>45910</v>
      </c>
      <c r="Y613" s="17">
        <v>45905</v>
      </c>
      <c r="Z613" s="45">
        <v>9</v>
      </c>
      <c r="AA613">
        <v>2025</v>
      </c>
      <c r="AB613" s="42">
        <v>703000</v>
      </c>
      <c r="AC613" s="42">
        <v>703000</v>
      </c>
    </row>
    <row r="614" spans="1:29">
      <c r="A614" t="s">
        <v>45</v>
      </c>
      <c r="B614" t="s">
        <v>46</v>
      </c>
      <c r="C614" t="s">
        <v>47</v>
      </c>
      <c r="D614" t="s">
        <v>585</v>
      </c>
      <c r="E614" t="s">
        <v>115</v>
      </c>
      <c r="F614" t="s">
        <v>50</v>
      </c>
      <c r="G614" t="s">
        <v>116</v>
      </c>
      <c r="H614" s="17" t="s">
        <v>52</v>
      </c>
      <c r="I614" t="s">
        <v>53</v>
      </c>
      <c r="J614" t="s">
        <v>121</v>
      </c>
      <c r="K614">
        <v>1</v>
      </c>
      <c r="L614" t="s">
        <v>55</v>
      </c>
      <c r="M614" t="s">
        <v>56</v>
      </c>
      <c r="N614" t="s">
        <v>57</v>
      </c>
      <c r="O614" s="18" t="s">
        <v>58</v>
      </c>
      <c r="P614" s="18" t="s">
        <v>72</v>
      </c>
      <c r="Q614" s="17" t="s">
        <v>147</v>
      </c>
      <c r="R614" s="18" t="s">
        <v>148</v>
      </c>
      <c r="S614" s="32">
        <v>1</v>
      </c>
      <c r="T614" s="19">
        <v>1</v>
      </c>
      <c r="U614" s="17" t="s">
        <v>119</v>
      </c>
      <c r="V614" s="17">
        <v>45898</v>
      </c>
      <c r="W614" s="18">
        <v>8</v>
      </c>
      <c r="X614" s="17">
        <v>45910</v>
      </c>
      <c r="Y614" s="17">
        <v>45903</v>
      </c>
      <c r="Z614" s="45">
        <v>9</v>
      </c>
      <c r="AA614">
        <v>2025</v>
      </c>
      <c r="AB614" s="42">
        <v>418720</v>
      </c>
      <c r="AC614" s="42">
        <v>418720</v>
      </c>
    </row>
    <row r="615" spans="1:29">
      <c r="A615" t="s">
        <v>45</v>
      </c>
      <c r="B615" t="s">
        <v>46</v>
      </c>
      <c r="C615" t="s">
        <v>47</v>
      </c>
      <c r="D615" t="s">
        <v>585</v>
      </c>
      <c r="E615" t="s">
        <v>115</v>
      </c>
      <c r="F615" t="s">
        <v>63</v>
      </c>
      <c r="G615" t="s">
        <v>116</v>
      </c>
      <c r="H615" s="17" t="s">
        <v>52</v>
      </c>
      <c r="I615" t="s">
        <v>53</v>
      </c>
      <c r="J615" t="s">
        <v>121</v>
      </c>
      <c r="K615">
        <v>1</v>
      </c>
      <c r="L615" t="s">
        <v>55</v>
      </c>
      <c r="M615" t="s">
        <v>56</v>
      </c>
      <c r="N615" t="s">
        <v>57</v>
      </c>
      <c r="O615" s="18" t="s">
        <v>58</v>
      </c>
      <c r="P615" s="18" t="s">
        <v>72</v>
      </c>
      <c r="Q615" s="17" t="s">
        <v>247</v>
      </c>
      <c r="R615" s="18" t="s">
        <v>570</v>
      </c>
      <c r="S615" s="32">
        <v>1</v>
      </c>
      <c r="T615" s="19">
        <v>1</v>
      </c>
      <c r="U615" s="17" t="s">
        <v>119</v>
      </c>
      <c r="V615" s="17">
        <v>45898</v>
      </c>
      <c r="W615" s="18">
        <v>8</v>
      </c>
      <c r="X615" s="17">
        <v>45910</v>
      </c>
      <c r="Y615" s="17">
        <v>45903</v>
      </c>
      <c r="Z615" s="45">
        <v>9</v>
      </c>
      <c r="AA615">
        <v>2025</v>
      </c>
      <c r="AB615" s="42">
        <v>517860</v>
      </c>
      <c r="AC615" s="42">
        <v>517860</v>
      </c>
    </row>
    <row r="616" spans="1:29">
      <c r="A616" t="s">
        <v>45</v>
      </c>
      <c r="B616" t="s">
        <v>46</v>
      </c>
      <c r="C616" t="s">
        <v>47</v>
      </c>
      <c r="D616" t="s">
        <v>585</v>
      </c>
      <c r="E616" t="s">
        <v>115</v>
      </c>
      <c r="F616" t="s">
        <v>67</v>
      </c>
      <c r="G616" t="s">
        <v>116</v>
      </c>
      <c r="H616" s="17" t="s">
        <v>52</v>
      </c>
      <c r="I616" t="s">
        <v>53</v>
      </c>
      <c r="J616" t="s">
        <v>121</v>
      </c>
      <c r="K616">
        <v>1</v>
      </c>
      <c r="L616" t="s">
        <v>55</v>
      </c>
      <c r="M616" t="s">
        <v>56</v>
      </c>
      <c r="N616" t="s">
        <v>57</v>
      </c>
      <c r="O616" s="18" t="s">
        <v>58</v>
      </c>
      <c r="P616" s="18" t="s">
        <v>72</v>
      </c>
      <c r="Q616" s="17" t="s">
        <v>117</v>
      </c>
      <c r="R616" s="18" t="s">
        <v>393</v>
      </c>
      <c r="S616" s="32">
        <v>3</v>
      </c>
      <c r="T616" s="19">
        <v>3</v>
      </c>
      <c r="U616" s="17" t="s">
        <v>119</v>
      </c>
      <c r="V616" s="17">
        <v>45898</v>
      </c>
      <c r="W616" s="18">
        <v>8</v>
      </c>
      <c r="X616" s="17">
        <v>45910</v>
      </c>
      <c r="Y616" s="17">
        <v>45903</v>
      </c>
      <c r="Z616" s="45">
        <v>9</v>
      </c>
      <c r="AA616">
        <v>2025</v>
      </c>
      <c r="AB616" s="42">
        <v>1054500</v>
      </c>
      <c r="AC616" s="42">
        <v>1054500</v>
      </c>
    </row>
    <row r="617" spans="1:29">
      <c r="A617" t="s">
        <v>45</v>
      </c>
      <c r="B617" t="s">
        <v>46</v>
      </c>
      <c r="C617" t="s">
        <v>47</v>
      </c>
      <c r="D617" t="s">
        <v>586</v>
      </c>
      <c r="E617" t="s">
        <v>49</v>
      </c>
      <c r="F617" t="s">
        <v>50</v>
      </c>
      <c r="G617" t="s">
        <v>51</v>
      </c>
      <c r="H617" s="17" t="s">
        <v>52</v>
      </c>
      <c r="I617" t="s">
        <v>53</v>
      </c>
      <c r="J617" t="s">
        <v>110</v>
      </c>
      <c r="K617">
        <v>1</v>
      </c>
      <c r="L617" t="s">
        <v>55</v>
      </c>
      <c r="M617" t="s">
        <v>56</v>
      </c>
      <c r="N617" t="s">
        <v>57</v>
      </c>
      <c r="O617" s="18" t="s">
        <v>58</v>
      </c>
      <c r="P617" s="18" t="s">
        <v>72</v>
      </c>
      <c r="Q617" s="17" t="s">
        <v>153</v>
      </c>
      <c r="R617" s="18" t="s">
        <v>154</v>
      </c>
      <c r="S617" s="32">
        <v>30</v>
      </c>
      <c r="T617" s="19">
        <v>30</v>
      </c>
      <c r="U617" s="17" t="s">
        <v>62</v>
      </c>
      <c r="V617" s="17">
        <v>45895</v>
      </c>
      <c r="W617" s="18">
        <v>8</v>
      </c>
      <c r="X617" s="17">
        <v>45898</v>
      </c>
      <c r="Y617" s="17">
        <v>45911</v>
      </c>
      <c r="Z617" s="45">
        <v>9</v>
      </c>
      <c r="AA617">
        <v>2025</v>
      </c>
      <c r="AB617" s="42">
        <v>974370</v>
      </c>
      <c r="AC617" s="42">
        <v>974370</v>
      </c>
    </row>
    <row r="618" spans="1:29">
      <c r="A618" t="s">
        <v>45</v>
      </c>
      <c r="B618" t="s">
        <v>46</v>
      </c>
      <c r="C618" t="s">
        <v>47</v>
      </c>
      <c r="D618" t="s">
        <v>586</v>
      </c>
      <c r="E618" t="s">
        <v>49</v>
      </c>
      <c r="F618" t="s">
        <v>63</v>
      </c>
      <c r="G618" t="s">
        <v>51</v>
      </c>
      <c r="H618" s="17" t="s">
        <v>52</v>
      </c>
      <c r="I618" t="s">
        <v>53</v>
      </c>
      <c r="J618" t="s">
        <v>110</v>
      </c>
      <c r="K618">
        <v>1</v>
      </c>
      <c r="L618" t="s">
        <v>55</v>
      </c>
      <c r="M618" t="s">
        <v>56</v>
      </c>
      <c r="N618" t="s">
        <v>57</v>
      </c>
      <c r="O618" s="18" t="s">
        <v>58</v>
      </c>
      <c r="P618" s="18" t="s">
        <v>99</v>
      </c>
      <c r="Q618" s="17" t="s">
        <v>100</v>
      </c>
      <c r="R618" s="18" t="s">
        <v>101</v>
      </c>
      <c r="S618" s="32">
        <v>1</v>
      </c>
      <c r="T618" s="19">
        <v>1</v>
      </c>
      <c r="U618" s="17" t="s">
        <v>62</v>
      </c>
      <c r="V618" s="17">
        <v>45895</v>
      </c>
      <c r="W618" s="18">
        <v>8</v>
      </c>
      <c r="X618" s="17">
        <v>45898</v>
      </c>
      <c r="Y618" s="17">
        <v>45911</v>
      </c>
      <c r="Z618" s="45">
        <v>9</v>
      </c>
      <c r="AA618">
        <v>2025</v>
      </c>
      <c r="AB618" s="42">
        <v>58000</v>
      </c>
      <c r="AC618" s="42">
        <v>58000</v>
      </c>
    </row>
    <row r="619" spans="1:29">
      <c r="A619" t="s">
        <v>45</v>
      </c>
      <c r="B619" t="s">
        <v>46</v>
      </c>
      <c r="C619" t="s">
        <v>47</v>
      </c>
      <c r="D619" t="s">
        <v>587</v>
      </c>
      <c r="E619" t="s">
        <v>115</v>
      </c>
      <c r="F619" t="s">
        <v>50</v>
      </c>
      <c r="G619" t="s">
        <v>116</v>
      </c>
      <c r="H619" s="17" t="s">
        <v>52</v>
      </c>
      <c r="I619" t="s">
        <v>53</v>
      </c>
      <c r="J619" t="s">
        <v>110</v>
      </c>
      <c r="K619">
        <v>1</v>
      </c>
      <c r="L619" t="s">
        <v>55</v>
      </c>
      <c r="M619" t="s">
        <v>56</v>
      </c>
      <c r="N619" t="s">
        <v>57</v>
      </c>
      <c r="O619" s="18" t="s">
        <v>58</v>
      </c>
      <c r="P619" s="18" t="s">
        <v>72</v>
      </c>
      <c r="Q619" s="17" t="s">
        <v>122</v>
      </c>
      <c r="R619" s="18" t="s">
        <v>425</v>
      </c>
      <c r="S619" s="32">
        <v>4</v>
      </c>
      <c r="T619" s="19">
        <v>4</v>
      </c>
      <c r="U619" s="17" t="s">
        <v>119</v>
      </c>
      <c r="V619" s="17">
        <v>45891</v>
      </c>
      <c r="W619" s="18">
        <v>8</v>
      </c>
      <c r="X619" s="17">
        <v>45903</v>
      </c>
      <c r="Y619" s="17">
        <v>45901</v>
      </c>
      <c r="Z619" s="45">
        <v>9</v>
      </c>
      <c r="AA619">
        <v>2025</v>
      </c>
      <c r="AB619" s="42">
        <v>1405320</v>
      </c>
      <c r="AC619" s="42">
        <v>1405320</v>
      </c>
    </row>
    <row r="620" spans="1:29">
      <c r="A620" t="s">
        <v>45</v>
      </c>
      <c r="B620" t="s">
        <v>46</v>
      </c>
      <c r="C620" t="s">
        <v>47</v>
      </c>
      <c r="D620" t="s">
        <v>588</v>
      </c>
      <c r="E620" t="s">
        <v>49</v>
      </c>
      <c r="F620" t="s">
        <v>50</v>
      </c>
      <c r="G620" t="s">
        <v>51</v>
      </c>
      <c r="H620" s="17" t="s">
        <v>52</v>
      </c>
      <c r="I620" t="s">
        <v>53</v>
      </c>
      <c r="J620" t="s">
        <v>167</v>
      </c>
      <c r="K620">
        <v>1</v>
      </c>
      <c r="L620" t="s">
        <v>55</v>
      </c>
      <c r="M620" t="s">
        <v>56</v>
      </c>
      <c r="N620" t="s">
        <v>57</v>
      </c>
      <c r="O620" s="18" t="s">
        <v>58</v>
      </c>
      <c r="P620" s="18" t="s">
        <v>72</v>
      </c>
      <c r="Q620" s="17" t="s">
        <v>589</v>
      </c>
      <c r="R620" s="18" t="s">
        <v>590</v>
      </c>
      <c r="S620" s="32">
        <v>210</v>
      </c>
      <c r="T620" s="19">
        <v>210</v>
      </c>
      <c r="U620" s="17" t="s">
        <v>62</v>
      </c>
      <c r="V620" s="17">
        <v>45877</v>
      </c>
      <c r="W620" s="18">
        <v>8</v>
      </c>
      <c r="X620" s="17">
        <v>45883</v>
      </c>
      <c r="Y620" s="17">
        <v>45905</v>
      </c>
      <c r="Z620" s="45">
        <v>9</v>
      </c>
      <c r="AA620">
        <v>2025</v>
      </c>
      <c r="AB620" s="42">
        <v>2802030</v>
      </c>
      <c r="AC620" s="42">
        <v>2802030</v>
      </c>
    </row>
    <row r="621" spans="1:29">
      <c r="A621" t="s">
        <v>45</v>
      </c>
      <c r="B621" t="s">
        <v>46</v>
      </c>
      <c r="C621" t="s">
        <v>47</v>
      </c>
      <c r="D621" t="s">
        <v>588</v>
      </c>
      <c r="E621" t="s">
        <v>49</v>
      </c>
      <c r="F621" t="s">
        <v>63</v>
      </c>
      <c r="G621" t="s">
        <v>51</v>
      </c>
      <c r="H621" s="17" t="s">
        <v>52</v>
      </c>
      <c r="I621" t="s">
        <v>53</v>
      </c>
      <c r="J621" t="s">
        <v>167</v>
      </c>
      <c r="K621">
        <v>1</v>
      </c>
      <c r="L621" t="s">
        <v>55</v>
      </c>
      <c r="M621" t="s">
        <v>56</v>
      </c>
      <c r="N621" t="s">
        <v>57</v>
      </c>
      <c r="O621" s="18" t="s">
        <v>58</v>
      </c>
      <c r="P621" s="18" t="s">
        <v>99</v>
      </c>
      <c r="Q621" s="17" t="s">
        <v>100</v>
      </c>
      <c r="R621" s="18" t="s">
        <v>101</v>
      </c>
      <c r="S621" s="32">
        <v>1</v>
      </c>
      <c r="T621" s="19">
        <v>1</v>
      </c>
      <c r="U621" s="17" t="s">
        <v>62</v>
      </c>
      <c r="V621" s="17">
        <v>45877</v>
      </c>
      <c r="W621" s="18">
        <v>8</v>
      </c>
      <c r="X621" s="17">
        <v>45877</v>
      </c>
      <c r="Y621" s="17">
        <v>45905</v>
      </c>
      <c r="Z621" s="45">
        <v>9</v>
      </c>
      <c r="AA621">
        <v>2025</v>
      </c>
      <c r="AB621" s="42">
        <v>118000</v>
      </c>
      <c r="AC621" s="42">
        <v>118000</v>
      </c>
    </row>
    <row r="622" spans="1:29">
      <c r="A622" t="s">
        <v>45</v>
      </c>
      <c r="B622" t="s">
        <v>46</v>
      </c>
      <c r="C622" t="s">
        <v>47</v>
      </c>
      <c r="D622" t="s">
        <v>591</v>
      </c>
      <c r="E622" t="s">
        <v>49</v>
      </c>
      <c r="F622" t="s">
        <v>50</v>
      </c>
      <c r="G622" t="s">
        <v>51</v>
      </c>
      <c r="H622" s="17" t="s">
        <v>52</v>
      </c>
      <c r="I622" t="s">
        <v>53</v>
      </c>
      <c r="J622" t="s">
        <v>104</v>
      </c>
      <c r="K622">
        <v>1</v>
      </c>
      <c r="L622" t="s">
        <v>55</v>
      </c>
      <c r="M622" t="s">
        <v>56</v>
      </c>
      <c r="N622" t="s">
        <v>57</v>
      </c>
      <c r="O622" s="18" t="s">
        <v>58</v>
      </c>
      <c r="P622" s="18" t="s">
        <v>549</v>
      </c>
      <c r="Q622" s="17" t="s">
        <v>562</v>
      </c>
      <c r="R622" s="18" t="s">
        <v>563</v>
      </c>
      <c r="S622" s="32">
        <v>6</v>
      </c>
      <c r="T622" s="19">
        <v>6</v>
      </c>
      <c r="U622" s="17" t="s">
        <v>62</v>
      </c>
      <c r="V622" s="17">
        <v>45925</v>
      </c>
      <c r="W622" s="18">
        <v>9</v>
      </c>
      <c r="X622" s="17">
        <v>45925</v>
      </c>
      <c r="Y622" s="17">
        <v>45930</v>
      </c>
      <c r="Z622" s="45">
        <v>9</v>
      </c>
      <c r="AA622">
        <v>2025</v>
      </c>
      <c r="AB622" s="42">
        <v>422436</v>
      </c>
      <c r="AC622" s="42">
        <v>422436</v>
      </c>
    </row>
    <row r="623" spans="1:29">
      <c r="A623" t="s">
        <v>45</v>
      </c>
      <c r="B623" t="s">
        <v>46</v>
      </c>
      <c r="C623" t="s">
        <v>47</v>
      </c>
      <c r="D623" t="s">
        <v>592</v>
      </c>
      <c r="E623" t="s">
        <v>49</v>
      </c>
      <c r="F623" t="s">
        <v>50</v>
      </c>
      <c r="G623" t="s">
        <v>51</v>
      </c>
      <c r="H623" s="17" t="s">
        <v>52</v>
      </c>
      <c r="I623" t="s">
        <v>53</v>
      </c>
      <c r="J623" t="s">
        <v>420</v>
      </c>
      <c r="K623">
        <v>1</v>
      </c>
      <c r="L623" t="s">
        <v>55</v>
      </c>
      <c r="M623" t="s">
        <v>56</v>
      </c>
      <c r="N623" t="s">
        <v>57</v>
      </c>
      <c r="O623" s="18" t="s">
        <v>58</v>
      </c>
      <c r="P623" s="18" t="s">
        <v>72</v>
      </c>
      <c r="Q623" s="17" t="s">
        <v>151</v>
      </c>
      <c r="R623" s="18" t="s">
        <v>152</v>
      </c>
      <c r="S623" s="32">
        <v>9</v>
      </c>
      <c r="T623" s="19">
        <v>9</v>
      </c>
      <c r="U623" s="17" t="s">
        <v>62</v>
      </c>
      <c r="V623" s="17">
        <v>45882</v>
      </c>
      <c r="W623" s="18">
        <v>8</v>
      </c>
      <c r="X623" s="17">
        <v>45883</v>
      </c>
      <c r="Y623" s="17">
        <v>45902</v>
      </c>
      <c r="Z623" s="45">
        <v>9</v>
      </c>
      <c r="AA623">
        <v>2025</v>
      </c>
      <c r="AB623" s="42">
        <v>257598</v>
      </c>
      <c r="AC623" s="42">
        <v>257598</v>
      </c>
    </row>
    <row r="624" spans="1:29">
      <c r="A624" t="s">
        <v>45</v>
      </c>
      <c r="B624" t="s">
        <v>46</v>
      </c>
      <c r="C624" t="s">
        <v>47</v>
      </c>
      <c r="D624" t="s">
        <v>592</v>
      </c>
      <c r="E624" t="s">
        <v>49</v>
      </c>
      <c r="F624" t="s">
        <v>63</v>
      </c>
      <c r="G624" t="s">
        <v>51</v>
      </c>
      <c r="H624" s="17" t="s">
        <v>52</v>
      </c>
      <c r="I624" t="s">
        <v>53</v>
      </c>
      <c r="J624" t="s">
        <v>420</v>
      </c>
      <c r="K624">
        <v>1</v>
      </c>
      <c r="L624" t="s">
        <v>55</v>
      </c>
      <c r="M624" t="s">
        <v>56</v>
      </c>
      <c r="N624" t="s">
        <v>57</v>
      </c>
      <c r="O624" s="18" t="s">
        <v>58</v>
      </c>
      <c r="P624" s="18" t="s">
        <v>86</v>
      </c>
      <c r="Q624" s="17" t="s">
        <v>289</v>
      </c>
      <c r="R624" s="18" t="s">
        <v>290</v>
      </c>
      <c r="S624" s="32">
        <v>423</v>
      </c>
      <c r="T624" s="19">
        <v>423</v>
      </c>
      <c r="U624" s="17" t="s">
        <v>62</v>
      </c>
      <c r="V624" s="17">
        <v>45882</v>
      </c>
      <c r="W624" s="18">
        <v>8</v>
      </c>
      <c r="X624" s="17">
        <v>45883</v>
      </c>
      <c r="Y624" s="17">
        <v>45902</v>
      </c>
      <c r="Z624" s="45">
        <v>9</v>
      </c>
      <c r="AA624">
        <v>2025</v>
      </c>
      <c r="AB624" s="42">
        <v>5972337</v>
      </c>
      <c r="AC624" s="42">
        <v>5972337</v>
      </c>
    </row>
    <row r="625" spans="1:29">
      <c r="A625" t="s">
        <v>45</v>
      </c>
      <c r="B625" t="s">
        <v>46</v>
      </c>
      <c r="C625" t="s">
        <v>47</v>
      </c>
      <c r="D625" t="s">
        <v>592</v>
      </c>
      <c r="E625" t="s">
        <v>49</v>
      </c>
      <c r="F625" t="s">
        <v>67</v>
      </c>
      <c r="G625" t="s">
        <v>51</v>
      </c>
      <c r="H625" s="17" t="s">
        <v>52</v>
      </c>
      <c r="I625" t="s">
        <v>53</v>
      </c>
      <c r="J625" t="s">
        <v>420</v>
      </c>
      <c r="K625">
        <v>1</v>
      </c>
      <c r="L625" t="s">
        <v>55</v>
      </c>
      <c r="M625" t="s">
        <v>56</v>
      </c>
      <c r="N625" t="s">
        <v>57</v>
      </c>
      <c r="O625" s="18" t="s">
        <v>58</v>
      </c>
      <c r="P625" s="18" t="s">
        <v>99</v>
      </c>
      <c r="Q625" s="17" t="s">
        <v>100</v>
      </c>
      <c r="R625" s="18" t="s">
        <v>101</v>
      </c>
      <c r="S625" s="32">
        <v>432</v>
      </c>
      <c r="T625" s="19">
        <v>432</v>
      </c>
      <c r="U625" s="17" t="s">
        <v>62</v>
      </c>
      <c r="V625" s="17">
        <v>45882</v>
      </c>
      <c r="W625" s="18">
        <v>8</v>
      </c>
      <c r="X625" s="17">
        <v>45883</v>
      </c>
      <c r="Y625" s="17">
        <v>45902</v>
      </c>
      <c r="Z625" s="45">
        <v>9</v>
      </c>
      <c r="AA625">
        <v>2025</v>
      </c>
      <c r="AB625" s="42">
        <v>112320</v>
      </c>
      <c r="AC625" s="42">
        <v>112320</v>
      </c>
    </row>
    <row r="626" spans="1:29">
      <c r="A626" t="s">
        <v>45</v>
      </c>
      <c r="B626" t="s">
        <v>46</v>
      </c>
      <c r="C626" t="s">
        <v>47</v>
      </c>
      <c r="D626" t="s">
        <v>487</v>
      </c>
      <c r="E626" t="s">
        <v>49</v>
      </c>
      <c r="F626" t="s">
        <v>593</v>
      </c>
      <c r="G626" t="s">
        <v>51</v>
      </c>
      <c r="H626" s="17" t="s">
        <v>52</v>
      </c>
      <c r="I626" t="s">
        <v>53</v>
      </c>
      <c r="J626" t="s">
        <v>54</v>
      </c>
      <c r="K626">
        <v>1</v>
      </c>
      <c r="L626" t="s">
        <v>55</v>
      </c>
      <c r="M626" t="s">
        <v>56</v>
      </c>
      <c r="N626" t="s">
        <v>57</v>
      </c>
      <c r="O626" s="18" t="s">
        <v>58</v>
      </c>
      <c r="P626" s="18" t="s">
        <v>99</v>
      </c>
      <c r="Q626" s="17" t="s">
        <v>100</v>
      </c>
      <c r="R626" s="18" t="s">
        <v>101</v>
      </c>
      <c r="S626" s="32">
        <v>142</v>
      </c>
      <c r="T626" s="19">
        <v>119</v>
      </c>
      <c r="U626" s="17" t="s">
        <v>62</v>
      </c>
      <c r="V626" s="17">
        <v>45867</v>
      </c>
      <c r="W626" s="18">
        <v>7</v>
      </c>
      <c r="X626" s="17">
        <v>45960</v>
      </c>
      <c r="Y626" s="17">
        <v>45904</v>
      </c>
      <c r="Z626" s="45">
        <v>9</v>
      </c>
      <c r="AA626">
        <v>2025</v>
      </c>
      <c r="AB626" s="42">
        <v>24566</v>
      </c>
      <c r="AC626" s="42">
        <v>20587</v>
      </c>
    </row>
    <row r="627" spans="1:29">
      <c r="A627" t="s">
        <v>45</v>
      </c>
      <c r="B627" t="s">
        <v>46</v>
      </c>
      <c r="C627" t="s">
        <v>47</v>
      </c>
      <c r="D627" t="s">
        <v>487</v>
      </c>
      <c r="E627" t="s">
        <v>49</v>
      </c>
      <c r="F627" t="s">
        <v>594</v>
      </c>
      <c r="G627" t="s">
        <v>51</v>
      </c>
      <c r="H627" s="17" t="s">
        <v>52</v>
      </c>
      <c r="I627" t="s">
        <v>53</v>
      </c>
      <c r="J627" t="s">
        <v>54</v>
      </c>
      <c r="K627">
        <v>1</v>
      </c>
      <c r="L627" t="s">
        <v>55</v>
      </c>
      <c r="M627" t="s">
        <v>56</v>
      </c>
      <c r="N627" t="s">
        <v>57</v>
      </c>
      <c r="O627" s="18" t="s">
        <v>58</v>
      </c>
      <c r="P627" s="18" t="s">
        <v>137</v>
      </c>
      <c r="Q627" s="17" t="s">
        <v>595</v>
      </c>
      <c r="R627" s="18" t="s">
        <v>596</v>
      </c>
      <c r="S627" s="32">
        <v>142</v>
      </c>
      <c r="T627" s="19">
        <v>119</v>
      </c>
      <c r="U627" s="17" t="s">
        <v>62</v>
      </c>
      <c r="V627" s="17">
        <v>45867</v>
      </c>
      <c r="W627" s="18">
        <v>7</v>
      </c>
      <c r="X627" s="17">
        <v>45960</v>
      </c>
      <c r="Y627" s="17">
        <v>45904</v>
      </c>
      <c r="Z627" s="45">
        <v>9</v>
      </c>
      <c r="AA627">
        <v>2025</v>
      </c>
      <c r="AB627" s="42">
        <v>4958640</v>
      </c>
      <c r="AC627" s="42">
        <v>4155480</v>
      </c>
    </row>
    <row r="628" spans="1:29">
      <c r="A628" t="s">
        <v>45</v>
      </c>
      <c r="B628" t="s">
        <v>46</v>
      </c>
      <c r="C628" t="s">
        <v>47</v>
      </c>
      <c r="D628" t="s">
        <v>487</v>
      </c>
      <c r="E628" t="s">
        <v>49</v>
      </c>
      <c r="F628" t="s">
        <v>79</v>
      </c>
      <c r="G628" t="s">
        <v>51</v>
      </c>
      <c r="H628" s="17" t="s">
        <v>52</v>
      </c>
      <c r="I628" t="s">
        <v>53</v>
      </c>
      <c r="J628" t="s">
        <v>54</v>
      </c>
      <c r="K628">
        <v>1</v>
      </c>
      <c r="L628" t="s">
        <v>55</v>
      </c>
      <c r="M628" t="s">
        <v>56</v>
      </c>
      <c r="N628" t="s">
        <v>57</v>
      </c>
      <c r="O628" s="18" t="s">
        <v>58</v>
      </c>
      <c r="P628" s="18" t="s">
        <v>86</v>
      </c>
      <c r="Q628" s="17" t="s">
        <v>289</v>
      </c>
      <c r="R628" s="18" t="s">
        <v>290</v>
      </c>
      <c r="S628" s="32">
        <v>3109</v>
      </c>
      <c r="T628" s="19">
        <v>3039</v>
      </c>
      <c r="U628" s="17" t="s">
        <v>62</v>
      </c>
      <c r="V628" s="17">
        <v>45867</v>
      </c>
      <c r="W628" s="18">
        <v>7</v>
      </c>
      <c r="X628" s="17">
        <v>45960</v>
      </c>
      <c r="Y628" s="17">
        <v>45904</v>
      </c>
      <c r="Z628" s="45">
        <v>9</v>
      </c>
      <c r="AA628">
        <v>2025</v>
      </c>
      <c r="AB628" s="42">
        <v>34258071</v>
      </c>
      <c r="AC628" s="42">
        <v>33486741</v>
      </c>
    </row>
    <row r="629" spans="1:29">
      <c r="A629" t="s">
        <v>45</v>
      </c>
      <c r="B629" t="s">
        <v>46</v>
      </c>
      <c r="C629" t="s">
        <v>47</v>
      </c>
      <c r="D629" t="s">
        <v>487</v>
      </c>
      <c r="E629" t="s">
        <v>49</v>
      </c>
      <c r="F629" t="s">
        <v>335</v>
      </c>
      <c r="G629" t="s">
        <v>51</v>
      </c>
      <c r="H629" s="17" t="s">
        <v>52</v>
      </c>
      <c r="I629" t="s">
        <v>53</v>
      </c>
      <c r="J629" t="s">
        <v>54</v>
      </c>
      <c r="K629">
        <v>1</v>
      </c>
      <c r="L629" t="s">
        <v>55</v>
      </c>
      <c r="M629" t="s">
        <v>56</v>
      </c>
      <c r="N629" t="s">
        <v>57</v>
      </c>
      <c r="O629" s="18" t="s">
        <v>58</v>
      </c>
      <c r="P629" s="18" t="s">
        <v>99</v>
      </c>
      <c r="Q629" s="17" t="s">
        <v>100</v>
      </c>
      <c r="R629" s="18" t="s">
        <v>101</v>
      </c>
      <c r="S629" s="32">
        <v>220</v>
      </c>
      <c r="T629" s="19">
        <v>220</v>
      </c>
      <c r="U629" s="17" t="s">
        <v>62</v>
      </c>
      <c r="V629" s="17">
        <v>45867</v>
      </c>
      <c r="W629" s="18">
        <v>7</v>
      </c>
      <c r="X629" s="17">
        <v>45960</v>
      </c>
      <c r="Y629" s="17">
        <v>45904</v>
      </c>
      <c r="Z629" s="45">
        <v>9</v>
      </c>
      <c r="AA629">
        <v>2025</v>
      </c>
      <c r="AB629" s="42">
        <v>4180</v>
      </c>
      <c r="AC629" s="42">
        <v>4180</v>
      </c>
    </row>
    <row r="630" spans="1:29">
      <c r="A630" t="s">
        <v>45</v>
      </c>
      <c r="B630" t="s">
        <v>46</v>
      </c>
      <c r="C630" t="s">
        <v>47</v>
      </c>
      <c r="D630" t="s">
        <v>487</v>
      </c>
      <c r="E630" t="s">
        <v>49</v>
      </c>
      <c r="F630" t="s">
        <v>336</v>
      </c>
      <c r="G630" t="s">
        <v>51</v>
      </c>
      <c r="H630" s="17" t="s">
        <v>52</v>
      </c>
      <c r="I630" t="s">
        <v>53</v>
      </c>
      <c r="J630" t="s">
        <v>54</v>
      </c>
      <c r="K630">
        <v>1</v>
      </c>
      <c r="L630" t="s">
        <v>55</v>
      </c>
      <c r="M630" t="s">
        <v>56</v>
      </c>
      <c r="N630" t="s">
        <v>57</v>
      </c>
      <c r="O630" s="18" t="s">
        <v>58</v>
      </c>
      <c r="P630" s="18" t="s">
        <v>94</v>
      </c>
      <c r="Q630" s="17" t="s">
        <v>95</v>
      </c>
      <c r="R630" s="18" t="s">
        <v>96</v>
      </c>
      <c r="S630" s="32">
        <v>220</v>
      </c>
      <c r="T630" s="19">
        <v>220</v>
      </c>
      <c r="U630" s="17" t="s">
        <v>62</v>
      </c>
      <c r="V630" s="17">
        <v>45867</v>
      </c>
      <c r="W630" s="18">
        <v>7</v>
      </c>
      <c r="X630" s="17">
        <v>45960</v>
      </c>
      <c r="Y630" s="17">
        <v>45904</v>
      </c>
      <c r="Z630" s="45">
        <v>9</v>
      </c>
      <c r="AA630">
        <v>2025</v>
      </c>
      <c r="AB630" s="42">
        <v>3816340</v>
      </c>
      <c r="AC630" s="42">
        <v>3816340</v>
      </c>
    </row>
    <row r="631" spans="1:29">
      <c r="A631" t="s">
        <v>45</v>
      </c>
      <c r="B631" t="s">
        <v>46</v>
      </c>
      <c r="C631" t="s">
        <v>47</v>
      </c>
      <c r="D631" t="s">
        <v>487</v>
      </c>
      <c r="E631" t="s">
        <v>49</v>
      </c>
      <c r="F631" t="s">
        <v>439</v>
      </c>
      <c r="G631" t="s">
        <v>51</v>
      </c>
      <c r="H631" s="17" t="s">
        <v>52</v>
      </c>
      <c r="I631" t="s">
        <v>53</v>
      </c>
      <c r="J631" t="s">
        <v>54</v>
      </c>
      <c r="K631">
        <v>1</v>
      </c>
      <c r="L631" t="s">
        <v>55</v>
      </c>
      <c r="M631" t="s">
        <v>56</v>
      </c>
      <c r="N631" t="s">
        <v>57</v>
      </c>
      <c r="O631" s="18" t="s">
        <v>58</v>
      </c>
      <c r="P631" s="18" t="s">
        <v>99</v>
      </c>
      <c r="Q631" s="17" t="s">
        <v>100</v>
      </c>
      <c r="R631" s="18" t="s">
        <v>101</v>
      </c>
      <c r="S631" s="32">
        <v>220</v>
      </c>
      <c r="T631" s="19">
        <v>220</v>
      </c>
      <c r="U631" s="17" t="s">
        <v>62</v>
      </c>
      <c r="V631" s="17">
        <v>45867</v>
      </c>
      <c r="W631" s="18">
        <v>7</v>
      </c>
      <c r="X631" s="17">
        <v>45960</v>
      </c>
      <c r="Y631" s="17">
        <v>45904</v>
      </c>
      <c r="Z631" s="45">
        <v>9</v>
      </c>
      <c r="AA631">
        <v>2025</v>
      </c>
      <c r="AB631" s="42">
        <v>3300</v>
      </c>
      <c r="AC631" s="42">
        <v>3300</v>
      </c>
    </row>
    <row r="632" spans="1:29">
      <c r="A632" t="s">
        <v>45</v>
      </c>
      <c r="B632" t="s">
        <v>46</v>
      </c>
      <c r="C632" t="s">
        <v>47</v>
      </c>
      <c r="D632" t="s">
        <v>487</v>
      </c>
      <c r="E632" t="s">
        <v>49</v>
      </c>
      <c r="F632" t="s">
        <v>440</v>
      </c>
      <c r="G632" t="s">
        <v>51</v>
      </c>
      <c r="H632" s="17" t="s">
        <v>52</v>
      </c>
      <c r="I632" t="s">
        <v>53</v>
      </c>
      <c r="J632" t="s">
        <v>54</v>
      </c>
      <c r="K632">
        <v>1</v>
      </c>
      <c r="L632" t="s">
        <v>55</v>
      </c>
      <c r="M632" t="s">
        <v>56</v>
      </c>
      <c r="N632" t="s">
        <v>57</v>
      </c>
      <c r="O632" s="18" t="s">
        <v>58</v>
      </c>
      <c r="P632" s="18" t="s">
        <v>94</v>
      </c>
      <c r="Q632" s="17" t="s">
        <v>441</v>
      </c>
      <c r="R632" s="18" t="s">
        <v>442</v>
      </c>
      <c r="S632" s="32">
        <v>220</v>
      </c>
      <c r="T632" s="19">
        <v>220</v>
      </c>
      <c r="U632" s="17" t="s">
        <v>62</v>
      </c>
      <c r="V632" s="17">
        <v>45867</v>
      </c>
      <c r="W632" s="18">
        <v>7</v>
      </c>
      <c r="X632" s="17">
        <v>45960</v>
      </c>
      <c r="Y632" s="17">
        <v>45904</v>
      </c>
      <c r="Z632" s="45">
        <v>9</v>
      </c>
      <c r="AA632">
        <v>2025</v>
      </c>
      <c r="AB632" s="42">
        <v>2481380</v>
      </c>
      <c r="AC632" s="42">
        <v>2481380</v>
      </c>
    </row>
    <row r="633" spans="1:29">
      <c r="A633" t="s">
        <v>45</v>
      </c>
      <c r="B633" t="s">
        <v>46</v>
      </c>
      <c r="C633" t="s">
        <v>47</v>
      </c>
      <c r="D633" t="s">
        <v>487</v>
      </c>
      <c r="E633" t="s">
        <v>49</v>
      </c>
      <c r="F633" t="s">
        <v>515</v>
      </c>
      <c r="G633" t="s">
        <v>51</v>
      </c>
      <c r="H633" s="17" t="s">
        <v>52</v>
      </c>
      <c r="I633" t="s">
        <v>53</v>
      </c>
      <c r="J633" t="s">
        <v>54</v>
      </c>
      <c r="K633">
        <v>1</v>
      </c>
      <c r="L633" t="s">
        <v>55</v>
      </c>
      <c r="M633" t="s">
        <v>56</v>
      </c>
      <c r="N633" t="s">
        <v>57</v>
      </c>
      <c r="O633" s="18" t="s">
        <v>58</v>
      </c>
      <c r="P633" s="18" t="s">
        <v>99</v>
      </c>
      <c r="Q633" s="17" t="s">
        <v>100</v>
      </c>
      <c r="R633" s="18" t="s">
        <v>101</v>
      </c>
      <c r="S633" s="32">
        <v>48</v>
      </c>
      <c r="T633" s="19">
        <v>48</v>
      </c>
      <c r="U633" s="17" t="s">
        <v>62</v>
      </c>
      <c r="V633" s="17">
        <v>45867</v>
      </c>
      <c r="W633" s="18">
        <v>7</v>
      </c>
      <c r="X633" s="17">
        <v>45960</v>
      </c>
      <c r="Y633" s="17">
        <v>45904</v>
      </c>
      <c r="Z633" s="45">
        <v>9</v>
      </c>
      <c r="AA633">
        <v>2025</v>
      </c>
      <c r="AB633" s="42">
        <v>240</v>
      </c>
      <c r="AC633" s="42">
        <v>240</v>
      </c>
    </row>
    <row r="634" spans="1:29">
      <c r="A634" t="s">
        <v>45</v>
      </c>
      <c r="B634" t="s">
        <v>46</v>
      </c>
      <c r="C634" t="s">
        <v>47</v>
      </c>
      <c r="D634" t="s">
        <v>487</v>
      </c>
      <c r="E634" t="s">
        <v>49</v>
      </c>
      <c r="F634" t="s">
        <v>516</v>
      </c>
      <c r="G634" t="s">
        <v>51</v>
      </c>
      <c r="H634" s="17" t="s">
        <v>52</v>
      </c>
      <c r="I634" t="s">
        <v>53</v>
      </c>
      <c r="J634" t="s">
        <v>54</v>
      </c>
      <c r="K634">
        <v>1</v>
      </c>
      <c r="L634" t="s">
        <v>55</v>
      </c>
      <c r="M634" t="s">
        <v>56</v>
      </c>
      <c r="N634" t="s">
        <v>57</v>
      </c>
      <c r="O634" s="18" t="s">
        <v>58</v>
      </c>
      <c r="P634" s="18" t="s">
        <v>64</v>
      </c>
      <c r="Q634" s="17" t="s">
        <v>92</v>
      </c>
      <c r="R634" s="18" t="s">
        <v>93</v>
      </c>
      <c r="S634" s="32">
        <v>48</v>
      </c>
      <c r="T634" s="19">
        <v>48</v>
      </c>
      <c r="U634" s="17" t="s">
        <v>62</v>
      </c>
      <c r="V634" s="17">
        <v>45867</v>
      </c>
      <c r="W634" s="18">
        <v>7</v>
      </c>
      <c r="X634" s="17">
        <v>45960</v>
      </c>
      <c r="Y634" s="17">
        <v>45904</v>
      </c>
      <c r="Z634" s="45">
        <v>9</v>
      </c>
      <c r="AA634">
        <v>2025</v>
      </c>
      <c r="AB634" s="42">
        <v>689712</v>
      </c>
      <c r="AC634" s="42">
        <v>689712</v>
      </c>
    </row>
    <row r="635" spans="1:29">
      <c r="A635" t="s">
        <v>45</v>
      </c>
      <c r="B635" t="s">
        <v>46</v>
      </c>
      <c r="C635" t="s">
        <v>47</v>
      </c>
      <c r="D635" t="s">
        <v>487</v>
      </c>
      <c r="E635" t="s">
        <v>49</v>
      </c>
      <c r="F635" t="s">
        <v>460</v>
      </c>
      <c r="G635" t="s">
        <v>51</v>
      </c>
      <c r="H635" s="17" t="s">
        <v>52</v>
      </c>
      <c r="I635" t="s">
        <v>53</v>
      </c>
      <c r="J635" t="s">
        <v>54</v>
      </c>
      <c r="K635">
        <v>1</v>
      </c>
      <c r="L635" t="s">
        <v>55</v>
      </c>
      <c r="M635" t="s">
        <v>56</v>
      </c>
      <c r="N635" t="s">
        <v>57</v>
      </c>
      <c r="O635" s="18" t="s">
        <v>58</v>
      </c>
      <c r="P635" s="18" t="s">
        <v>99</v>
      </c>
      <c r="Q635" s="17" t="s">
        <v>256</v>
      </c>
      <c r="R635" s="18" t="s">
        <v>257</v>
      </c>
      <c r="S635" s="32">
        <v>486</v>
      </c>
      <c r="T635" s="19">
        <v>486</v>
      </c>
      <c r="U635" s="17" t="s">
        <v>62</v>
      </c>
      <c r="V635" s="17">
        <v>45867</v>
      </c>
      <c r="W635" s="18">
        <v>7</v>
      </c>
      <c r="X635" s="17">
        <v>45960</v>
      </c>
      <c r="Y635" s="17">
        <v>45922</v>
      </c>
      <c r="Z635" s="45">
        <v>9</v>
      </c>
      <c r="AA635">
        <v>2025</v>
      </c>
      <c r="AB635" s="42">
        <v>7875144</v>
      </c>
      <c r="AC635" s="42">
        <v>7875144</v>
      </c>
    </row>
    <row r="636" spans="1:29">
      <c r="A636" t="s">
        <v>45</v>
      </c>
      <c r="B636" t="s">
        <v>46</v>
      </c>
      <c r="C636" t="s">
        <v>47</v>
      </c>
      <c r="D636" t="s">
        <v>487</v>
      </c>
      <c r="E636" t="s">
        <v>49</v>
      </c>
      <c r="F636" t="s">
        <v>461</v>
      </c>
      <c r="G636" t="s">
        <v>51</v>
      </c>
      <c r="H636" s="17" t="s">
        <v>52</v>
      </c>
      <c r="I636" t="s">
        <v>53</v>
      </c>
      <c r="J636" t="s">
        <v>54</v>
      </c>
      <c r="K636">
        <v>1</v>
      </c>
      <c r="L636" t="s">
        <v>55</v>
      </c>
      <c r="M636" t="s">
        <v>56</v>
      </c>
      <c r="N636" t="s">
        <v>57</v>
      </c>
      <c r="O636" s="18" t="s">
        <v>58</v>
      </c>
      <c r="P636" s="18" t="s">
        <v>99</v>
      </c>
      <c r="Q636" s="17" t="s">
        <v>100</v>
      </c>
      <c r="R636" s="18" t="s">
        <v>101</v>
      </c>
      <c r="S636" s="32">
        <v>5</v>
      </c>
      <c r="T636" s="19">
        <v>5</v>
      </c>
      <c r="U636" s="17" t="s">
        <v>62</v>
      </c>
      <c r="V636" s="17">
        <v>45867</v>
      </c>
      <c r="W636" s="18">
        <v>7</v>
      </c>
      <c r="X636" s="17">
        <v>45960</v>
      </c>
      <c r="Y636" s="17">
        <v>45904</v>
      </c>
      <c r="Z636" s="45">
        <v>9</v>
      </c>
      <c r="AA636">
        <v>2025</v>
      </c>
      <c r="AB636" s="42">
        <v>375</v>
      </c>
      <c r="AC636" s="42">
        <v>375</v>
      </c>
    </row>
    <row r="637" spans="1:29">
      <c r="A637" t="s">
        <v>45</v>
      </c>
      <c r="B637" t="s">
        <v>46</v>
      </c>
      <c r="C637" t="s">
        <v>47</v>
      </c>
      <c r="D637" t="s">
        <v>487</v>
      </c>
      <c r="E637" t="s">
        <v>49</v>
      </c>
      <c r="F637" t="s">
        <v>462</v>
      </c>
      <c r="G637" t="s">
        <v>51</v>
      </c>
      <c r="H637" s="17" t="s">
        <v>52</v>
      </c>
      <c r="I637" t="s">
        <v>53</v>
      </c>
      <c r="J637" t="s">
        <v>54</v>
      </c>
      <c r="K637">
        <v>1</v>
      </c>
      <c r="L637" t="s">
        <v>55</v>
      </c>
      <c r="M637" t="s">
        <v>56</v>
      </c>
      <c r="N637" t="s">
        <v>57</v>
      </c>
      <c r="O637" s="18" t="s">
        <v>58</v>
      </c>
      <c r="P637" s="18" t="s">
        <v>89</v>
      </c>
      <c r="Q637" s="17" t="s">
        <v>90</v>
      </c>
      <c r="R637" s="18" t="s">
        <v>91</v>
      </c>
      <c r="S637" s="32">
        <v>5</v>
      </c>
      <c r="T637" s="19">
        <v>5</v>
      </c>
      <c r="U637" s="17" t="s">
        <v>62</v>
      </c>
      <c r="V637" s="17">
        <v>45867</v>
      </c>
      <c r="W637" s="18">
        <v>7</v>
      </c>
      <c r="X637" s="17">
        <v>45960</v>
      </c>
      <c r="Y637" s="17">
        <v>45904</v>
      </c>
      <c r="Z637" s="45">
        <v>9</v>
      </c>
      <c r="AA637">
        <v>2025</v>
      </c>
      <c r="AB637" s="42">
        <v>725885</v>
      </c>
      <c r="AC637" s="42">
        <v>725885</v>
      </c>
    </row>
    <row r="638" spans="1:29">
      <c r="A638" t="s">
        <v>45</v>
      </c>
      <c r="B638" t="s">
        <v>46</v>
      </c>
      <c r="C638" t="s">
        <v>47</v>
      </c>
      <c r="D638" t="s">
        <v>487</v>
      </c>
      <c r="E638" t="s">
        <v>49</v>
      </c>
      <c r="F638" t="s">
        <v>463</v>
      </c>
      <c r="G638" t="s">
        <v>51</v>
      </c>
      <c r="H638" s="17" t="s">
        <v>52</v>
      </c>
      <c r="I638" t="s">
        <v>53</v>
      </c>
      <c r="J638" t="s">
        <v>54</v>
      </c>
      <c r="K638">
        <v>1</v>
      </c>
      <c r="L638" t="s">
        <v>55</v>
      </c>
      <c r="M638" t="s">
        <v>56</v>
      </c>
      <c r="N638" t="s">
        <v>57</v>
      </c>
      <c r="O638" s="18" t="s">
        <v>58</v>
      </c>
      <c r="P638" s="18" t="s">
        <v>99</v>
      </c>
      <c r="Q638" s="17" t="s">
        <v>100</v>
      </c>
      <c r="R638" s="18" t="s">
        <v>101</v>
      </c>
      <c r="S638" s="32">
        <v>1162</v>
      </c>
      <c r="T638" s="19">
        <v>1162</v>
      </c>
      <c r="U638" s="17" t="s">
        <v>62</v>
      </c>
      <c r="V638" s="17">
        <v>45867</v>
      </c>
      <c r="W638" s="18">
        <v>7</v>
      </c>
      <c r="X638" s="17">
        <v>45960</v>
      </c>
      <c r="Y638" s="17">
        <v>45936</v>
      </c>
      <c r="Z638" s="45">
        <v>10</v>
      </c>
      <c r="AA638">
        <v>2025</v>
      </c>
      <c r="AB638" s="42">
        <v>402052</v>
      </c>
      <c r="AC638" s="42">
        <v>402052</v>
      </c>
    </row>
    <row r="639" spans="1:29">
      <c r="A639" t="s">
        <v>45</v>
      </c>
      <c r="B639" t="s">
        <v>46</v>
      </c>
      <c r="C639" t="s">
        <v>47</v>
      </c>
      <c r="D639" t="s">
        <v>487</v>
      </c>
      <c r="E639" t="s">
        <v>49</v>
      </c>
      <c r="F639" t="s">
        <v>464</v>
      </c>
      <c r="G639" t="s">
        <v>51</v>
      </c>
      <c r="H639" s="17" t="s">
        <v>52</v>
      </c>
      <c r="I639" t="s">
        <v>53</v>
      </c>
      <c r="J639" t="s">
        <v>54</v>
      </c>
      <c r="K639">
        <v>1</v>
      </c>
      <c r="L639" t="s">
        <v>55</v>
      </c>
      <c r="M639" t="s">
        <v>56</v>
      </c>
      <c r="N639" t="s">
        <v>57</v>
      </c>
      <c r="O639" s="18" t="s">
        <v>58</v>
      </c>
      <c r="P639" s="18" t="s">
        <v>86</v>
      </c>
      <c r="Q639" s="17" t="s">
        <v>87</v>
      </c>
      <c r="R639" s="18" t="s">
        <v>88</v>
      </c>
      <c r="S639" s="32">
        <v>1162</v>
      </c>
      <c r="T639" s="19">
        <v>1162</v>
      </c>
      <c r="U639" s="17" t="s">
        <v>62</v>
      </c>
      <c r="V639" s="17">
        <v>45867</v>
      </c>
      <c r="W639" s="18">
        <v>7</v>
      </c>
      <c r="X639" s="17">
        <v>45960</v>
      </c>
      <c r="Y639" s="17">
        <v>45936</v>
      </c>
      <c r="Z639" s="45">
        <v>10</v>
      </c>
      <c r="AA639">
        <v>2025</v>
      </c>
      <c r="AB639" s="42">
        <v>34279000</v>
      </c>
      <c r="AC639" s="42">
        <v>34279000</v>
      </c>
    </row>
    <row r="640" spans="1:29">
      <c r="A640" t="s">
        <v>45</v>
      </c>
      <c r="B640" t="s">
        <v>46</v>
      </c>
      <c r="C640" t="s">
        <v>47</v>
      </c>
      <c r="D640" t="s">
        <v>487</v>
      </c>
      <c r="E640" t="s">
        <v>49</v>
      </c>
      <c r="F640" t="s">
        <v>98</v>
      </c>
      <c r="G640" t="s">
        <v>51</v>
      </c>
      <c r="H640" s="17" t="s">
        <v>52</v>
      </c>
      <c r="I640" t="s">
        <v>53</v>
      </c>
      <c r="J640" t="s">
        <v>54</v>
      </c>
      <c r="K640">
        <v>1</v>
      </c>
      <c r="L640" t="s">
        <v>55</v>
      </c>
      <c r="M640" t="s">
        <v>56</v>
      </c>
      <c r="N640" t="s">
        <v>57</v>
      </c>
      <c r="O640" s="18" t="s">
        <v>58</v>
      </c>
      <c r="P640" s="18" t="s">
        <v>99</v>
      </c>
      <c r="Q640" s="17" t="s">
        <v>100</v>
      </c>
      <c r="R640" s="18" t="s">
        <v>101</v>
      </c>
      <c r="S640" s="32">
        <v>791</v>
      </c>
      <c r="T640" s="19">
        <v>100</v>
      </c>
      <c r="U640" s="17" t="s">
        <v>62</v>
      </c>
      <c r="V640" s="17">
        <v>45867</v>
      </c>
      <c r="W640" s="18">
        <v>7</v>
      </c>
      <c r="X640" s="17">
        <v>45960</v>
      </c>
      <c r="Y640" s="17">
        <v>45958</v>
      </c>
      <c r="Z640" s="45">
        <v>10</v>
      </c>
      <c r="AA640">
        <v>2025</v>
      </c>
      <c r="AB640" s="42">
        <v>238882</v>
      </c>
      <c r="AC640" s="42">
        <v>30200</v>
      </c>
    </row>
    <row r="641" spans="1:29">
      <c r="A641" t="s">
        <v>45</v>
      </c>
      <c r="B641" t="s">
        <v>46</v>
      </c>
      <c r="C641" t="s">
        <v>47</v>
      </c>
      <c r="D641" t="s">
        <v>487</v>
      </c>
      <c r="E641" t="s">
        <v>49</v>
      </c>
      <c r="F641" t="s">
        <v>334</v>
      </c>
      <c r="G641" t="s">
        <v>51</v>
      </c>
      <c r="H641" s="17" t="s">
        <v>52</v>
      </c>
      <c r="I641" t="s">
        <v>53</v>
      </c>
      <c r="J641" t="s">
        <v>54</v>
      </c>
      <c r="K641">
        <v>1</v>
      </c>
      <c r="L641" t="s">
        <v>55</v>
      </c>
      <c r="M641" t="s">
        <v>56</v>
      </c>
      <c r="N641" t="s">
        <v>57</v>
      </c>
      <c r="O641" s="18" t="s">
        <v>58</v>
      </c>
      <c r="P641" s="18" t="s">
        <v>86</v>
      </c>
      <c r="Q641" s="17" t="s">
        <v>483</v>
      </c>
      <c r="R641" s="18" t="s">
        <v>484</v>
      </c>
      <c r="S641" s="32">
        <v>791</v>
      </c>
      <c r="T641" s="19">
        <v>100</v>
      </c>
      <c r="U641" s="17" t="s">
        <v>62</v>
      </c>
      <c r="V641" s="17">
        <v>45867</v>
      </c>
      <c r="W641" s="18">
        <v>7</v>
      </c>
      <c r="X641" s="17">
        <v>45960</v>
      </c>
      <c r="Y641" s="17">
        <v>45958</v>
      </c>
      <c r="Z641" s="45">
        <v>10</v>
      </c>
      <c r="AA641">
        <v>2025</v>
      </c>
      <c r="AB641" s="42">
        <v>11390400</v>
      </c>
      <c r="AC641" s="42">
        <v>1440000</v>
      </c>
    </row>
    <row r="642" spans="1:29">
      <c r="A642" t="s">
        <v>45</v>
      </c>
      <c r="B642" t="s">
        <v>46</v>
      </c>
      <c r="C642" t="s">
        <v>47</v>
      </c>
      <c r="D642" t="s">
        <v>530</v>
      </c>
      <c r="E642" t="s">
        <v>49</v>
      </c>
      <c r="F642" t="s">
        <v>440</v>
      </c>
      <c r="G642" t="s">
        <v>51</v>
      </c>
      <c r="H642" s="17" t="s">
        <v>52</v>
      </c>
      <c r="I642" t="s">
        <v>53</v>
      </c>
      <c r="J642" t="s">
        <v>54</v>
      </c>
      <c r="K642">
        <v>1</v>
      </c>
      <c r="L642" t="s">
        <v>55</v>
      </c>
      <c r="M642" t="s">
        <v>56</v>
      </c>
      <c r="N642" t="s">
        <v>57</v>
      </c>
      <c r="O642" s="18" t="s">
        <v>58</v>
      </c>
      <c r="P642" s="18" t="s">
        <v>99</v>
      </c>
      <c r="Q642" s="17" t="s">
        <v>100</v>
      </c>
      <c r="R642" s="18" t="s">
        <v>101</v>
      </c>
      <c r="S642" s="32">
        <v>258</v>
      </c>
      <c r="T642" s="19">
        <v>65</v>
      </c>
      <c r="U642" s="17" t="s">
        <v>62</v>
      </c>
      <c r="V642" s="17">
        <v>45834</v>
      </c>
      <c r="W642" s="18">
        <v>6</v>
      </c>
      <c r="X642" s="17">
        <v>45926</v>
      </c>
      <c r="Y642" s="17">
        <v>45953</v>
      </c>
      <c r="Z642" s="45">
        <v>10</v>
      </c>
      <c r="AA642">
        <v>2025</v>
      </c>
      <c r="AB642" s="42">
        <v>3870</v>
      </c>
      <c r="AC642" s="42">
        <v>975</v>
      </c>
    </row>
    <row r="643" spans="1:29">
      <c r="A643" t="s">
        <v>45</v>
      </c>
      <c r="B643" t="s">
        <v>46</v>
      </c>
      <c r="C643" t="s">
        <v>47</v>
      </c>
      <c r="D643" t="s">
        <v>487</v>
      </c>
      <c r="E643" t="s">
        <v>49</v>
      </c>
      <c r="F643" t="s">
        <v>75</v>
      </c>
      <c r="G643" t="s">
        <v>51</v>
      </c>
      <c r="H643" s="17" t="s">
        <v>52</v>
      </c>
      <c r="I643" t="s">
        <v>53</v>
      </c>
      <c r="J643" t="s">
        <v>54</v>
      </c>
      <c r="K643">
        <v>1</v>
      </c>
      <c r="L643" t="s">
        <v>55</v>
      </c>
      <c r="M643" t="s">
        <v>56</v>
      </c>
      <c r="N643" t="s">
        <v>57</v>
      </c>
      <c r="O643" s="18" t="s">
        <v>58</v>
      </c>
      <c r="P643" s="18" t="s">
        <v>99</v>
      </c>
      <c r="Q643" s="17" t="s">
        <v>100</v>
      </c>
      <c r="R643" s="18" t="s">
        <v>101</v>
      </c>
      <c r="S643" s="32">
        <v>3109</v>
      </c>
      <c r="T643" s="19">
        <v>3039</v>
      </c>
      <c r="U643" s="17" t="s">
        <v>62</v>
      </c>
      <c r="V643" s="17">
        <v>45867</v>
      </c>
      <c r="W643" s="18">
        <v>7</v>
      </c>
      <c r="X643" s="17">
        <v>45960</v>
      </c>
      <c r="Y643" s="17">
        <v>45946</v>
      </c>
      <c r="Z643" s="45">
        <v>10</v>
      </c>
      <c r="AA643">
        <v>2025</v>
      </c>
      <c r="AB643" s="42">
        <v>938918</v>
      </c>
      <c r="AC643" s="42">
        <v>917778</v>
      </c>
    </row>
    <row r="644" spans="1:29">
      <c r="A644" t="s">
        <v>45</v>
      </c>
      <c r="B644" t="s">
        <v>46</v>
      </c>
      <c r="C644" t="s">
        <v>47</v>
      </c>
      <c r="D644" t="s">
        <v>435</v>
      </c>
      <c r="E644" t="s">
        <v>49</v>
      </c>
      <c r="F644" t="s">
        <v>63</v>
      </c>
      <c r="G644" t="s">
        <v>51</v>
      </c>
      <c r="H644" s="17" t="s">
        <v>52</v>
      </c>
      <c r="I644" t="s">
        <v>53</v>
      </c>
      <c r="J644" t="s">
        <v>54</v>
      </c>
      <c r="K644">
        <v>1</v>
      </c>
      <c r="L644" t="s">
        <v>55</v>
      </c>
      <c r="M644" t="s">
        <v>56</v>
      </c>
      <c r="N644" t="s">
        <v>57</v>
      </c>
      <c r="O644" s="18" t="s">
        <v>58</v>
      </c>
      <c r="P644" s="18" t="s">
        <v>72</v>
      </c>
      <c r="Q644" s="17" t="s">
        <v>408</v>
      </c>
      <c r="R644" s="18" t="s">
        <v>597</v>
      </c>
      <c r="S644" s="32">
        <v>1200</v>
      </c>
      <c r="T644" s="19">
        <v>1200</v>
      </c>
      <c r="U644" s="17" t="s">
        <v>62</v>
      </c>
      <c r="V644" s="17">
        <v>45842</v>
      </c>
      <c r="W644" s="18">
        <v>7</v>
      </c>
      <c r="X644" s="17">
        <v>45933</v>
      </c>
      <c r="Y644" s="17">
        <v>45960</v>
      </c>
      <c r="Z644" s="45">
        <v>10</v>
      </c>
      <c r="AA644">
        <v>2025</v>
      </c>
      <c r="AB644" s="42">
        <v>6870000</v>
      </c>
      <c r="AC644" s="42">
        <v>6870000</v>
      </c>
    </row>
    <row r="645" spans="1:29">
      <c r="A645" t="s">
        <v>45</v>
      </c>
      <c r="B645" t="s">
        <v>46</v>
      </c>
      <c r="C645" t="s">
        <v>47</v>
      </c>
      <c r="D645" t="s">
        <v>487</v>
      </c>
      <c r="E645" t="s">
        <v>49</v>
      </c>
      <c r="F645" t="s">
        <v>598</v>
      </c>
      <c r="G645" t="s">
        <v>51</v>
      </c>
      <c r="H645" s="17" t="s">
        <v>52</v>
      </c>
      <c r="I645" t="s">
        <v>53</v>
      </c>
      <c r="J645" t="s">
        <v>54</v>
      </c>
      <c r="K645">
        <v>1</v>
      </c>
      <c r="L645" t="s">
        <v>55</v>
      </c>
      <c r="M645" t="s">
        <v>56</v>
      </c>
      <c r="N645" t="s">
        <v>57</v>
      </c>
      <c r="O645" s="18" t="s">
        <v>58</v>
      </c>
      <c r="P645" s="18" t="s">
        <v>99</v>
      </c>
      <c r="Q645" s="17" t="s">
        <v>100</v>
      </c>
      <c r="R645" s="18" t="s">
        <v>101</v>
      </c>
      <c r="S645" s="32">
        <v>23</v>
      </c>
      <c r="T645" s="19">
        <v>0</v>
      </c>
      <c r="U645" s="17" t="s">
        <v>62</v>
      </c>
      <c r="V645" s="17">
        <v>45867</v>
      </c>
      <c r="W645" s="18">
        <v>7</v>
      </c>
      <c r="X645" s="17">
        <v>45960</v>
      </c>
      <c r="Z645" s="45">
        <v>10</v>
      </c>
      <c r="AA645">
        <v>2025</v>
      </c>
      <c r="AB645" s="42">
        <v>7958</v>
      </c>
      <c r="AC645" s="42">
        <v>0</v>
      </c>
    </row>
    <row r="646" spans="1:29">
      <c r="A646" t="s">
        <v>45</v>
      </c>
      <c r="B646" t="s">
        <v>46</v>
      </c>
      <c r="C646" t="s">
        <v>47</v>
      </c>
      <c r="D646" t="s">
        <v>487</v>
      </c>
      <c r="E646" t="s">
        <v>49</v>
      </c>
      <c r="F646" t="s">
        <v>599</v>
      </c>
      <c r="G646" t="s">
        <v>51</v>
      </c>
      <c r="H646" s="17" t="s">
        <v>52</v>
      </c>
      <c r="I646" t="s">
        <v>53</v>
      </c>
      <c r="J646" t="s">
        <v>54</v>
      </c>
      <c r="K646">
        <v>1</v>
      </c>
      <c r="L646" t="s">
        <v>55</v>
      </c>
      <c r="M646" t="s">
        <v>56</v>
      </c>
      <c r="N646" t="s">
        <v>57</v>
      </c>
      <c r="O646" s="18" t="s">
        <v>58</v>
      </c>
      <c r="P646" s="18" t="s">
        <v>137</v>
      </c>
      <c r="Q646" s="17" t="s">
        <v>138</v>
      </c>
      <c r="R646" s="18" t="s">
        <v>139</v>
      </c>
      <c r="S646" s="32">
        <v>23</v>
      </c>
      <c r="T646" s="19">
        <v>0</v>
      </c>
      <c r="U646" s="17" t="s">
        <v>62</v>
      </c>
      <c r="V646" s="17">
        <v>45867</v>
      </c>
      <c r="W646" s="18">
        <v>7</v>
      </c>
      <c r="X646" s="17">
        <v>45960</v>
      </c>
      <c r="Z646" s="45">
        <v>10</v>
      </c>
      <c r="AA646">
        <v>2025</v>
      </c>
      <c r="AB646" s="42">
        <v>600461</v>
      </c>
      <c r="AC646" s="42">
        <v>0</v>
      </c>
    </row>
    <row r="647" spans="1:29">
      <c r="A647" t="s">
        <v>45</v>
      </c>
      <c r="B647" t="s">
        <v>46</v>
      </c>
      <c r="C647" t="s">
        <v>47</v>
      </c>
      <c r="D647" t="s">
        <v>600</v>
      </c>
      <c r="E647" t="s">
        <v>115</v>
      </c>
      <c r="F647" t="s">
        <v>50</v>
      </c>
      <c r="G647" t="s">
        <v>116</v>
      </c>
      <c r="H647" s="17" t="s">
        <v>52</v>
      </c>
      <c r="I647" t="s">
        <v>53</v>
      </c>
      <c r="J647" t="s">
        <v>110</v>
      </c>
      <c r="K647">
        <v>1</v>
      </c>
      <c r="L647" t="s">
        <v>55</v>
      </c>
      <c r="M647" t="s">
        <v>56</v>
      </c>
      <c r="N647" t="s">
        <v>57</v>
      </c>
      <c r="O647" s="18" t="s">
        <v>58</v>
      </c>
      <c r="P647" s="18" t="s">
        <v>72</v>
      </c>
      <c r="Q647" s="17" t="s">
        <v>122</v>
      </c>
      <c r="R647" s="18" t="s">
        <v>425</v>
      </c>
      <c r="S647" s="32">
        <v>4</v>
      </c>
      <c r="T647" s="19">
        <v>4</v>
      </c>
      <c r="U647" s="17" t="s">
        <v>119</v>
      </c>
      <c r="V647" s="17">
        <v>45926</v>
      </c>
      <c r="W647" s="18">
        <v>9</v>
      </c>
      <c r="X647" s="17">
        <v>45938</v>
      </c>
      <c r="Y647" s="17">
        <v>45931</v>
      </c>
      <c r="Z647" s="45">
        <v>10</v>
      </c>
      <c r="AA647">
        <v>2025</v>
      </c>
      <c r="AB647" s="42">
        <v>1405320</v>
      </c>
      <c r="AC647" s="42">
        <v>1405320</v>
      </c>
    </row>
    <row r="648" spans="1:29">
      <c r="A648" t="s">
        <v>45</v>
      </c>
      <c r="B648" t="s">
        <v>46</v>
      </c>
      <c r="C648" t="s">
        <v>47</v>
      </c>
      <c r="D648" t="s">
        <v>601</v>
      </c>
      <c r="E648" t="s">
        <v>115</v>
      </c>
      <c r="F648" t="s">
        <v>50</v>
      </c>
      <c r="G648" t="s">
        <v>116</v>
      </c>
      <c r="H648" s="17" t="s">
        <v>52</v>
      </c>
      <c r="I648" t="s">
        <v>53</v>
      </c>
      <c r="J648" t="s">
        <v>190</v>
      </c>
      <c r="K648">
        <v>1</v>
      </c>
      <c r="L648" t="s">
        <v>55</v>
      </c>
      <c r="M648" t="s">
        <v>56</v>
      </c>
      <c r="N648" t="s">
        <v>57</v>
      </c>
      <c r="O648" s="18" t="s">
        <v>58</v>
      </c>
      <c r="P648" s="18" t="s">
        <v>72</v>
      </c>
      <c r="Q648" s="17" t="s">
        <v>122</v>
      </c>
      <c r="R648" s="18" t="s">
        <v>425</v>
      </c>
      <c r="S648" s="32">
        <v>4</v>
      </c>
      <c r="T648" s="19">
        <v>4</v>
      </c>
      <c r="U648" s="17" t="s">
        <v>119</v>
      </c>
      <c r="V648" s="17">
        <v>45926</v>
      </c>
      <c r="W648" s="18">
        <v>9</v>
      </c>
      <c r="X648" s="17">
        <v>45938</v>
      </c>
      <c r="Y648" s="17">
        <v>45931</v>
      </c>
      <c r="Z648" s="45">
        <v>10</v>
      </c>
      <c r="AA648">
        <v>2025</v>
      </c>
      <c r="AB648" s="42">
        <v>1405320</v>
      </c>
      <c r="AC648" s="42">
        <v>1405320</v>
      </c>
    </row>
    <row r="649" spans="1:29">
      <c r="A649" t="s">
        <v>45</v>
      </c>
      <c r="B649" t="s">
        <v>46</v>
      </c>
      <c r="C649" t="s">
        <v>47</v>
      </c>
      <c r="D649" t="s">
        <v>602</v>
      </c>
      <c r="E649" t="s">
        <v>115</v>
      </c>
      <c r="F649" t="s">
        <v>50</v>
      </c>
      <c r="G649" t="s">
        <v>116</v>
      </c>
      <c r="H649" s="17" t="s">
        <v>52</v>
      </c>
      <c r="I649" t="s">
        <v>53</v>
      </c>
      <c r="J649" t="s">
        <v>125</v>
      </c>
      <c r="K649">
        <v>1</v>
      </c>
      <c r="L649" t="s">
        <v>55</v>
      </c>
      <c r="M649" t="s">
        <v>56</v>
      </c>
      <c r="N649" t="s">
        <v>57</v>
      </c>
      <c r="O649" s="18" t="s">
        <v>58</v>
      </c>
      <c r="P649" s="18" t="s">
        <v>72</v>
      </c>
      <c r="Q649" s="17" t="s">
        <v>122</v>
      </c>
      <c r="R649" s="18" t="s">
        <v>425</v>
      </c>
      <c r="S649" s="32">
        <v>4</v>
      </c>
      <c r="T649" s="19">
        <v>4</v>
      </c>
      <c r="U649" s="17" t="s">
        <v>119</v>
      </c>
      <c r="V649" s="17">
        <v>45926</v>
      </c>
      <c r="W649" s="18">
        <v>9</v>
      </c>
      <c r="X649" s="17">
        <v>45938</v>
      </c>
      <c r="Y649" s="17">
        <v>45932</v>
      </c>
      <c r="Z649" s="45">
        <v>10</v>
      </c>
      <c r="AA649">
        <v>2025</v>
      </c>
      <c r="AB649" s="42">
        <v>1405320</v>
      </c>
      <c r="AC649" s="42">
        <v>1405320</v>
      </c>
    </row>
    <row r="650" spans="1:29">
      <c r="A650" t="s">
        <v>45</v>
      </c>
      <c r="B650" t="s">
        <v>46</v>
      </c>
      <c r="C650" t="s">
        <v>47</v>
      </c>
      <c r="D650" t="s">
        <v>603</v>
      </c>
      <c r="E650" t="s">
        <v>49</v>
      </c>
      <c r="F650" t="s">
        <v>50</v>
      </c>
      <c r="G650" t="s">
        <v>51</v>
      </c>
      <c r="H650" s="17" t="s">
        <v>52</v>
      </c>
      <c r="I650" t="s">
        <v>53</v>
      </c>
      <c r="J650" t="s">
        <v>136</v>
      </c>
      <c r="K650">
        <v>1</v>
      </c>
      <c r="L650" t="s">
        <v>55</v>
      </c>
      <c r="M650" t="s">
        <v>56</v>
      </c>
      <c r="N650" t="s">
        <v>57</v>
      </c>
      <c r="O650" s="18" t="s">
        <v>58</v>
      </c>
      <c r="P650" s="18" t="s">
        <v>86</v>
      </c>
      <c r="Q650" s="17" t="s">
        <v>604</v>
      </c>
      <c r="R650" s="18" t="s">
        <v>605</v>
      </c>
      <c r="S650" s="32">
        <v>4</v>
      </c>
      <c r="T650" s="19">
        <v>4</v>
      </c>
      <c r="U650" s="17" t="s">
        <v>62</v>
      </c>
      <c r="V650" s="17">
        <v>45923</v>
      </c>
      <c r="W650" s="18">
        <v>9</v>
      </c>
      <c r="X650" s="17">
        <v>45933</v>
      </c>
      <c r="Y650" s="17">
        <v>45936</v>
      </c>
      <c r="Z650" s="45">
        <v>10</v>
      </c>
      <c r="AA650">
        <v>2025</v>
      </c>
      <c r="AB650" s="42">
        <v>124772</v>
      </c>
      <c r="AC650" s="42">
        <v>124772</v>
      </c>
    </row>
    <row r="651" spans="1:29">
      <c r="A651" t="s">
        <v>45</v>
      </c>
      <c r="B651" t="s">
        <v>46</v>
      </c>
      <c r="C651" t="s">
        <v>47</v>
      </c>
      <c r="D651" t="s">
        <v>606</v>
      </c>
      <c r="E651" t="s">
        <v>49</v>
      </c>
      <c r="F651" t="s">
        <v>50</v>
      </c>
      <c r="G651" t="s">
        <v>51</v>
      </c>
      <c r="H651" s="17" t="s">
        <v>52</v>
      </c>
      <c r="I651" t="s">
        <v>53</v>
      </c>
      <c r="J651" t="s">
        <v>224</v>
      </c>
      <c r="K651">
        <v>1</v>
      </c>
      <c r="L651" t="s">
        <v>55</v>
      </c>
      <c r="M651" t="s">
        <v>56</v>
      </c>
      <c r="N651" t="s">
        <v>57</v>
      </c>
      <c r="O651" s="18" t="s">
        <v>58</v>
      </c>
      <c r="P651" s="18" t="s">
        <v>76</v>
      </c>
      <c r="Q651" s="17" t="s">
        <v>228</v>
      </c>
      <c r="R651" s="18" t="s">
        <v>229</v>
      </c>
      <c r="S651" s="32">
        <v>271</v>
      </c>
      <c r="T651" s="19">
        <v>271</v>
      </c>
      <c r="U651" s="17" t="s">
        <v>62</v>
      </c>
      <c r="V651" s="17">
        <v>45924</v>
      </c>
      <c r="W651" s="18">
        <v>9</v>
      </c>
      <c r="X651" s="17">
        <v>45992</v>
      </c>
      <c r="Y651" s="17">
        <v>45959</v>
      </c>
      <c r="Z651" s="45">
        <v>10</v>
      </c>
      <c r="AA651">
        <v>2025</v>
      </c>
      <c r="AB651" s="42">
        <v>3472594</v>
      </c>
      <c r="AC651" s="42">
        <v>3472594</v>
      </c>
    </row>
    <row r="652" spans="1:29">
      <c r="A652" t="s">
        <v>45</v>
      </c>
      <c r="B652" t="s">
        <v>46</v>
      </c>
      <c r="C652" t="s">
        <v>47</v>
      </c>
      <c r="D652" t="s">
        <v>606</v>
      </c>
      <c r="E652" t="s">
        <v>49</v>
      </c>
      <c r="F652" t="s">
        <v>63</v>
      </c>
      <c r="G652" t="s">
        <v>51</v>
      </c>
      <c r="H652" s="17" t="s">
        <v>52</v>
      </c>
      <c r="I652" t="s">
        <v>53</v>
      </c>
      <c r="J652" t="s">
        <v>224</v>
      </c>
      <c r="K652">
        <v>1</v>
      </c>
      <c r="L652" t="s">
        <v>55</v>
      </c>
      <c r="M652" t="s">
        <v>56</v>
      </c>
      <c r="N652" t="s">
        <v>57</v>
      </c>
      <c r="O652" s="18" t="s">
        <v>58</v>
      </c>
      <c r="P652" s="18" t="s">
        <v>99</v>
      </c>
      <c r="Q652" s="17" t="s">
        <v>100</v>
      </c>
      <c r="R652" s="18" t="s">
        <v>101</v>
      </c>
      <c r="S652" s="32">
        <v>271</v>
      </c>
      <c r="T652" s="19">
        <v>271</v>
      </c>
      <c r="U652" s="17" t="s">
        <v>62</v>
      </c>
      <c r="V652" s="17">
        <v>45924</v>
      </c>
      <c r="W652" s="18">
        <v>9</v>
      </c>
      <c r="X652" s="17">
        <v>45992</v>
      </c>
      <c r="Y652" s="17">
        <v>45959</v>
      </c>
      <c r="Z652" s="45">
        <v>10</v>
      </c>
      <c r="AA652">
        <v>2025</v>
      </c>
      <c r="AB652" s="42">
        <v>2168</v>
      </c>
      <c r="AC652" s="42">
        <v>2168</v>
      </c>
    </row>
    <row r="653" spans="1:29">
      <c r="A653" t="s">
        <v>45</v>
      </c>
      <c r="B653" t="s">
        <v>46</v>
      </c>
      <c r="C653" t="s">
        <v>47</v>
      </c>
      <c r="D653" t="s">
        <v>607</v>
      </c>
      <c r="E653" t="s">
        <v>115</v>
      </c>
      <c r="F653" t="s">
        <v>50</v>
      </c>
      <c r="G653" t="s">
        <v>116</v>
      </c>
      <c r="H653" s="17" t="s">
        <v>52</v>
      </c>
      <c r="I653" t="s">
        <v>53</v>
      </c>
      <c r="J653" t="s">
        <v>110</v>
      </c>
      <c r="K653">
        <v>1</v>
      </c>
      <c r="L653" t="s">
        <v>55</v>
      </c>
      <c r="M653" t="s">
        <v>56</v>
      </c>
      <c r="N653" t="s">
        <v>57</v>
      </c>
      <c r="O653" s="18" t="s">
        <v>58</v>
      </c>
      <c r="P653" s="18" t="s">
        <v>72</v>
      </c>
      <c r="Q653" s="17" t="s">
        <v>122</v>
      </c>
      <c r="R653" s="18" t="s">
        <v>425</v>
      </c>
      <c r="S653" s="32">
        <v>4</v>
      </c>
      <c r="T653" s="19">
        <v>4</v>
      </c>
      <c r="U653" s="17" t="s">
        <v>119</v>
      </c>
      <c r="V653" s="17">
        <v>45933</v>
      </c>
      <c r="W653" s="18">
        <v>10</v>
      </c>
      <c r="X653" s="17">
        <v>45946</v>
      </c>
      <c r="Y653" s="17">
        <v>45939</v>
      </c>
      <c r="Z653" s="45">
        <v>10</v>
      </c>
      <c r="AA653">
        <v>2025</v>
      </c>
      <c r="AB653" s="42">
        <v>1405320</v>
      </c>
      <c r="AC653" s="42">
        <v>1405320</v>
      </c>
    </row>
    <row r="654" spans="1:29">
      <c r="A654" t="s">
        <v>45</v>
      </c>
      <c r="B654" t="s">
        <v>46</v>
      </c>
      <c r="C654" t="s">
        <v>47</v>
      </c>
      <c r="D654" t="s">
        <v>607</v>
      </c>
      <c r="E654" t="s">
        <v>115</v>
      </c>
      <c r="F654" t="s">
        <v>63</v>
      </c>
      <c r="G654" t="s">
        <v>116</v>
      </c>
      <c r="H654" s="17" t="s">
        <v>52</v>
      </c>
      <c r="I654" t="s">
        <v>53</v>
      </c>
      <c r="J654" t="s">
        <v>110</v>
      </c>
      <c r="K654">
        <v>1</v>
      </c>
      <c r="L654" t="s">
        <v>55</v>
      </c>
      <c r="M654" t="s">
        <v>56</v>
      </c>
      <c r="N654" t="s">
        <v>57</v>
      </c>
      <c r="O654" s="18" t="s">
        <v>58</v>
      </c>
      <c r="P654" s="18" t="s">
        <v>72</v>
      </c>
      <c r="Q654" s="17" t="s">
        <v>117</v>
      </c>
      <c r="R654" s="18" t="s">
        <v>393</v>
      </c>
      <c r="S654" s="32">
        <v>2</v>
      </c>
      <c r="T654" s="19">
        <v>2</v>
      </c>
      <c r="U654" s="17" t="s">
        <v>119</v>
      </c>
      <c r="V654" s="17">
        <v>45933</v>
      </c>
      <c r="W654" s="18">
        <v>10</v>
      </c>
      <c r="X654" s="17">
        <v>45946</v>
      </c>
      <c r="Y654" s="17">
        <v>45939</v>
      </c>
      <c r="Z654" s="45">
        <v>10</v>
      </c>
      <c r="AA654">
        <v>2025</v>
      </c>
      <c r="AB654" s="42">
        <v>703000</v>
      </c>
      <c r="AC654" s="42">
        <v>703000</v>
      </c>
    </row>
    <row r="655" spans="1:29">
      <c r="A655" t="s">
        <v>45</v>
      </c>
      <c r="B655" t="s">
        <v>46</v>
      </c>
      <c r="C655" t="s">
        <v>47</v>
      </c>
      <c r="D655" t="s">
        <v>608</v>
      </c>
      <c r="E655" t="s">
        <v>115</v>
      </c>
      <c r="F655" t="s">
        <v>50</v>
      </c>
      <c r="G655" t="s">
        <v>116</v>
      </c>
      <c r="H655" s="17" t="s">
        <v>52</v>
      </c>
      <c r="I655" t="s">
        <v>53</v>
      </c>
      <c r="J655" t="s">
        <v>125</v>
      </c>
      <c r="K655">
        <v>1</v>
      </c>
      <c r="L655" t="s">
        <v>55</v>
      </c>
      <c r="M655" t="s">
        <v>56</v>
      </c>
      <c r="N655" t="s">
        <v>57</v>
      </c>
      <c r="O655" s="18" t="s">
        <v>58</v>
      </c>
      <c r="P655" s="18" t="s">
        <v>72</v>
      </c>
      <c r="Q655" s="17" t="s">
        <v>122</v>
      </c>
      <c r="R655" s="18" t="s">
        <v>425</v>
      </c>
      <c r="S655" s="32">
        <v>4</v>
      </c>
      <c r="T655" s="19">
        <v>4</v>
      </c>
      <c r="U655" s="17" t="s">
        <v>119</v>
      </c>
      <c r="V655" s="17">
        <v>45933</v>
      </c>
      <c r="W655" s="18">
        <v>10</v>
      </c>
      <c r="X655" s="17">
        <v>45946</v>
      </c>
      <c r="Y655" s="17">
        <v>45944</v>
      </c>
      <c r="Z655" s="45">
        <v>10</v>
      </c>
      <c r="AA655">
        <v>2025</v>
      </c>
      <c r="AB655" s="42">
        <v>1405320</v>
      </c>
      <c r="AC655" s="42">
        <v>1405320</v>
      </c>
    </row>
    <row r="656" spans="1:29">
      <c r="A656" t="s">
        <v>45</v>
      </c>
      <c r="B656" t="s">
        <v>46</v>
      </c>
      <c r="C656" t="s">
        <v>47</v>
      </c>
      <c r="D656" t="s">
        <v>608</v>
      </c>
      <c r="E656" t="s">
        <v>115</v>
      </c>
      <c r="F656" t="s">
        <v>63</v>
      </c>
      <c r="G656" t="s">
        <v>116</v>
      </c>
      <c r="H656" s="17" t="s">
        <v>52</v>
      </c>
      <c r="I656" t="s">
        <v>53</v>
      </c>
      <c r="J656" t="s">
        <v>125</v>
      </c>
      <c r="K656">
        <v>1</v>
      </c>
      <c r="L656" t="s">
        <v>55</v>
      </c>
      <c r="M656" t="s">
        <v>56</v>
      </c>
      <c r="N656" t="s">
        <v>57</v>
      </c>
      <c r="O656" s="18" t="s">
        <v>58</v>
      </c>
      <c r="P656" s="18" t="s">
        <v>72</v>
      </c>
      <c r="Q656" s="17" t="s">
        <v>117</v>
      </c>
      <c r="R656" s="18" t="s">
        <v>393</v>
      </c>
      <c r="S656" s="32">
        <v>3</v>
      </c>
      <c r="T656" s="19">
        <v>3</v>
      </c>
      <c r="U656" s="17" t="s">
        <v>119</v>
      </c>
      <c r="V656" s="17">
        <v>45933</v>
      </c>
      <c r="W656" s="18">
        <v>10</v>
      </c>
      <c r="X656" s="17">
        <v>45946</v>
      </c>
      <c r="Y656" s="17">
        <v>45944</v>
      </c>
      <c r="Z656" s="45">
        <v>10</v>
      </c>
      <c r="AA656">
        <v>2025</v>
      </c>
      <c r="AB656" s="42">
        <v>1054500</v>
      </c>
      <c r="AC656" s="42">
        <v>1054500</v>
      </c>
    </row>
    <row r="657" spans="1:29">
      <c r="A657" t="s">
        <v>45</v>
      </c>
      <c r="B657" t="s">
        <v>46</v>
      </c>
      <c r="C657" t="s">
        <v>47</v>
      </c>
      <c r="D657" t="s">
        <v>609</v>
      </c>
      <c r="E657" t="s">
        <v>115</v>
      </c>
      <c r="F657" t="s">
        <v>50</v>
      </c>
      <c r="G657" t="s">
        <v>116</v>
      </c>
      <c r="H657" s="17" t="s">
        <v>52</v>
      </c>
      <c r="I657" t="s">
        <v>53</v>
      </c>
      <c r="J657" t="s">
        <v>110</v>
      </c>
      <c r="K657">
        <v>1</v>
      </c>
      <c r="L657" t="s">
        <v>55</v>
      </c>
      <c r="M657" t="s">
        <v>56</v>
      </c>
      <c r="N657" t="s">
        <v>57</v>
      </c>
      <c r="O657" s="18" t="s">
        <v>58</v>
      </c>
      <c r="P657" s="18" t="s">
        <v>72</v>
      </c>
      <c r="Q657" s="17" t="s">
        <v>122</v>
      </c>
      <c r="R657" s="18" t="s">
        <v>425</v>
      </c>
      <c r="S657" s="32">
        <v>6</v>
      </c>
      <c r="T657" s="19">
        <v>6</v>
      </c>
      <c r="U657" s="17" t="s">
        <v>119</v>
      </c>
      <c r="V657" s="17">
        <v>45940</v>
      </c>
      <c r="W657" s="18">
        <v>10</v>
      </c>
      <c r="X657" s="17">
        <v>45952</v>
      </c>
      <c r="Y657" s="17">
        <v>45946</v>
      </c>
      <c r="Z657" s="45">
        <v>10</v>
      </c>
      <c r="AA657">
        <v>2025</v>
      </c>
      <c r="AB657" s="42">
        <v>2107980</v>
      </c>
      <c r="AC657" s="42">
        <v>2107980</v>
      </c>
    </row>
    <row r="658" spans="1:29">
      <c r="A658" t="s">
        <v>45</v>
      </c>
      <c r="B658" t="s">
        <v>46</v>
      </c>
      <c r="C658" t="s">
        <v>47</v>
      </c>
      <c r="D658" t="s">
        <v>609</v>
      </c>
      <c r="E658" t="s">
        <v>115</v>
      </c>
      <c r="F658" t="s">
        <v>63</v>
      </c>
      <c r="G658" t="s">
        <v>116</v>
      </c>
      <c r="H658" s="17" t="s">
        <v>52</v>
      </c>
      <c r="I658" t="s">
        <v>53</v>
      </c>
      <c r="J658" t="s">
        <v>110</v>
      </c>
      <c r="K658">
        <v>1</v>
      </c>
      <c r="L658" t="s">
        <v>55</v>
      </c>
      <c r="M658" t="s">
        <v>56</v>
      </c>
      <c r="N658" t="s">
        <v>57</v>
      </c>
      <c r="O658" s="18" t="s">
        <v>58</v>
      </c>
      <c r="P658" s="18" t="s">
        <v>72</v>
      </c>
      <c r="Q658" s="17" t="s">
        <v>117</v>
      </c>
      <c r="R658" s="18" t="s">
        <v>393</v>
      </c>
      <c r="S658" s="32">
        <v>6</v>
      </c>
      <c r="T658" s="19">
        <v>6</v>
      </c>
      <c r="U658" s="17" t="s">
        <v>119</v>
      </c>
      <c r="V658" s="17">
        <v>45940</v>
      </c>
      <c r="W658" s="18">
        <v>10</v>
      </c>
      <c r="X658" s="17">
        <v>45952</v>
      </c>
      <c r="Y658" s="17">
        <v>45946</v>
      </c>
      <c r="Z658" s="45">
        <v>10</v>
      </c>
      <c r="AA658">
        <v>2025</v>
      </c>
      <c r="AB658" s="42">
        <v>2109000</v>
      </c>
      <c r="AC658" s="42">
        <v>2109000</v>
      </c>
    </row>
    <row r="659" spans="1:29">
      <c r="A659" t="s">
        <v>45</v>
      </c>
      <c r="B659" t="s">
        <v>46</v>
      </c>
      <c r="C659" t="s">
        <v>47</v>
      </c>
      <c r="D659" t="s">
        <v>610</v>
      </c>
      <c r="E659" t="s">
        <v>115</v>
      </c>
      <c r="F659" t="s">
        <v>50</v>
      </c>
      <c r="G659" t="s">
        <v>116</v>
      </c>
      <c r="H659" s="17" t="s">
        <v>52</v>
      </c>
      <c r="I659" t="s">
        <v>53</v>
      </c>
      <c r="J659" t="s">
        <v>121</v>
      </c>
      <c r="K659">
        <v>1</v>
      </c>
      <c r="L659" t="s">
        <v>55</v>
      </c>
      <c r="M659" t="s">
        <v>56</v>
      </c>
      <c r="N659" t="s">
        <v>57</v>
      </c>
      <c r="O659" s="18" t="s">
        <v>58</v>
      </c>
      <c r="P659" s="18" t="s">
        <v>72</v>
      </c>
      <c r="Q659" s="17" t="s">
        <v>145</v>
      </c>
      <c r="R659" s="18" t="s">
        <v>411</v>
      </c>
      <c r="S659" s="32">
        <v>1</v>
      </c>
      <c r="T659" s="19">
        <v>1</v>
      </c>
      <c r="U659" s="17" t="s">
        <v>119</v>
      </c>
      <c r="V659" s="17">
        <v>45940</v>
      </c>
      <c r="W659" s="18">
        <v>10</v>
      </c>
      <c r="X659" s="17">
        <v>45952</v>
      </c>
      <c r="Y659" s="17">
        <v>45945</v>
      </c>
      <c r="Z659" s="45">
        <v>10</v>
      </c>
      <c r="AA659">
        <v>2025</v>
      </c>
      <c r="AB659" s="42">
        <v>732480</v>
      </c>
      <c r="AC659" s="42">
        <v>732480</v>
      </c>
    </row>
    <row r="660" spans="1:29">
      <c r="A660" t="s">
        <v>45</v>
      </c>
      <c r="B660" t="s">
        <v>46</v>
      </c>
      <c r="C660" t="s">
        <v>47</v>
      </c>
      <c r="D660" t="s">
        <v>610</v>
      </c>
      <c r="E660" t="s">
        <v>115</v>
      </c>
      <c r="F660" t="s">
        <v>63</v>
      </c>
      <c r="G660" t="s">
        <v>116</v>
      </c>
      <c r="H660" s="17" t="s">
        <v>52</v>
      </c>
      <c r="I660" t="s">
        <v>53</v>
      </c>
      <c r="J660" t="s">
        <v>121</v>
      </c>
      <c r="K660">
        <v>1</v>
      </c>
      <c r="L660" t="s">
        <v>55</v>
      </c>
      <c r="M660" t="s">
        <v>56</v>
      </c>
      <c r="N660" t="s">
        <v>57</v>
      </c>
      <c r="O660" s="18" t="s">
        <v>58</v>
      </c>
      <c r="P660" s="18" t="s">
        <v>72</v>
      </c>
      <c r="Q660" s="17" t="s">
        <v>122</v>
      </c>
      <c r="R660" s="18" t="s">
        <v>425</v>
      </c>
      <c r="S660" s="32">
        <v>4</v>
      </c>
      <c r="T660" s="19">
        <v>4</v>
      </c>
      <c r="U660" s="17" t="s">
        <v>119</v>
      </c>
      <c r="V660" s="17">
        <v>45940</v>
      </c>
      <c r="W660" s="18">
        <v>10</v>
      </c>
      <c r="X660" s="17">
        <v>45952</v>
      </c>
      <c r="Y660" s="17">
        <v>45945</v>
      </c>
      <c r="Z660" s="45">
        <v>10</v>
      </c>
      <c r="AA660">
        <v>2025</v>
      </c>
      <c r="AB660" s="42">
        <v>1405320</v>
      </c>
      <c r="AC660" s="42">
        <v>1405320</v>
      </c>
    </row>
    <row r="661" spans="1:29">
      <c r="A661" t="s">
        <v>45</v>
      </c>
      <c r="B661" t="s">
        <v>46</v>
      </c>
      <c r="C661" t="s">
        <v>47</v>
      </c>
      <c r="D661" t="s">
        <v>610</v>
      </c>
      <c r="E661" t="s">
        <v>115</v>
      </c>
      <c r="F661" t="s">
        <v>67</v>
      </c>
      <c r="G661" t="s">
        <v>116</v>
      </c>
      <c r="H661" s="17" t="s">
        <v>52</v>
      </c>
      <c r="I661" t="s">
        <v>53</v>
      </c>
      <c r="J661" t="s">
        <v>121</v>
      </c>
      <c r="K661">
        <v>1</v>
      </c>
      <c r="L661" t="s">
        <v>55</v>
      </c>
      <c r="M661" t="s">
        <v>56</v>
      </c>
      <c r="N661" t="s">
        <v>57</v>
      </c>
      <c r="O661" s="18" t="s">
        <v>58</v>
      </c>
      <c r="P661" s="18" t="s">
        <v>72</v>
      </c>
      <c r="Q661" s="17" t="s">
        <v>117</v>
      </c>
      <c r="R661" s="18" t="s">
        <v>393</v>
      </c>
      <c r="S661" s="32">
        <v>3</v>
      </c>
      <c r="T661" s="19">
        <v>3</v>
      </c>
      <c r="U661" s="17" t="s">
        <v>119</v>
      </c>
      <c r="V661" s="17">
        <v>45940</v>
      </c>
      <c r="W661" s="18">
        <v>10</v>
      </c>
      <c r="X661" s="17">
        <v>45952</v>
      </c>
      <c r="Y661" s="17">
        <v>45945</v>
      </c>
      <c r="Z661" s="45">
        <v>10</v>
      </c>
      <c r="AA661">
        <v>2025</v>
      </c>
      <c r="AB661" s="42">
        <v>1054500</v>
      </c>
      <c r="AC661" s="42">
        <v>1054500</v>
      </c>
    </row>
    <row r="662" spans="1:29">
      <c r="A662" t="s">
        <v>45</v>
      </c>
      <c r="B662" t="s">
        <v>46</v>
      </c>
      <c r="C662" t="s">
        <v>47</v>
      </c>
      <c r="D662" t="s">
        <v>611</v>
      </c>
      <c r="E662" t="s">
        <v>49</v>
      </c>
      <c r="F662" t="s">
        <v>50</v>
      </c>
      <c r="G662" t="s">
        <v>51</v>
      </c>
      <c r="H662" s="17" t="s">
        <v>52</v>
      </c>
      <c r="I662" t="s">
        <v>53</v>
      </c>
      <c r="J662" t="s">
        <v>54</v>
      </c>
      <c r="K662">
        <v>1</v>
      </c>
      <c r="L662" t="s">
        <v>55</v>
      </c>
      <c r="M662" t="s">
        <v>56</v>
      </c>
      <c r="N662" t="s">
        <v>57</v>
      </c>
      <c r="O662" s="18" t="s">
        <v>58</v>
      </c>
      <c r="P662" s="18" t="s">
        <v>72</v>
      </c>
      <c r="Q662" s="17" t="s">
        <v>267</v>
      </c>
      <c r="R662" s="18" t="s">
        <v>268</v>
      </c>
      <c r="S662" s="32">
        <v>80</v>
      </c>
      <c r="T662" s="19">
        <v>40</v>
      </c>
      <c r="U662" s="17" t="s">
        <v>62</v>
      </c>
      <c r="V662" s="17">
        <v>45931</v>
      </c>
      <c r="W662" s="18">
        <v>10</v>
      </c>
      <c r="X662" s="17">
        <v>46053</v>
      </c>
      <c r="Y662" s="17">
        <v>45950</v>
      </c>
      <c r="Z662" s="45">
        <v>10</v>
      </c>
      <c r="AA662">
        <v>2025</v>
      </c>
      <c r="AB662" s="42">
        <v>1053920</v>
      </c>
      <c r="AC662" s="42">
        <v>526960</v>
      </c>
    </row>
    <row r="663" spans="1:29">
      <c r="A663" t="s">
        <v>45</v>
      </c>
      <c r="B663" t="s">
        <v>46</v>
      </c>
      <c r="C663" t="s">
        <v>47</v>
      </c>
      <c r="D663" t="s">
        <v>611</v>
      </c>
      <c r="E663" t="s">
        <v>49</v>
      </c>
      <c r="F663" t="s">
        <v>63</v>
      </c>
      <c r="G663" t="s">
        <v>51</v>
      </c>
      <c r="H663" s="17" t="s">
        <v>52</v>
      </c>
      <c r="I663" t="s">
        <v>53</v>
      </c>
      <c r="J663" t="s">
        <v>54</v>
      </c>
      <c r="K663">
        <v>1</v>
      </c>
      <c r="L663" t="s">
        <v>55</v>
      </c>
      <c r="M663" t="s">
        <v>56</v>
      </c>
      <c r="N663" t="s">
        <v>57</v>
      </c>
      <c r="O663" s="18" t="s">
        <v>58</v>
      </c>
      <c r="P663" s="18" t="s">
        <v>99</v>
      </c>
      <c r="Q663" s="17" t="s">
        <v>100</v>
      </c>
      <c r="R663" s="18" t="s">
        <v>101</v>
      </c>
      <c r="S663" s="32">
        <v>2</v>
      </c>
      <c r="T663" s="19">
        <v>1</v>
      </c>
      <c r="U663" s="17" t="s">
        <v>62</v>
      </c>
      <c r="V663" s="17">
        <v>45931</v>
      </c>
      <c r="W663" s="18">
        <v>10</v>
      </c>
      <c r="X663" s="17">
        <v>46053</v>
      </c>
      <c r="Y663" s="17">
        <v>45950</v>
      </c>
      <c r="Z663" s="45">
        <v>10</v>
      </c>
      <c r="AA663">
        <v>2025</v>
      </c>
      <c r="AB663" s="42">
        <v>116000</v>
      </c>
      <c r="AC663" s="42">
        <v>58000</v>
      </c>
    </row>
    <row r="664" spans="1:29">
      <c r="A664" t="s">
        <v>45</v>
      </c>
      <c r="B664" t="s">
        <v>46</v>
      </c>
      <c r="C664" t="s">
        <v>47</v>
      </c>
      <c r="D664" t="s">
        <v>612</v>
      </c>
      <c r="E664" t="s">
        <v>49</v>
      </c>
      <c r="F664" t="s">
        <v>50</v>
      </c>
      <c r="G664" t="s">
        <v>51</v>
      </c>
      <c r="H664" s="17" t="s">
        <v>52</v>
      </c>
      <c r="I664" t="s">
        <v>53</v>
      </c>
      <c r="J664" t="s">
        <v>54</v>
      </c>
      <c r="K664">
        <v>1</v>
      </c>
      <c r="L664" t="s">
        <v>55</v>
      </c>
      <c r="M664" t="s">
        <v>56</v>
      </c>
      <c r="N664" t="s">
        <v>57</v>
      </c>
      <c r="O664" s="18" t="s">
        <v>58</v>
      </c>
      <c r="P664" s="18" t="s">
        <v>533</v>
      </c>
      <c r="Q664" s="17" t="s">
        <v>536</v>
      </c>
      <c r="R664" s="18" t="s">
        <v>537</v>
      </c>
      <c r="S664" s="32">
        <v>6</v>
      </c>
      <c r="T664" s="19">
        <v>6</v>
      </c>
      <c r="U664" s="17" t="s">
        <v>62</v>
      </c>
      <c r="V664" s="17">
        <v>45932</v>
      </c>
      <c r="W664" s="18">
        <v>10</v>
      </c>
      <c r="X664" s="17">
        <v>45936</v>
      </c>
      <c r="Y664" s="17">
        <v>45939</v>
      </c>
      <c r="Z664" s="45">
        <v>10</v>
      </c>
      <c r="AA664">
        <v>2025</v>
      </c>
      <c r="AB664" s="42">
        <v>201246</v>
      </c>
      <c r="AC664" s="42">
        <v>201246</v>
      </c>
    </row>
    <row r="665" spans="1:29">
      <c r="A665" t="s">
        <v>45</v>
      </c>
      <c r="B665" t="s">
        <v>46</v>
      </c>
      <c r="C665" t="s">
        <v>47</v>
      </c>
      <c r="D665" t="s">
        <v>613</v>
      </c>
      <c r="E665" t="s">
        <v>49</v>
      </c>
      <c r="F665" t="s">
        <v>50</v>
      </c>
      <c r="G665" t="s">
        <v>51</v>
      </c>
      <c r="H665" s="17" t="s">
        <v>52</v>
      </c>
      <c r="I665" t="s">
        <v>53</v>
      </c>
      <c r="J665" t="s">
        <v>54</v>
      </c>
      <c r="K665">
        <v>1</v>
      </c>
      <c r="L665" t="s">
        <v>55</v>
      </c>
      <c r="M665" t="s">
        <v>56</v>
      </c>
      <c r="N665" t="s">
        <v>57</v>
      </c>
      <c r="O665" s="18" t="s">
        <v>58</v>
      </c>
      <c r="P665" s="18" t="s">
        <v>72</v>
      </c>
      <c r="Q665" s="17" t="s">
        <v>73</v>
      </c>
      <c r="R665" s="18" t="s">
        <v>74</v>
      </c>
      <c r="S665" s="32">
        <v>150</v>
      </c>
      <c r="T665" s="19">
        <v>150</v>
      </c>
      <c r="U665" s="17" t="s">
        <v>62</v>
      </c>
      <c r="V665" s="17">
        <v>45933</v>
      </c>
      <c r="W665" s="18">
        <v>10</v>
      </c>
      <c r="X665" s="17">
        <v>46008</v>
      </c>
      <c r="Y665" s="17">
        <v>45940</v>
      </c>
      <c r="Z665" s="45">
        <v>10</v>
      </c>
      <c r="AA665">
        <v>2025</v>
      </c>
      <c r="AB665" s="42">
        <v>2981550</v>
      </c>
      <c r="AC665" s="42">
        <v>2981550</v>
      </c>
    </row>
    <row r="666" spans="1:29">
      <c r="A666" t="s">
        <v>45</v>
      </c>
      <c r="B666" t="s">
        <v>46</v>
      </c>
      <c r="C666" t="s">
        <v>47</v>
      </c>
      <c r="D666" t="s">
        <v>613</v>
      </c>
      <c r="E666" t="s">
        <v>49</v>
      </c>
      <c r="F666" t="s">
        <v>63</v>
      </c>
      <c r="G666" t="s">
        <v>51</v>
      </c>
      <c r="H666" s="17" t="s">
        <v>52</v>
      </c>
      <c r="I666" t="s">
        <v>53</v>
      </c>
      <c r="J666" t="s">
        <v>54</v>
      </c>
      <c r="K666">
        <v>1</v>
      </c>
      <c r="L666" t="s">
        <v>55</v>
      </c>
      <c r="M666" t="s">
        <v>56</v>
      </c>
      <c r="N666" t="s">
        <v>57</v>
      </c>
      <c r="O666" s="18" t="s">
        <v>58</v>
      </c>
      <c r="P666" s="18" t="s">
        <v>99</v>
      </c>
      <c r="Q666" s="17" t="s">
        <v>100</v>
      </c>
      <c r="R666" s="18" t="s">
        <v>101</v>
      </c>
      <c r="S666" s="32">
        <v>150</v>
      </c>
      <c r="T666" s="19">
        <v>150</v>
      </c>
      <c r="U666" s="17" t="s">
        <v>62</v>
      </c>
      <c r="V666" s="17">
        <v>45933</v>
      </c>
      <c r="W666" s="18">
        <v>10</v>
      </c>
      <c r="X666" s="17">
        <v>46008</v>
      </c>
      <c r="Y666" s="17">
        <v>45940</v>
      </c>
      <c r="Z666" s="45">
        <v>10</v>
      </c>
      <c r="AA666">
        <v>2025</v>
      </c>
      <c r="AB666" s="42">
        <v>34050</v>
      </c>
      <c r="AC666" s="42">
        <v>34050</v>
      </c>
    </row>
    <row r="667" spans="1:29">
      <c r="A667" t="s">
        <v>45</v>
      </c>
      <c r="B667" t="s">
        <v>46</v>
      </c>
      <c r="C667" t="s">
        <v>47</v>
      </c>
      <c r="D667" t="s">
        <v>614</v>
      </c>
      <c r="E667" t="s">
        <v>49</v>
      </c>
      <c r="F667" t="s">
        <v>50</v>
      </c>
      <c r="G667" t="s">
        <v>51</v>
      </c>
      <c r="H667" s="17" t="s">
        <v>52</v>
      </c>
      <c r="I667" t="s">
        <v>53</v>
      </c>
      <c r="J667" t="s">
        <v>420</v>
      </c>
      <c r="K667">
        <v>1</v>
      </c>
      <c r="L667" t="s">
        <v>55</v>
      </c>
      <c r="M667" t="s">
        <v>56</v>
      </c>
      <c r="N667" t="s">
        <v>57</v>
      </c>
      <c r="O667" s="18" t="s">
        <v>58</v>
      </c>
      <c r="P667" s="18" t="s">
        <v>72</v>
      </c>
      <c r="Q667" s="17" t="s">
        <v>545</v>
      </c>
      <c r="R667" s="18" t="s">
        <v>546</v>
      </c>
      <c r="S667" s="32">
        <v>100</v>
      </c>
      <c r="T667" s="19">
        <v>100</v>
      </c>
      <c r="U667" s="17" t="s">
        <v>62</v>
      </c>
      <c r="V667" s="17">
        <v>45936</v>
      </c>
      <c r="W667" s="18">
        <v>10</v>
      </c>
      <c r="X667" s="17">
        <v>45937</v>
      </c>
      <c r="Y667" s="17">
        <v>45951</v>
      </c>
      <c r="Z667" s="45">
        <v>10</v>
      </c>
      <c r="AA667">
        <v>2025</v>
      </c>
      <c r="AB667" s="42">
        <v>1200100</v>
      </c>
      <c r="AC667" s="42">
        <v>1200100</v>
      </c>
    </row>
    <row r="668" spans="1:29">
      <c r="A668" t="s">
        <v>45</v>
      </c>
      <c r="B668" t="s">
        <v>46</v>
      </c>
      <c r="C668" t="s">
        <v>47</v>
      </c>
      <c r="D668" t="s">
        <v>614</v>
      </c>
      <c r="E668" t="s">
        <v>49</v>
      </c>
      <c r="F668" t="s">
        <v>63</v>
      </c>
      <c r="G668" t="s">
        <v>51</v>
      </c>
      <c r="H668" s="17" t="s">
        <v>52</v>
      </c>
      <c r="I668" t="s">
        <v>53</v>
      </c>
      <c r="J668" t="s">
        <v>420</v>
      </c>
      <c r="K668">
        <v>1</v>
      </c>
      <c r="L668" t="s">
        <v>55</v>
      </c>
      <c r="M668" t="s">
        <v>56</v>
      </c>
      <c r="N668" t="s">
        <v>57</v>
      </c>
      <c r="O668" s="18" t="s">
        <v>58</v>
      </c>
      <c r="P668" s="18" t="s">
        <v>86</v>
      </c>
      <c r="Q668" s="17" t="s">
        <v>289</v>
      </c>
      <c r="R668" s="18" t="s">
        <v>290</v>
      </c>
      <c r="S668" s="32">
        <v>150</v>
      </c>
      <c r="T668" s="19">
        <v>150</v>
      </c>
      <c r="U668" s="17" t="s">
        <v>62</v>
      </c>
      <c r="V668" s="17">
        <v>45936</v>
      </c>
      <c r="W668" s="18">
        <v>10</v>
      </c>
      <c r="X668" s="17">
        <v>45937</v>
      </c>
      <c r="Y668" s="17">
        <v>45950</v>
      </c>
      <c r="Z668" s="45">
        <v>10</v>
      </c>
      <c r="AA668">
        <v>2025</v>
      </c>
      <c r="AB668" s="42">
        <v>2118000</v>
      </c>
      <c r="AC668" s="42">
        <v>2118000</v>
      </c>
    </row>
    <row r="669" spans="1:29">
      <c r="A669" t="s">
        <v>45</v>
      </c>
      <c r="B669" t="s">
        <v>46</v>
      </c>
      <c r="C669" t="s">
        <v>47</v>
      </c>
      <c r="D669" t="s">
        <v>614</v>
      </c>
      <c r="E669" t="s">
        <v>49</v>
      </c>
      <c r="F669" t="s">
        <v>67</v>
      </c>
      <c r="G669" t="s">
        <v>51</v>
      </c>
      <c r="H669" s="17" t="s">
        <v>52</v>
      </c>
      <c r="I669" t="s">
        <v>53</v>
      </c>
      <c r="J669" t="s">
        <v>420</v>
      </c>
      <c r="K669">
        <v>1</v>
      </c>
      <c r="L669" t="s">
        <v>55</v>
      </c>
      <c r="M669" t="s">
        <v>56</v>
      </c>
      <c r="N669" t="s">
        <v>57</v>
      </c>
      <c r="O669" s="18" t="s">
        <v>58</v>
      </c>
      <c r="P669" s="18" t="s">
        <v>72</v>
      </c>
      <c r="Q669" s="17" t="s">
        <v>151</v>
      </c>
      <c r="R669" s="18" t="s">
        <v>152</v>
      </c>
      <c r="S669" s="32">
        <v>50</v>
      </c>
      <c r="T669" s="19">
        <v>50</v>
      </c>
      <c r="U669" s="17" t="s">
        <v>62</v>
      </c>
      <c r="V669" s="17">
        <v>45936</v>
      </c>
      <c r="W669" s="18">
        <v>10</v>
      </c>
      <c r="X669" s="17">
        <v>45937</v>
      </c>
      <c r="Y669" s="17">
        <v>45950</v>
      </c>
      <c r="Z669" s="45">
        <v>10</v>
      </c>
      <c r="AA669">
        <v>2025</v>
      </c>
      <c r="AB669" s="42">
        <v>1431100</v>
      </c>
      <c r="AC669" s="42">
        <v>1431100</v>
      </c>
    </row>
    <row r="670" spans="1:29">
      <c r="A670" t="s">
        <v>45</v>
      </c>
      <c r="B670" t="s">
        <v>46</v>
      </c>
      <c r="C670" t="s">
        <v>47</v>
      </c>
      <c r="D670" t="s">
        <v>614</v>
      </c>
      <c r="E670" t="s">
        <v>49</v>
      </c>
      <c r="F670" t="s">
        <v>71</v>
      </c>
      <c r="G670" t="s">
        <v>51</v>
      </c>
      <c r="H670" s="17" t="s">
        <v>52</v>
      </c>
      <c r="I670" t="s">
        <v>53</v>
      </c>
      <c r="J670" t="s">
        <v>420</v>
      </c>
      <c r="K670">
        <v>1</v>
      </c>
      <c r="L670" t="s">
        <v>55</v>
      </c>
      <c r="M670" t="s">
        <v>56</v>
      </c>
      <c r="N670" t="s">
        <v>57</v>
      </c>
      <c r="O670" s="18" t="s">
        <v>58</v>
      </c>
      <c r="P670" s="18" t="s">
        <v>86</v>
      </c>
      <c r="Q670" s="17" t="s">
        <v>483</v>
      </c>
      <c r="R670" s="18" t="s">
        <v>484</v>
      </c>
      <c r="S670" s="32">
        <v>150</v>
      </c>
      <c r="T670" s="19">
        <v>150</v>
      </c>
      <c r="U670" s="17" t="s">
        <v>62</v>
      </c>
      <c r="V670" s="17">
        <v>45936</v>
      </c>
      <c r="W670" s="18">
        <v>10</v>
      </c>
      <c r="X670" s="17">
        <v>45937</v>
      </c>
      <c r="Y670" s="17">
        <v>45950</v>
      </c>
      <c r="Z670" s="45">
        <v>10</v>
      </c>
      <c r="AA670">
        <v>2025</v>
      </c>
      <c r="AB670" s="42">
        <v>2445300</v>
      </c>
      <c r="AC670" s="42">
        <v>2445300</v>
      </c>
    </row>
    <row r="671" spans="1:29">
      <c r="A671" t="s">
        <v>45</v>
      </c>
      <c r="B671" t="s">
        <v>46</v>
      </c>
      <c r="C671" t="s">
        <v>47</v>
      </c>
      <c r="D671" t="s">
        <v>614</v>
      </c>
      <c r="E671" t="s">
        <v>49</v>
      </c>
      <c r="F671" t="s">
        <v>75</v>
      </c>
      <c r="G671" t="s">
        <v>51</v>
      </c>
      <c r="H671" s="17" t="s">
        <v>52</v>
      </c>
      <c r="I671" t="s">
        <v>53</v>
      </c>
      <c r="J671" t="s">
        <v>420</v>
      </c>
      <c r="K671">
        <v>1</v>
      </c>
      <c r="L671" t="s">
        <v>55</v>
      </c>
      <c r="M671" t="s">
        <v>56</v>
      </c>
      <c r="N671" t="s">
        <v>57</v>
      </c>
      <c r="O671" s="18" t="s">
        <v>58</v>
      </c>
      <c r="P671" s="18" t="s">
        <v>99</v>
      </c>
      <c r="Q671" s="17" t="s">
        <v>100</v>
      </c>
      <c r="R671" s="18" t="s">
        <v>101</v>
      </c>
      <c r="S671" s="32">
        <v>450</v>
      </c>
      <c r="T671" s="19">
        <v>450</v>
      </c>
      <c r="U671" s="17" t="s">
        <v>62</v>
      </c>
      <c r="V671" s="17">
        <v>45936</v>
      </c>
      <c r="W671" s="18">
        <v>10</v>
      </c>
      <c r="X671" s="17">
        <v>45937</v>
      </c>
      <c r="Y671" s="17">
        <v>45950</v>
      </c>
      <c r="Z671" s="45">
        <v>10</v>
      </c>
      <c r="AA671">
        <v>2025</v>
      </c>
      <c r="AB671" s="42">
        <v>112500</v>
      </c>
      <c r="AC671" s="42">
        <v>112500</v>
      </c>
    </row>
    <row r="672" spans="1:29">
      <c r="A672" t="s">
        <v>45</v>
      </c>
      <c r="B672" t="s">
        <v>46</v>
      </c>
      <c r="C672" t="s">
        <v>47</v>
      </c>
      <c r="D672" t="s">
        <v>615</v>
      </c>
      <c r="E672" t="s">
        <v>49</v>
      </c>
      <c r="F672" t="s">
        <v>50</v>
      </c>
      <c r="G672" t="s">
        <v>51</v>
      </c>
      <c r="H672" s="17" t="s">
        <v>52</v>
      </c>
      <c r="I672" t="s">
        <v>53</v>
      </c>
      <c r="J672" t="s">
        <v>616</v>
      </c>
      <c r="K672">
        <v>1</v>
      </c>
      <c r="L672" t="s">
        <v>55</v>
      </c>
      <c r="M672" t="s">
        <v>56</v>
      </c>
      <c r="N672" t="s">
        <v>57</v>
      </c>
      <c r="O672" s="18" t="s">
        <v>58</v>
      </c>
      <c r="P672" s="18" t="s">
        <v>86</v>
      </c>
      <c r="Q672" s="17" t="s">
        <v>604</v>
      </c>
      <c r="R672" s="18" t="s">
        <v>605</v>
      </c>
      <c r="S672" s="32">
        <v>10</v>
      </c>
      <c r="T672" s="19">
        <v>10</v>
      </c>
      <c r="U672" s="17" t="s">
        <v>62</v>
      </c>
      <c r="V672" s="17">
        <v>45938</v>
      </c>
      <c r="W672" s="18">
        <v>10</v>
      </c>
      <c r="X672" s="17">
        <v>45939</v>
      </c>
      <c r="Y672" s="17">
        <v>45950</v>
      </c>
      <c r="Z672" s="45">
        <v>10</v>
      </c>
      <c r="AA672">
        <v>2025</v>
      </c>
      <c r="AB672" s="42">
        <v>316780</v>
      </c>
      <c r="AC672" s="42">
        <v>316780</v>
      </c>
    </row>
    <row r="673" spans="1:29">
      <c r="A673" t="s">
        <v>45</v>
      </c>
      <c r="B673" t="s">
        <v>46</v>
      </c>
      <c r="C673" t="s">
        <v>47</v>
      </c>
      <c r="D673" t="s">
        <v>615</v>
      </c>
      <c r="E673" t="s">
        <v>49</v>
      </c>
      <c r="F673" t="s">
        <v>63</v>
      </c>
      <c r="G673" t="s">
        <v>51</v>
      </c>
      <c r="H673" s="17" t="s">
        <v>52</v>
      </c>
      <c r="I673" t="s">
        <v>53</v>
      </c>
      <c r="J673" t="s">
        <v>616</v>
      </c>
      <c r="K673">
        <v>1</v>
      </c>
      <c r="L673" t="s">
        <v>55</v>
      </c>
      <c r="M673" t="s">
        <v>56</v>
      </c>
      <c r="N673" t="s">
        <v>57</v>
      </c>
      <c r="O673" s="18" t="s">
        <v>58</v>
      </c>
      <c r="P673" s="18" t="s">
        <v>99</v>
      </c>
      <c r="Q673" s="17" t="s">
        <v>100</v>
      </c>
      <c r="R673" s="18" t="s">
        <v>101</v>
      </c>
      <c r="S673" s="32">
        <v>1</v>
      </c>
      <c r="T673" s="19">
        <v>1</v>
      </c>
      <c r="U673" s="17" t="s">
        <v>62</v>
      </c>
      <c r="V673" s="17">
        <v>45938</v>
      </c>
      <c r="W673" s="18">
        <v>10</v>
      </c>
      <c r="X673" s="17">
        <v>45939</v>
      </c>
      <c r="Y673" s="17">
        <v>45950</v>
      </c>
      <c r="Z673" s="45">
        <v>10</v>
      </c>
      <c r="AA673">
        <v>2025</v>
      </c>
      <c r="AB673" s="42">
        <v>57800</v>
      </c>
      <c r="AC673" s="42">
        <v>57800</v>
      </c>
    </row>
    <row r="674" spans="1:29">
      <c r="A674" t="s">
        <v>45</v>
      </c>
      <c r="B674" t="s">
        <v>46</v>
      </c>
      <c r="C674" t="s">
        <v>47</v>
      </c>
      <c r="D674" t="s">
        <v>617</v>
      </c>
      <c r="E674" t="s">
        <v>49</v>
      </c>
      <c r="F674" t="s">
        <v>50</v>
      </c>
      <c r="G674" t="s">
        <v>51</v>
      </c>
      <c r="H674" s="17" t="s">
        <v>52</v>
      </c>
      <c r="I674" t="s">
        <v>53</v>
      </c>
      <c r="J674" t="s">
        <v>54</v>
      </c>
      <c r="K674">
        <v>1</v>
      </c>
      <c r="L674" t="s">
        <v>55</v>
      </c>
      <c r="M674" t="s">
        <v>56</v>
      </c>
      <c r="N674" t="s">
        <v>57</v>
      </c>
      <c r="O674" s="18" t="s">
        <v>58</v>
      </c>
      <c r="P674" s="18" t="s">
        <v>172</v>
      </c>
      <c r="Q674" s="17" t="s">
        <v>173</v>
      </c>
      <c r="R674" s="18" t="s">
        <v>174</v>
      </c>
      <c r="S674" s="32">
        <v>9</v>
      </c>
      <c r="T674" s="19">
        <v>9</v>
      </c>
      <c r="U674" s="17" t="s">
        <v>62</v>
      </c>
      <c r="V674" s="17">
        <v>45940</v>
      </c>
      <c r="W674" s="18">
        <v>10</v>
      </c>
      <c r="X674" s="17">
        <v>45940</v>
      </c>
      <c r="Y674" s="17">
        <v>45944</v>
      </c>
      <c r="Z674" s="45">
        <v>10</v>
      </c>
      <c r="AA674">
        <v>2025</v>
      </c>
      <c r="AB674" s="42">
        <v>423081</v>
      </c>
      <c r="AC674" s="42">
        <v>423081</v>
      </c>
    </row>
    <row r="675" spans="1:29">
      <c r="A675" t="s">
        <v>45</v>
      </c>
      <c r="B675" t="s">
        <v>46</v>
      </c>
      <c r="C675" t="s">
        <v>47</v>
      </c>
      <c r="D675" t="s">
        <v>618</v>
      </c>
      <c r="E675" t="s">
        <v>49</v>
      </c>
      <c r="F675" t="s">
        <v>50</v>
      </c>
      <c r="G675" t="s">
        <v>51</v>
      </c>
      <c r="H675" s="17" t="s">
        <v>52</v>
      </c>
      <c r="I675" t="s">
        <v>53</v>
      </c>
      <c r="J675" t="s">
        <v>420</v>
      </c>
      <c r="K675">
        <v>1</v>
      </c>
      <c r="L675" t="s">
        <v>55</v>
      </c>
      <c r="M675" t="s">
        <v>56</v>
      </c>
      <c r="N675" t="s">
        <v>57</v>
      </c>
      <c r="O675" s="18" t="s">
        <v>58</v>
      </c>
      <c r="P675" s="18" t="s">
        <v>99</v>
      </c>
      <c r="Q675" s="17" t="s">
        <v>100</v>
      </c>
      <c r="R675" s="18" t="s">
        <v>101</v>
      </c>
      <c r="S675" s="32">
        <v>1</v>
      </c>
      <c r="T675" s="19">
        <v>1</v>
      </c>
      <c r="U675" s="17" t="s">
        <v>62</v>
      </c>
      <c r="V675" s="17">
        <v>45940</v>
      </c>
      <c r="W675" s="18">
        <v>10</v>
      </c>
      <c r="X675" s="17">
        <v>45940</v>
      </c>
      <c r="Y675" s="17">
        <v>45958</v>
      </c>
      <c r="Z675" s="45">
        <v>10</v>
      </c>
      <c r="AA675">
        <v>2025</v>
      </c>
      <c r="AB675" s="42">
        <v>45000</v>
      </c>
      <c r="AC675" s="42">
        <v>45000</v>
      </c>
    </row>
    <row r="676" spans="1:29">
      <c r="A676" t="s">
        <v>45</v>
      </c>
      <c r="B676" t="s">
        <v>46</v>
      </c>
      <c r="C676" t="s">
        <v>47</v>
      </c>
      <c r="D676" t="s">
        <v>619</v>
      </c>
      <c r="E676" t="s">
        <v>49</v>
      </c>
      <c r="F676" t="s">
        <v>50</v>
      </c>
      <c r="G676" t="s">
        <v>51</v>
      </c>
      <c r="H676" s="17" t="s">
        <v>58</v>
      </c>
      <c r="I676" t="s">
        <v>53</v>
      </c>
      <c r="J676" t="s">
        <v>54</v>
      </c>
      <c r="K676">
        <v>1</v>
      </c>
      <c r="L676" t="s">
        <v>55</v>
      </c>
      <c r="M676" t="s">
        <v>56</v>
      </c>
      <c r="N676" t="s">
        <v>57</v>
      </c>
      <c r="O676" s="18" t="s">
        <v>58</v>
      </c>
      <c r="P676" s="18" t="s">
        <v>172</v>
      </c>
      <c r="Q676" s="17" t="s">
        <v>173</v>
      </c>
      <c r="R676" s="18" t="s">
        <v>174</v>
      </c>
      <c r="S676" s="32">
        <v>9</v>
      </c>
      <c r="T676" s="19">
        <v>0</v>
      </c>
      <c r="U676" s="17" t="s">
        <v>62</v>
      </c>
      <c r="V676" s="17">
        <v>45939</v>
      </c>
      <c r="W676" s="18">
        <v>10</v>
      </c>
      <c r="X676" s="17">
        <v>45939</v>
      </c>
      <c r="Z676" s="45">
        <v>10</v>
      </c>
      <c r="AA676">
        <v>2025</v>
      </c>
      <c r="AB676" s="42">
        <v>413748</v>
      </c>
      <c r="AC676" s="42">
        <v>0</v>
      </c>
    </row>
    <row r="677" spans="1:29">
      <c r="A677" t="s">
        <v>45</v>
      </c>
      <c r="B677" t="s">
        <v>46</v>
      </c>
      <c r="C677" t="s">
        <v>47</v>
      </c>
      <c r="D677" t="s">
        <v>620</v>
      </c>
      <c r="E677" t="s">
        <v>49</v>
      </c>
      <c r="F677" t="s">
        <v>50</v>
      </c>
      <c r="G677" t="s">
        <v>51</v>
      </c>
      <c r="H677" s="17" t="s">
        <v>58</v>
      </c>
      <c r="I677" t="s">
        <v>53</v>
      </c>
      <c r="J677" t="s">
        <v>54</v>
      </c>
      <c r="K677">
        <v>1</v>
      </c>
      <c r="L677" t="s">
        <v>55</v>
      </c>
      <c r="M677" t="s">
        <v>56</v>
      </c>
      <c r="N677" t="s">
        <v>57</v>
      </c>
      <c r="O677" s="18" t="s">
        <v>58</v>
      </c>
      <c r="P677" s="18" t="s">
        <v>172</v>
      </c>
      <c r="Q677" s="17" t="s">
        <v>173</v>
      </c>
      <c r="R677" s="18" t="s">
        <v>174</v>
      </c>
      <c r="S677" s="32">
        <v>9</v>
      </c>
      <c r="T677" s="19">
        <v>0</v>
      </c>
      <c r="U677" s="17" t="s">
        <v>62</v>
      </c>
      <c r="V677" s="17">
        <v>45939</v>
      </c>
      <c r="W677" s="18">
        <v>10</v>
      </c>
      <c r="X677" s="17">
        <v>45939</v>
      </c>
      <c r="Z677" s="45">
        <v>10</v>
      </c>
      <c r="AA677">
        <v>2025</v>
      </c>
      <c r="AB677" s="42">
        <v>423081</v>
      </c>
      <c r="AC677" s="42">
        <v>0</v>
      </c>
    </row>
    <row r="678" spans="1:29">
      <c r="A678" t="s">
        <v>45</v>
      </c>
      <c r="B678" t="s">
        <v>46</v>
      </c>
      <c r="C678" t="s">
        <v>47</v>
      </c>
      <c r="D678" t="s">
        <v>621</v>
      </c>
      <c r="E678" t="s">
        <v>49</v>
      </c>
      <c r="F678" t="s">
        <v>50</v>
      </c>
      <c r="G678" t="s">
        <v>51</v>
      </c>
      <c r="H678" s="17" t="s">
        <v>52</v>
      </c>
      <c r="I678" t="s">
        <v>53</v>
      </c>
      <c r="J678" t="s">
        <v>434</v>
      </c>
      <c r="K678">
        <v>1</v>
      </c>
      <c r="L678" t="s">
        <v>55</v>
      </c>
      <c r="M678" t="s">
        <v>84</v>
      </c>
      <c r="N678" t="s">
        <v>85</v>
      </c>
      <c r="O678" s="18" t="s">
        <v>58</v>
      </c>
      <c r="P678" s="18" t="s">
        <v>94</v>
      </c>
      <c r="Q678" s="17" t="s">
        <v>441</v>
      </c>
      <c r="R678" s="18" t="s">
        <v>442</v>
      </c>
      <c r="S678" s="32">
        <v>32</v>
      </c>
      <c r="T678" s="19">
        <v>32</v>
      </c>
      <c r="U678" s="17" t="s">
        <v>62</v>
      </c>
      <c r="V678" s="17">
        <v>45939</v>
      </c>
      <c r="W678" s="18">
        <v>10</v>
      </c>
      <c r="X678" s="17">
        <v>45940</v>
      </c>
      <c r="Y678" s="17">
        <v>45943</v>
      </c>
      <c r="Z678" s="45">
        <v>10</v>
      </c>
      <c r="AA678">
        <v>2025</v>
      </c>
      <c r="AB678" s="42">
        <v>360928</v>
      </c>
      <c r="AC678" s="42">
        <v>360928</v>
      </c>
    </row>
    <row r="679" spans="1:29">
      <c r="A679" t="s">
        <v>45</v>
      </c>
      <c r="B679" t="s">
        <v>46</v>
      </c>
      <c r="C679" t="s">
        <v>47</v>
      </c>
      <c r="D679" t="s">
        <v>621</v>
      </c>
      <c r="E679" t="s">
        <v>49</v>
      </c>
      <c r="F679" t="s">
        <v>63</v>
      </c>
      <c r="G679" t="s">
        <v>51</v>
      </c>
      <c r="H679" s="17" t="s">
        <v>52</v>
      </c>
      <c r="I679" t="s">
        <v>53</v>
      </c>
      <c r="J679" t="s">
        <v>434</v>
      </c>
      <c r="K679">
        <v>1</v>
      </c>
      <c r="L679" t="s">
        <v>55</v>
      </c>
      <c r="M679" t="s">
        <v>84</v>
      </c>
      <c r="N679" t="s">
        <v>85</v>
      </c>
      <c r="O679" s="18" t="s">
        <v>58</v>
      </c>
      <c r="P679" s="18" t="s">
        <v>94</v>
      </c>
      <c r="Q679" s="17" t="s">
        <v>95</v>
      </c>
      <c r="R679" s="18" t="s">
        <v>96</v>
      </c>
      <c r="S679" s="32">
        <v>15</v>
      </c>
      <c r="T679" s="19">
        <v>15</v>
      </c>
      <c r="U679" s="17" t="s">
        <v>62</v>
      </c>
      <c r="V679" s="17">
        <v>45939</v>
      </c>
      <c r="W679" s="18">
        <v>10</v>
      </c>
      <c r="X679" s="17">
        <v>45940</v>
      </c>
      <c r="Y679" s="17">
        <v>45943</v>
      </c>
      <c r="Z679" s="45">
        <v>10</v>
      </c>
      <c r="AA679">
        <v>2025</v>
      </c>
      <c r="AB679" s="42">
        <v>260205</v>
      </c>
      <c r="AC679" s="42">
        <v>260205</v>
      </c>
    </row>
    <row r="680" spans="1:29">
      <c r="A680" t="s">
        <v>45</v>
      </c>
      <c r="B680" t="s">
        <v>46</v>
      </c>
      <c r="C680" t="s">
        <v>47</v>
      </c>
      <c r="D680" t="s">
        <v>622</v>
      </c>
      <c r="E680" t="s">
        <v>49</v>
      </c>
      <c r="F680" t="s">
        <v>50</v>
      </c>
      <c r="G680" t="s">
        <v>51</v>
      </c>
      <c r="H680" s="17" t="s">
        <v>52</v>
      </c>
      <c r="I680" t="s">
        <v>53</v>
      </c>
      <c r="J680" t="s">
        <v>54</v>
      </c>
      <c r="K680">
        <v>1</v>
      </c>
      <c r="L680" t="s">
        <v>55</v>
      </c>
      <c r="M680" t="s">
        <v>56</v>
      </c>
      <c r="N680" t="s">
        <v>57</v>
      </c>
      <c r="O680" s="18" t="s">
        <v>58</v>
      </c>
      <c r="P680" s="18" t="s">
        <v>172</v>
      </c>
      <c r="Q680" s="17" t="s">
        <v>173</v>
      </c>
      <c r="R680" s="18" t="s">
        <v>174</v>
      </c>
      <c r="S680" s="32">
        <v>9</v>
      </c>
      <c r="T680" s="19">
        <v>9</v>
      </c>
      <c r="U680" s="17" t="s">
        <v>62</v>
      </c>
      <c r="V680" s="17">
        <v>45940</v>
      </c>
      <c r="W680" s="18">
        <v>10</v>
      </c>
      <c r="X680" s="17">
        <v>45940</v>
      </c>
      <c r="Y680" s="17">
        <v>45944</v>
      </c>
      <c r="Z680" s="45">
        <v>10</v>
      </c>
      <c r="AA680">
        <v>2025</v>
      </c>
      <c r="AB680" s="42">
        <v>423081</v>
      </c>
      <c r="AC680" s="42">
        <v>423081</v>
      </c>
    </row>
    <row r="681" spans="1:29">
      <c r="A681" t="s">
        <v>45</v>
      </c>
      <c r="B681" t="s">
        <v>46</v>
      </c>
      <c r="C681" t="s">
        <v>47</v>
      </c>
      <c r="D681" t="s">
        <v>623</v>
      </c>
      <c r="E681" t="s">
        <v>49</v>
      </c>
      <c r="F681" t="s">
        <v>50</v>
      </c>
      <c r="G681" t="s">
        <v>51</v>
      </c>
      <c r="H681" s="17" t="s">
        <v>52</v>
      </c>
      <c r="I681" t="s">
        <v>53</v>
      </c>
      <c r="J681" t="s">
        <v>54</v>
      </c>
      <c r="K681">
        <v>1</v>
      </c>
      <c r="L681" t="s">
        <v>55</v>
      </c>
      <c r="M681" t="s">
        <v>84</v>
      </c>
      <c r="N681" t="s">
        <v>85</v>
      </c>
      <c r="O681" s="18" t="s">
        <v>58</v>
      </c>
      <c r="P681" s="18" t="s">
        <v>99</v>
      </c>
      <c r="Q681" s="17" t="s">
        <v>624</v>
      </c>
      <c r="R681" s="18" t="s">
        <v>625</v>
      </c>
      <c r="S681" s="32">
        <v>129</v>
      </c>
      <c r="T681" s="19">
        <v>129</v>
      </c>
      <c r="U681" s="17" t="s">
        <v>62</v>
      </c>
      <c r="V681" s="17">
        <v>45930</v>
      </c>
      <c r="W681" s="18">
        <v>9</v>
      </c>
      <c r="X681" s="17">
        <v>45933</v>
      </c>
      <c r="Y681" s="17">
        <v>45938</v>
      </c>
      <c r="Z681" s="45">
        <v>10</v>
      </c>
      <c r="AA681">
        <v>2025</v>
      </c>
      <c r="AB681" s="42">
        <v>4077045</v>
      </c>
      <c r="AC681" s="42">
        <v>4077045</v>
      </c>
    </row>
    <row r="682" spans="1:29">
      <c r="A682" t="s">
        <v>45</v>
      </c>
      <c r="B682" t="s">
        <v>46</v>
      </c>
      <c r="C682" t="s">
        <v>47</v>
      </c>
      <c r="D682" t="s">
        <v>623</v>
      </c>
      <c r="E682" t="s">
        <v>49</v>
      </c>
      <c r="F682" t="s">
        <v>63</v>
      </c>
      <c r="G682" t="s">
        <v>51</v>
      </c>
      <c r="H682" s="17" t="s">
        <v>52</v>
      </c>
      <c r="I682" t="s">
        <v>53</v>
      </c>
      <c r="J682" t="s">
        <v>54</v>
      </c>
      <c r="K682">
        <v>1</v>
      </c>
      <c r="L682" t="s">
        <v>55</v>
      </c>
      <c r="M682" t="s">
        <v>84</v>
      </c>
      <c r="N682" t="s">
        <v>85</v>
      </c>
      <c r="O682" s="18" t="s">
        <v>58</v>
      </c>
      <c r="P682" s="18" t="s">
        <v>89</v>
      </c>
      <c r="Q682" s="17" t="s">
        <v>90</v>
      </c>
      <c r="R682" s="18" t="s">
        <v>91</v>
      </c>
      <c r="S682" s="32">
        <v>5</v>
      </c>
      <c r="T682" s="19">
        <v>5</v>
      </c>
      <c r="U682" s="17" t="s">
        <v>62</v>
      </c>
      <c r="V682" s="17">
        <v>45930</v>
      </c>
      <c r="W682" s="18">
        <v>9</v>
      </c>
      <c r="X682" s="17">
        <v>45933</v>
      </c>
      <c r="Y682" s="17">
        <v>45938</v>
      </c>
      <c r="Z682" s="45">
        <v>10</v>
      </c>
      <c r="AA682">
        <v>2025</v>
      </c>
      <c r="AB682" s="42">
        <v>725885</v>
      </c>
      <c r="AC682" s="42">
        <v>725885</v>
      </c>
    </row>
    <row r="683" spans="1:29">
      <c r="A683" t="s">
        <v>45</v>
      </c>
      <c r="B683" t="s">
        <v>46</v>
      </c>
      <c r="C683" t="s">
        <v>47</v>
      </c>
      <c r="D683" t="s">
        <v>623</v>
      </c>
      <c r="E683" t="s">
        <v>49</v>
      </c>
      <c r="F683" t="s">
        <v>67</v>
      </c>
      <c r="G683" t="s">
        <v>51</v>
      </c>
      <c r="H683" s="17" t="s">
        <v>52</v>
      </c>
      <c r="I683" t="s">
        <v>53</v>
      </c>
      <c r="J683" t="s">
        <v>54</v>
      </c>
      <c r="K683">
        <v>1</v>
      </c>
      <c r="L683" t="s">
        <v>55</v>
      </c>
      <c r="M683" t="s">
        <v>84</v>
      </c>
      <c r="N683" t="s">
        <v>85</v>
      </c>
      <c r="O683" s="18" t="s">
        <v>58</v>
      </c>
      <c r="P683" s="18" t="s">
        <v>64</v>
      </c>
      <c r="Q683" s="17" t="s">
        <v>92</v>
      </c>
      <c r="R683" s="18" t="s">
        <v>93</v>
      </c>
      <c r="S683" s="32">
        <v>12</v>
      </c>
      <c r="T683" s="19">
        <v>12</v>
      </c>
      <c r="U683" s="17" t="s">
        <v>62</v>
      </c>
      <c r="V683" s="17">
        <v>45930</v>
      </c>
      <c r="W683" s="18">
        <v>9</v>
      </c>
      <c r="X683" s="17">
        <v>45933</v>
      </c>
      <c r="Y683" s="17">
        <v>45938</v>
      </c>
      <c r="Z683" s="45">
        <v>10</v>
      </c>
      <c r="AA683">
        <v>2025</v>
      </c>
      <c r="AB683" s="42">
        <v>172428</v>
      </c>
      <c r="AC683" s="42">
        <v>172428</v>
      </c>
    </row>
    <row r="684" spans="1:29">
      <c r="A684" t="s">
        <v>45</v>
      </c>
      <c r="B684" t="s">
        <v>46</v>
      </c>
      <c r="C684" t="s">
        <v>47</v>
      </c>
      <c r="D684" t="s">
        <v>623</v>
      </c>
      <c r="E684" t="s">
        <v>49</v>
      </c>
      <c r="F684" t="s">
        <v>71</v>
      </c>
      <c r="G684" t="s">
        <v>51</v>
      </c>
      <c r="H684" s="17" t="s">
        <v>52</v>
      </c>
      <c r="I684" t="s">
        <v>53</v>
      </c>
      <c r="J684" t="s">
        <v>54</v>
      </c>
      <c r="K684">
        <v>1</v>
      </c>
      <c r="L684" t="s">
        <v>55</v>
      </c>
      <c r="M684" t="s">
        <v>84</v>
      </c>
      <c r="N684" t="s">
        <v>85</v>
      </c>
      <c r="O684" s="18" t="s">
        <v>58</v>
      </c>
      <c r="P684" s="18" t="s">
        <v>59</v>
      </c>
      <c r="Q684" s="17" t="s">
        <v>575</v>
      </c>
      <c r="R684" s="18" t="s">
        <v>576</v>
      </c>
      <c r="S684" s="32">
        <v>10</v>
      </c>
      <c r="T684" s="19">
        <v>10</v>
      </c>
      <c r="U684" s="17" t="s">
        <v>62</v>
      </c>
      <c r="V684" s="17">
        <v>45930</v>
      </c>
      <c r="W684" s="18">
        <v>9</v>
      </c>
      <c r="X684" s="17">
        <v>45933</v>
      </c>
      <c r="Y684" s="17">
        <v>45938</v>
      </c>
      <c r="Z684" s="45">
        <v>10</v>
      </c>
      <c r="AA684">
        <v>2025</v>
      </c>
      <c r="AB684" s="42">
        <v>166550</v>
      </c>
      <c r="AC684" s="42">
        <v>166550</v>
      </c>
    </row>
    <row r="685" spans="1:29">
      <c r="A685" t="s">
        <v>45</v>
      </c>
      <c r="B685" t="s">
        <v>46</v>
      </c>
      <c r="C685" t="s">
        <v>47</v>
      </c>
      <c r="D685" t="s">
        <v>623</v>
      </c>
      <c r="E685" t="s">
        <v>49</v>
      </c>
      <c r="F685" t="s">
        <v>75</v>
      </c>
      <c r="G685" t="s">
        <v>51</v>
      </c>
      <c r="H685" s="17" t="s">
        <v>52</v>
      </c>
      <c r="I685" t="s">
        <v>53</v>
      </c>
      <c r="J685" t="s">
        <v>54</v>
      </c>
      <c r="K685">
        <v>1</v>
      </c>
      <c r="L685" t="s">
        <v>55</v>
      </c>
      <c r="M685" t="s">
        <v>84</v>
      </c>
      <c r="N685" t="s">
        <v>85</v>
      </c>
      <c r="O685" s="18" t="s">
        <v>58</v>
      </c>
      <c r="P685" s="18" t="s">
        <v>94</v>
      </c>
      <c r="Q685" s="17" t="s">
        <v>441</v>
      </c>
      <c r="R685" s="18" t="s">
        <v>442</v>
      </c>
      <c r="S685" s="32">
        <v>22</v>
      </c>
      <c r="T685" s="19">
        <v>22</v>
      </c>
      <c r="U685" s="17" t="s">
        <v>62</v>
      </c>
      <c r="V685" s="17">
        <v>45930</v>
      </c>
      <c r="W685" s="18">
        <v>9</v>
      </c>
      <c r="X685" s="17">
        <v>45933</v>
      </c>
      <c r="Y685" s="17">
        <v>45938</v>
      </c>
      <c r="Z685" s="45">
        <v>10</v>
      </c>
      <c r="AA685">
        <v>2025</v>
      </c>
      <c r="AB685" s="42">
        <v>248138</v>
      </c>
      <c r="AC685" s="42">
        <v>248138</v>
      </c>
    </row>
    <row r="686" spans="1:29">
      <c r="A686" t="s">
        <v>45</v>
      </c>
      <c r="B686" t="s">
        <v>46</v>
      </c>
      <c r="C686" t="s">
        <v>47</v>
      </c>
      <c r="D686" t="s">
        <v>606</v>
      </c>
      <c r="E686" t="s">
        <v>49</v>
      </c>
      <c r="F686" t="s">
        <v>71</v>
      </c>
      <c r="G686" t="s">
        <v>51</v>
      </c>
      <c r="H686" s="17" t="s">
        <v>52</v>
      </c>
      <c r="I686" t="s">
        <v>53</v>
      </c>
      <c r="J686" t="s">
        <v>224</v>
      </c>
      <c r="K686">
        <v>1</v>
      </c>
      <c r="L686" t="s">
        <v>55</v>
      </c>
      <c r="M686" t="s">
        <v>56</v>
      </c>
      <c r="N686" t="s">
        <v>57</v>
      </c>
      <c r="O686" s="18" t="s">
        <v>58</v>
      </c>
      <c r="P686" s="18" t="s">
        <v>99</v>
      </c>
      <c r="Q686" s="17" t="s">
        <v>100</v>
      </c>
      <c r="R686" s="18" t="s">
        <v>101</v>
      </c>
      <c r="S686" s="32">
        <v>450</v>
      </c>
      <c r="T686" s="19">
        <v>246</v>
      </c>
      <c r="U686" s="17" t="s">
        <v>62</v>
      </c>
      <c r="V686" s="17">
        <v>45924</v>
      </c>
      <c r="W686" s="18">
        <v>9</v>
      </c>
      <c r="X686" s="17">
        <v>45992</v>
      </c>
      <c r="Y686" s="17">
        <v>45937</v>
      </c>
      <c r="Z686" s="45">
        <v>10</v>
      </c>
      <c r="AA686">
        <v>2025</v>
      </c>
      <c r="AB686" s="42">
        <v>45000</v>
      </c>
      <c r="AC686" s="42">
        <v>24600</v>
      </c>
    </row>
    <row r="687" spans="1:29">
      <c r="A687" t="s">
        <v>45</v>
      </c>
      <c r="B687" t="s">
        <v>46</v>
      </c>
      <c r="C687" t="s">
        <v>47</v>
      </c>
      <c r="D687" t="s">
        <v>626</v>
      </c>
      <c r="E687" t="s">
        <v>49</v>
      </c>
      <c r="F687" t="s">
        <v>50</v>
      </c>
      <c r="G687" t="s">
        <v>51</v>
      </c>
      <c r="H687" s="17" t="s">
        <v>52</v>
      </c>
      <c r="I687" t="s">
        <v>53</v>
      </c>
      <c r="J687" t="s">
        <v>54</v>
      </c>
      <c r="K687">
        <v>1</v>
      </c>
      <c r="L687" t="s">
        <v>55</v>
      </c>
      <c r="M687" t="s">
        <v>56</v>
      </c>
      <c r="N687" t="s">
        <v>57</v>
      </c>
      <c r="O687" s="18" t="s">
        <v>58</v>
      </c>
      <c r="P687" s="18" t="s">
        <v>172</v>
      </c>
      <c r="Q687" s="17" t="s">
        <v>173</v>
      </c>
      <c r="R687" s="18" t="s">
        <v>174</v>
      </c>
      <c r="S687" s="32">
        <v>7</v>
      </c>
      <c r="T687" s="19">
        <v>7</v>
      </c>
      <c r="U687" s="17" t="s">
        <v>62</v>
      </c>
      <c r="V687" s="17">
        <v>45924</v>
      </c>
      <c r="W687" s="18">
        <v>9</v>
      </c>
      <c r="X687" s="17">
        <v>45924</v>
      </c>
      <c r="Y687" s="17">
        <v>45940</v>
      </c>
      <c r="Z687" s="45">
        <v>10</v>
      </c>
      <c r="AA687">
        <v>2025</v>
      </c>
      <c r="AB687" s="42">
        <v>329063</v>
      </c>
      <c r="AC687" s="42">
        <v>329063</v>
      </c>
    </row>
    <row r="688" spans="1:29">
      <c r="A688" t="s">
        <v>45</v>
      </c>
      <c r="B688" t="s">
        <v>46</v>
      </c>
      <c r="C688" t="s">
        <v>47</v>
      </c>
      <c r="D688" t="s">
        <v>627</v>
      </c>
      <c r="E688" t="s">
        <v>49</v>
      </c>
      <c r="F688" t="s">
        <v>50</v>
      </c>
      <c r="G688" t="s">
        <v>51</v>
      </c>
      <c r="H688" s="17" t="s">
        <v>52</v>
      </c>
      <c r="I688" t="s">
        <v>53</v>
      </c>
      <c r="J688" t="s">
        <v>54</v>
      </c>
      <c r="K688">
        <v>1</v>
      </c>
      <c r="L688" t="s">
        <v>55</v>
      </c>
      <c r="M688" t="s">
        <v>56</v>
      </c>
      <c r="N688" t="s">
        <v>57</v>
      </c>
      <c r="O688" s="18" t="s">
        <v>58</v>
      </c>
      <c r="P688" s="18" t="s">
        <v>172</v>
      </c>
      <c r="Q688" s="17" t="s">
        <v>173</v>
      </c>
      <c r="R688" s="18" t="s">
        <v>174</v>
      </c>
      <c r="S688" s="32">
        <v>7</v>
      </c>
      <c r="T688" s="19">
        <v>7</v>
      </c>
      <c r="U688" s="17" t="s">
        <v>62</v>
      </c>
      <c r="V688" s="17">
        <v>45924</v>
      </c>
      <c r="W688" s="18">
        <v>9</v>
      </c>
      <c r="X688" s="17">
        <v>45924</v>
      </c>
      <c r="Y688" s="17">
        <v>45940</v>
      </c>
      <c r="Z688" s="45">
        <v>10</v>
      </c>
      <c r="AA688">
        <v>2025</v>
      </c>
      <c r="AB688" s="42">
        <v>329063</v>
      </c>
      <c r="AC688" s="42">
        <v>329063</v>
      </c>
    </row>
    <row r="689" spans="1:29">
      <c r="A689" t="s">
        <v>45</v>
      </c>
      <c r="B689" t="s">
        <v>46</v>
      </c>
      <c r="C689" t="s">
        <v>47</v>
      </c>
      <c r="D689" t="s">
        <v>628</v>
      </c>
      <c r="E689" t="s">
        <v>115</v>
      </c>
      <c r="F689" t="s">
        <v>63</v>
      </c>
      <c r="G689" t="s">
        <v>116</v>
      </c>
      <c r="H689" s="17" t="s">
        <v>52</v>
      </c>
      <c r="I689" t="s">
        <v>53</v>
      </c>
      <c r="J689" t="s">
        <v>125</v>
      </c>
      <c r="K689">
        <v>1</v>
      </c>
      <c r="L689" t="s">
        <v>55</v>
      </c>
      <c r="M689" t="s">
        <v>56</v>
      </c>
      <c r="N689" t="s">
        <v>57</v>
      </c>
      <c r="O689" s="18" t="s">
        <v>58</v>
      </c>
      <c r="P689" s="18" t="s">
        <v>72</v>
      </c>
      <c r="Q689" s="17" t="s">
        <v>117</v>
      </c>
      <c r="R689" s="18" t="s">
        <v>393</v>
      </c>
      <c r="S689" s="32">
        <v>2</v>
      </c>
      <c r="T689" s="19">
        <v>2</v>
      </c>
      <c r="U689" s="17" t="s">
        <v>119</v>
      </c>
      <c r="V689" s="17">
        <v>45953</v>
      </c>
      <c r="W689" s="18">
        <v>10</v>
      </c>
      <c r="X689" s="17">
        <v>45967</v>
      </c>
      <c r="Y689" s="17">
        <v>45957</v>
      </c>
      <c r="Z689" s="45">
        <v>10</v>
      </c>
      <c r="AA689">
        <v>2025</v>
      </c>
      <c r="AB689" s="42">
        <v>703000</v>
      </c>
      <c r="AC689" s="42">
        <v>703000</v>
      </c>
    </row>
    <row r="690" spans="1:29">
      <c r="A690" t="s">
        <v>45</v>
      </c>
      <c r="B690" t="s">
        <v>46</v>
      </c>
      <c r="C690" t="s">
        <v>47</v>
      </c>
      <c r="D690" t="s">
        <v>629</v>
      </c>
      <c r="E690" t="s">
        <v>115</v>
      </c>
      <c r="F690" t="s">
        <v>50</v>
      </c>
      <c r="G690" t="s">
        <v>116</v>
      </c>
      <c r="H690" s="17" t="s">
        <v>52</v>
      </c>
      <c r="I690" t="s">
        <v>53</v>
      </c>
      <c r="J690" t="s">
        <v>121</v>
      </c>
      <c r="K690">
        <v>1</v>
      </c>
      <c r="L690" t="s">
        <v>55</v>
      </c>
      <c r="M690" t="s">
        <v>56</v>
      </c>
      <c r="N690" t="s">
        <v>57</v>
      </c>
      <c r="O690" s="18" t="s">
        <v>58</v>
      </c>
      <c r="P690" s="18" t="s">
        <v>72</v>
      </c>
      <c r="Q690" s="17" t="s">
        <v>145</v>
      </c>
      <c r="R690" s="18" t="s">
        <v>411</v>
      </c>
      <c r="S690" s="32">
        <v>2</v>
      </c>
      <c r="T690" s="19">
        <v>2</v>
      </c>
      <c r="U690" s="17" t="s">
        <v>119</v>
      </c>
      <c r="V690" s="17">
        <v>45954</v>
      </c>
      <c r="W690" s="18">
        <v>10</v>
      </c>
      <c r="X690" s="17">
        <v>45968</v>
      </c>
      <c r="Y690" s="17">
        <v>45960</v>
      </c>
      <c r="Z690" s="45">
        <v>10</v>
      </c>
      <c r="AA690">
        <v>2025</v>
      </c>
      <c r="AB690" s="42">
        <v>1464960</v>
      </c>
      <c r="AC690" s="42">
        <v>1464960</v>
      </c>
    </row>
    <row r="691" spans="1:29">
      <c r="A691" t="s">
        <v>45</v>
      </c>
      <c r="B691" t="s">
        <v>46</v>
      </c>
      <c r="C691" t="s">
        <v>47</v>
      </c>
      <c r="D691" t="s">
        <v>629</v>
      </c>
      <c r="E691" t="s">
        <v>115</v>
      </c>
      <c r="F691" t="s">
        <v>63</v>
      </c>
      <c r="G691" t="s">
        <v>116</v>
      </c>
      <c r="H691" s="17" t="s">
        <v>52</v>
      </c>
      <c r="I691" t="s">
        <v>53</v>
      </c>
      <c r="J691" t="s">
        <v>121</v>
      </c>
      <c r="K691">
        <v>1</v>
      </c>
      <c r="L691" t="s">
        <v>55</v>
      </c>
      <c r="M691" t="s">
        <v>56</v>
      </c>
      <c r="N691" t="s">
        <v>57</v>
      </c>
      <c r="O691" s="18" t="s">
        <v>58</v>
      </c>
      <c r="P691" s="18" t="s">
        <v>72</v>
      </c>
      <c r="Q691" s="17" t="s">
        <v>122</v>
      </c>
      <c r="R691" s="18" t="s">
        <v>425</v>
      </c>
      <c r="S691" s="32">
        <v>10</v>
      </c>
      <c r="T691" s="19">
        <v>10</v>
      </c>
      <c r="U691" s="17" t="s">
        <v>119</v>
      </c>
      <c r="V691" s="17">
        <v>45954</v>
      </c>
      <c r="W691" s="18">
        <v>10</v>
      </c>
      <c r="X691" s="17">
        <v>45968</v>
      </c>
      <c r="Y691" s="17">
        <v>45960</v>
      </c>
      <c r="Z691" s="45">
        <v>10</v>
      </c>
      <c r="AA691">
        <v>2025</v>
      </c>
      <c r="AB691" s="42">
        <v>3513300</v>
      </c>
      <c r="AC691" s="42">
        <v>3513300</v>
      </c>
    </row>
    <row r="692" spans="1:29">
      <c r="A692" t="s">
        <v>45</v>
      </c>
      <c r="B692" t="s">
        <v>46</v>
      </c>
      <c r="C692" t="s">
        <v>47</v>
      </c>
      <c r="D692" t="s">
        <v>629</v>
      </c>
      <c r="E692" t="s">
        <v>115</v>
      </c>
      <c r="F692" t="s">
        <v>67</v>
      </c>
      <c r="G692" t="s">
        <v>116</v>
      </c>
      <c r="H692" s="17" t="s">
        <v>52</v>
      </c>
      <c r="I692" t="s">
        <v>53</v>
      </c>
      <c r="J692" t="s">
        <v>121</v>
      </c>
      <c r="K692">
        <v>1</v>
      </c>
      <c r="L692" t="s">
        <v>55</v>
      </c>
      <c r="M692" t="s">
        <v>56</v>
      </c>
      <c r="N692" t="s">
        <v>57</v>
      </c>
      <c r="O692" s="18" t="s">
        <v>58</v>
      </c>
      <c r="P692" s="18" t="s">
        <v>72</v>
      </c>
      <c r="Q692" s="17" t="s">
        <v>117</v>
      </c>
      <c r="R692" s="18" t="s">
        <v>393</v>
      </c>
      <c r="S692" s="32">
        <v>2</v>
      </c>
      <c r="T692" s="19">
        <v>2</v>
      </c>
      <c r="U692" s="17" t="s">
        <v>119</v>
      </c>
      <c r="V692" s="17">
        <v>45954</v>
      </c>
      <c r="W692" s="18">
        <v>10</v>
      </c>
      <c r="X692" s="17">
        <v>45968</v>
      </c>
      <c r="Y692" s="17">
        <v>45960</v>
      </c>
      <c r="Z692" s="45">
        <v>10</v>
      </c>
      <c r="AA692">
        <v>2025</v>
      </c>
      <c r="AB692" s="42">
        <v>703000</v>
      </c>
      <c r="AC692" s="42">
        <v>703000</v>
      </c>
    </row>
    <row r="693" spans="1:29">
      <c r="A693" t="s">
        <v>45</v>
      </c>
      <c r="B693" t="s">
        <v>46</v>
      </c>
      <c r="C693" t="s">
        <v>47</v>
      </c>
      <c r="D693" t="s">
        <v>630</v>
      </c>
      <c r="E693" t="s">
        <v>49</v>
      </c>
      <c r="F693" t="s">
        <v>50</v>
      </c>
      <c r="G693" t="s">
        <v>51</v>
      </c>
      <c r="H693" s="17" t="s">
        <v>52</v>
      </c>
      <c r="I693" t="s">
        <v>53</v>
      </c>
      <c r="J693" t="s">
        <v>54</v>
      </c>
      <c r="K693">
        <v>1</v>
      </c>
      <c r="L693" t="s">
        <v>55</v>
      </c>
      <c r="M693" t="s">
        <v>84</v>
      </c>
      <c r="N693" t="s">
        <v>85</v>
      </c>
      <c r="O693" s="18" t="s">
        <v>58</v>
      </c>
      <c r="P693" s="18" t="s">
        <v>94</v>
      </c>
      <c r="Q693" s="17" t="s">
        <v>441</v>
      </c>
      <c r="R693" s="18" t="s">
        <v>442</v>
      </c>
      <c r="S693" s="32">
        <v>40</v>
      </c>
      <c r="T693" s="19">
        <v>40</v>
      </c>
      <c r="U693" s="17" t="s">
        <v>62</v>
      </c>
      <c r="V693" s="17">
        <v>45952</v>
      </c>
      <c r="W693" s="18">
        <v>10</v>
      </c>
      <c r="X693" s="17">
        <v>46022</v>
      </c>
      <c r="Y693" s="17">
        <v>45959</v>
      </c>
      <c r="Z693" s="45">
        <v>10</v>
      </c>
      <c r="AA693">
        <v>2025</v>
      </c>
      <c r="AB693" s="42">
        <v>451160</v>
      </c>
      <c r="AC693" s="42">
        <v>451160</v>
      </c>
    </row>
    <row r="694" spans="1:29">
      <c r="A694" t="s">
        <v>45</v>
      </c>
      <c r="B694" t="s">
        <v>46</v>
      </c>
      <c r="C694" t="s">
        <v>47</v>
      </c>
      <c r="D694" t="s">
        <v>631</v>
      </c>
      <c r="E694" t="s">
        <v>49</v>
      </c>
      <c r="F694" t="s">
        <v>50</v>
      </c>
      <c r="G694" t="s">
        <v>51</v>
      </c>
      <c r="H694" s="17" t="s">
        <v>52</v>
      </c>
      <c r="I694" t="s">
        <v>53</v>
      </c>
      <c r="J694" t="s">
        <v>54</v>
      </c>
      <c r="K694">
        <v>1</v>
      </c>
      <c r="L694" t="s">
        <v>55</v>
      </c>
      <c r="M694" t="s">
        <v>56</v>
      </c>
      <c r="N694" t="s">
        <v>57</v>
      </c>
      <c r="O694" s="18" t="s">
        <v>58</v>
      </c>
      <c r="P694" s="18" t="s">
        <v>172</v>
      </c>
      <c r="Q694" s="17" t="s">
        <v>173</v>
      </c>
      <c r="R694" s="18" t="s">
        <v>174</v>
      </c>
      <c r="S694" s="32">
        <v>9</v>
      </c>
      <c r="T694" s="19">
        <v>9</v>
      </c>
      <c r="U694" s="17" t="s">
        <v>62</v>
      </c>
      <c r="V694" s="17">
        <v>45952</v>
      </c>
      <c r="W694" s="18">
        <v>10</v>
      </c>
      <c r="X694" s="17">
        <v>45952</v>
      </c>
      <c r="Y694" s="17">
        <v>45954</v>
      </c>
      <c r="Z694" s="45">
        <v>10</v>
      </c>
      <c r="AA694">
        <v>2025</v>
      </c>
      <c r="AB694" s="42">
        <v>423081</v>
      </c>
      <c r="AC694" s="42">
        <v>423081</v>
      </c>
    </row>
    <row r="695" spans="1:29">
      <c r="A695" t="s">
        <v>45</v>
      </c>
      <c r="B695" t="s">
        <v>46</v>
      </c>
      <c r="C695" t="s">
        <v>47</v>
      </c>
      <c r="D695" t="s">
        <v>632</v>
      </c>
      <c r="E695" t="s">
        <v>49</v>
      </c>
      <c r="F695" t="s">
        <v>50</v>
      </c>
      <c r="G695" t="s">
        <v>51</v>
      </c>
      <c r="H695" s="17" t="s">
        <v>52</v>
      </c>
      <c r="I695" t="s">
        <v>53</v>
      </c>
      <c r="J695" t="s">
        <v>54</v>
      </c>
      <c r="K695">
        <v>1</v>
      </c>
      <c r="L695" t="s">
        <v>55</v>
      </c>
      <c r="M695" t="s">
        <v>56</v>
      </c>
      <c r="N695" t="s">
        <v>57</v>
      </c>
      <c r="O695" s="18" t="s">
        <v>58</v>
      </c>
      <c r="P695" s="18" t="s">
        <v>86</v>
      </c>
      <c r="Q695" s="17" t="s">
        <v>483</v>
      </c>
      <c r="R695" s="18" t="s">
        <v>484</v>
      </c>
      <c r="S695" s="32">
        <v>270</v>
      </c>
      <c r="T695" s="19">
        <v>270</v>
      </c>
      <c r="U695" s="17" t="s">
        <v>62</v>
      </c>
      <c r="V695" s="17">
        <v>45952</v>
      </c>
      <c r="W695" s="18">
        <v>10</v>
      </c>
      <c r="X695" s="17">
        <v>46022</v>
      </c>
      <c r="Y695" s="17">
        <v>45957</v>
      </c>
      <c r="Z695" s="45">
        <v>10</v>
      </c>
      <c r="AA695">
        <v>2025</v>
      </c>
      <c r="AB695" s="42">
        <v>3888000</v>
      </c>
      <c r="AC695" s="42">
        <v>3888000</v>
      </c>
    </row>
    <row r="696" spans="1:29">
      <c r="A696" t="s">
        <v>45</v>
      </c>
      <c r="B696" t="s">
        <v>46</v>
      </c>
      <c r="C696" t="s">
        <v>47</v>
      </c>
      <c r="D696" t="s">
        <v>633</v>
      </c>
      <c r="E696" t="s">
        <v>49</v>
      </c>
      <c r="F696" t="s">
        <v>50</v>
      </c>
      <c r="G696" t="s">
        <v>51</v>
      </c>
      <c r="H696" s="17" t="s">
        <v>52</v>
      </c>
      <c r="I696" t="s">
        <v>53</v>
      </c>
      <c r="J696" t="s">
        <v>54</v>
      </c>
      <c r="K696">
        <v>1</v>
      </c>
      <c r="L696" t="s">
        <v>55</v>
      </c>
      <c r="M696" t="s">
        <v>56</v>
      </c>
      <c r="N696" t="s">
        <v>57</v>
      </c>
      <c r="O696" s="18" t="s">
        <v>58</v>
      </c>
      <c r="P696" s="18" t="s">
        <v>172</v>
      </c>
      <c r="Q696" s="17" t="s">
        <v>173</v>
      </c>
      <c r="R696" s="18" t="s">
        <v>174</v>
      </c>
      <c r="S696" s="32">
        <v>9</v>
      </c>
      <c r="T696" s="19">
        <v>9</v>
      </c>
      <c r="U696" s="17" t="s">
        <v>62</v>
      </c>
      <c r="V696" s="17">
        <v>45952</v>
      </c>
      <c r="W696" s="18">
        <v>10</v>
      </c>
      <c r="X696" s="17">
        <v>45952</v>
      </c>
      <c r="Y696" s="17">
        <v>45954</v>
      </c>
      <c r="Z696" s="45">
        <v>10</v>
      </c>
      <c r="AA696">
        <v>2025</v>
      </c>
      <c r="AB696" s="42">
        <v>423081</v>
      </c>
      <c r="AC696" s="42">
        <v>423081</v>
      </c>
    </row>
    <row r="697" spans="1:29">
      <c r="A697" t="s">
        <v>45</v>
      </c>
      <c r="B697" t="s">
        <v>46</v>
      </c>
      <c r="C697" t="s">
        <v>47</v>
      </c>
      <c r="D697" t="s">
        <v>634</v>
      </c>
      <c r="E697" t="s">
        <v>49</v>
      </c>
      <c r="F697" t="s">
        <v>50</v>
      </c>
      <c r="G697" t="s">
        <v>51</v>
      </c>
      <c r="H697" s="17" t="s">
        <v>58</v>
      </c>
      <c r="I697" t="s">
        <v>53</v>
      </c>
      <c r="J697" t="s">
        <v>150</v>
      </c>
      <c r="K697">
        <v>1</v>
      </c>
      <c r="L697" t="s">
        <v>55</v>
      </c>
      <c r="M697" t="s">
        <v>56</v>
      </c>
      <c r="N697" t="s">
        <v>57</v>
      </c>
      <c r="O697" s="18" t="s">
        <v>58</v>
      </c>
      <c r="P697" s="18" t="s">
        <v>86</v>
      </c>
      <c r="Q697" s="17" t="s">
        <v>289</v>
      </c>
      <c r="R697" s="18" t="s">
        <v>290</v>
      </c>
      <c r="S697" s="32">
        <v>11</v>
      </c>
      <c r="T697" s="19">
        <v>0</v>
      </c>
      <c r="U697" s="17" t="s">
        <v>62</v>
      </c>
      <c r="V697" s="17">
        <v>45953</v>
      </c>
      <c r="W697" s="18">
        <v>10</v>
      </c>
      <c r="X697" s="17">
        <v>45954</v>
      </c>
      <c r="Z697" s="45">
        <v>10</v>
      </c>
      <c r="AA697">
        <v>2025</v>
      </c>
      <c r="AB697" s="42">
        <v>177463</v>
      </c>
      <c r="AC697" s="42">
        <v>0</v>
      </c>
    </row>
    <row r="698" spans="1:29">
      <c r="A698" t="s">
        <v>45</v>
      </c>
      <c r="B698" t="s">
        <v>46</v>
      </c>
      <c r="C698" t="s">
        <v>47</v>
      </c>
      <c r="D698" t="s">
        <v>634</v>
      </c>
      <c r="E698" t="s">
        <v>49</v>
      </c>
      <c r="F698" t="s">
        <v>63</v>
      </c>
      <c r="G698" t="s">
        <v>51</v>
      </c>
      <c r="H698" s="17" t="s">
        <v>58</v>
      </c>
      <c r="I698" t="s">
        <v>53</v>
      </c>
      <c r="J698" t="s">
        <v>150</v>
      </c>
      <c r="K698">
        <v>1</v>
      </c>
      <c r="L698" t="s">
        <v>55</v>
      </c>
      <c r="M698" t="s">
        <v>56</v>
      </c>
      <c r="N698" t="s">
        <v>57</v>
      </c>
      <c r="O698" s="18" t="s">
        <v>58</v>
      </c>
      <c r="P698" s="18" t="s">
        <v>72</v>
      </c>
      <c r="Q698" s="17" t="s">
        <v>151</v>
      </c>
      <c r="R698" s="18" t="s">
        <v>152</v>
      </c>
      <c r="S698" s="32">
        <v>11</v>
      </c>
      <c r="T698" s="19">
        <v>0</v>
      </c>
      <c r="U698" s="17" t="s">
        <v>62</v>
      </c>
      <c r="V698" s="17">
        <v>45953</v>
      </c>
      <c r="W698" s="18">
        <v>10</v>
      </c>
      <c r="X698" s="17">
        <v>45954</v>
      </c>
      <c r="Z698" s="45">
        <v>10</v>
      </c>
      <c r="AA698">
        <v>2025</v>
      </c>
      <c r="AB698" s="42">
        <v>382184</v>
      </c>
      <c r="AC698" s="42">
        <v>0</v>
      </c>
    </row>
    <row r="699" spans="1:29">
      <c r="A699" t="s">
        <v>45</v>
      </c>
      <c r="B699" t="s">
        <v>46</v>
      </c>
      <c r="C699" t="s">
        <v>47</v>
      </c>
      <c r="D699" t="s">
        <v>634</v>
      </c>
      <c r="E699" t="s">
        <v>49</v>
      </c>
      <c r="F699" t="s">
        <v>67</v>
      </c>
      <c r="G699" t="s">
        <v>51</v>
      </c>
      <c r="H699" s="17" t="s">
        <v>58</v>
      </c>
      <c r="I699" t="s">
        <v>53</v>
      </c>
      <c r="J699" t="s">
        <v>150</v>
      </c>
      <c r="K699">
        <v>1</v>
      </c>
      <c r="L699" t="s">
        <v>55</v>
      </c>
      <c r="M699" t="s">
        <v>56</v>
      </c>
      <c r="N699" t="s">
        <v>57</v>
      </c>
      <c r="O699" s="18" t="s">
        <v>58</v>
      </c>
      <c r="P699" s="18" t="s">
        <v>59</v>
      </c>
      <c r="Q699" s="17" t="s">
        <v>60</v>
      </c>
      <c r="R699" s="18" t="s">
        <v>61</v>
      </c>
      <c r="S699" s="32">
        <v>4</v>
      </c>
      <c r="T699" s="19">
        <v>0</v>
      </c>
      <c r="U699" s="17" t="s">
        <v>62</v>
      </c>
      <c r="V699" s="17">
        <v>45953</v>
      </c>
      <c r="W699" s="18">
        <v>10</v>
      </c>
      <c r="X699" s="17">
        <v>45954</v>
      </c>
      <c r="Z699" s="45">
        <v>10</v>
      </c>
      <c r="AA699">
        <v>2025</v>
      </c>
      <c r="AB699" s="42">
        <v>80772</v>
      </c>
      <c r="AC699" s="42">
        <v>0</v>
      </c>
    </row>
    <row r="700" spans="1:29">
      <c r="A700" t="s">
        <v>45</v>
      </c>
      <c r="B700" t="s">
        <v>46</v>
      </c>
      <c r="C700" t="s">
        <v>47</v>
      </c>
      <c r="D700" t="s">
        <v>634</v>
      </c>
      <c r="E700" t="s">
        <v>49</v>
      </c>
      <c r="F700" t="s">
        <v>71</v>
      </c>
      <c r="G700" t="s">
        <v>51</v>
      </c>
      <c r="H700" s="17" t="s">
        <v>58</v>
      </c>
      <c r="I700" t="s">
        <v>53</v>
      </c>
      <c r="J700" t="s">
        <v>150</v>
      </c>
      <c r="K700">
        <v>1</v>
      </c>
      <c r="L700" t="s">
        <v>55</v>
      </c>
      <c r="M700" t="s">
        <v>56</v>
      </c>
      <c r="N700" t="s">
        <v>57</v>
      </c>
      <c r="O700" s="18" t="s">
        <v>58</v>
      </c>
      <c r="P700" s="18" t="s">
        <v>64</v>
      </c>
      <c r="Q700" s="17" t="s">
        <v>65</v>
      </c>
      <c r="R700" s="18" t="s">
        <v>66</v>
      </c>
      <c r="S700" s="32">
        <v>2</v>
      </c>
      <c r="T700" s="19">
        <v>0</v>
      </c>
      <c r="U700" s="17" t="s">
        <v>62</v>
      </c>
      <c r="V700" s="17">
        <v>45953</v>
      </c>
      <c r="W700" s="18">
        <v>10</v>
      </c>
      <c r="X700" s="17">
        <v>45954</v>
      </c>
      <c r="Z700" s="45">
        <v>10</v>
      </c>
      <c r="AA700">
        <v>2025</v>
      </c>
      <c r="AB700" s="42">
        <v>34844</v>
      </c>
      <c r="AC700" s="42">
        <v>0</v>
      </c>
    </row>
    <row r="701" spans="1:29">
      <c r="A701" t="s">
        <v>45</v>
      </c>
      <c r="B701" t="s">
        <v>46</v>
      </c>
      <c r="C701" t="s">
        <v>47</v>
      </c>
      <c r="D701" t="s">
        <v>634</v>
      </c>
      <c r="E701" t="s">
        <v>49</v>
      </c>
      <c r="F701" t="s">
        <v>75</v>
      </c>
      <c r="G701" t="s">
        <v>51</v>
      </c>
      <c r="H701" s="17" t="s">
        <v>58</v>
      </c>
      <c r="I701" t="s">
        <v>53</v>
      </c>
      <c r="J701" t="s">
        <v>150</v>
      </c>
      <c r="K701">
        <v>1</v>
      </c>
      <c r="L701" t="s">
        <v>55</v>
      </c>
      <c r="M701" t="s">
        <v>56</v>
      </c>
      <c r="N701" t="s">
        <v>57</v>
      </c>
      <c r="O701" s="18" t="s">
        <v>58</v>
      </c>
      <c r="P701" s="18" t="s">
        <v>99</v>
      </c>
      <c r="Q701" s="17" t="s">
        <v>100</v>
      </c>
      <c r="R701" s="18" t="s">
        <v>101</v>
      </c>
      <c r="S701" s="32">
        <v>1</v>
      </c>
      <c r="T701" s="19">
        <v>0</v>
      </c>
      <c r="U701" s="17" t="s">
        <v>62</v>
      </c>
      <c r="V701" s="17">
        <v>45953</v>
      </c>
      <c r="W701" s="18">
        <v>10</v>
      </c>
      <c r="X701" s="17">
        <v>45954</v>
      </c>
      <c r="Z701" s="45">
        <v>10</v>
      </c>
      <c r="AA701">
        <v>2025</v>
      </c>
      <c r="AB701" s="42">
        <v>75000</v>
      </c>
      <c r="AC701" s="42">
        <v>0</v>
      </c>
    </row>
    <row r="702" spans="1:29">
      <c r="A702" t="s">
        <v>45</v>
      </c>
      <c r="B702" t="s">
        <v>46</v>
      </c>
      <c r="C702" t="s">
        <v>47</v>
      </c>
      <c r="D702" t="s">
        <v>635</v>
      </c>
      <c r="E702" t="s">
        <v>49</v>
      </c>
      <c r="F702" t="s">
        <v>50</v>
      </c>
      <c r="G702" t="s">
        <v>51</v>
      </c>
      <c r="H702" s="17" t="s">
        <v>52</v>
      </c>
      <c r="I702" t="s">
        <v>53</v>
      </c>
      <c r="J702" t="s">
        <v>54</v>
      </c>
      <c r="K702">
        <v>1</v>
      </c>
      <c r="L702" t="s">
        <v>55</v>
      </c>
      <c r="M702" t="s">
        <v>56</v>
      </c>
      <c r="N702" t="s">
        <v>57</v>
      </c>
      <c r="O702" s="18" t="s">
        <v>58</v>
      </c>
      <c r="P702" s="18" t="s">
        <v>86</v>
      </c>
      <c r="Q702" s="17" t="s">
        <v>341</v>
      </c>
      <c r="R702" s="18" t="s">
        <v>342</v>
      </c>
      <c r="S702" s="32">
        <v>170</v>
      </c>
      <c r="T702" s="19">
        <v>170</v>
      </c>
      <c r="U702" s="17" t="s">
        <v>62</v>
      </c>
      <c r="V702" s="17">
        <v>45944</v>
      </c>
      <c r="W702" s="18">
        <v>10</v>
      </c>
      <c r="X702" s="17">
        <v>46020</v>
      </c>
      <c r="Y702" s="17">
        <v>45951</v>
      </c>
      <c r="Z702" s="45">
        <v>10</v>
      </c>
      <c r="AA702">
        <v>2025</v>
      </c>
      <c r="AB702" s="42">
        <v>5061070</v>
      </c>
      <c r="AC702" s="42">
        <v>5061070</v>
      </c>
    </row>
    <row r="703" spans="1:29">
      <c r="A703" t="s">
        <v>45</v>
      </c>
      <c r="B703" t="s">
        <v>46</v>
      </c>
      <c r="C703" t="s">
        <v>47</v>
      </c>
      <c r="D703" t="s">
        <v>636</v>
      </c>
      <c r="E703" t="s">
        <v>115</v>
      </c>
      <c r="F703" t="s">
        <v>50</v>
      </c>
      <c r="G703" t="s">
        <v>116</v>
      </c>
      <c r="H703" s="17" t="s">
        <v>52</v>
      </c>
      <c r="I703" t="s">
        <v>53</v>
      </c>
      <c r="J703" t="s">
        <v>190</v>
      </c>
      <c r="K703">
        <v>1</v>
      </c>
      <c r="L703" t="s">
        <v>55</v>
      </c>
      <c r="M703" t="s">
        <v>56</v>
      </c>
      <c r="N703" t="s">
        <v>57</v>
      </c>
      <c r="O703" s="18" t="s">
        <v>58</v>
      </c>
      <c r="P703" s="18" t="s">
        <v>72</v>
      </c>
      <c r="Q703" s="17" t="s">
        <v>122</v>
      </c>
      <c r="R703" s="18" t="s">
        <v>425</v>
      </c>
      <c r="S703" s="32">
        <v>2</v>
      </c>
      <c r="T703" s="19">
        <v>2</v>
      </c>
      <c r="U703" s="17" t="s">
        <v>119</v>
      </c>
      <c r="V703" s="17">
        <v>45946</v>
      </c>
      <c r="W703" s="18">
        <v>10</v>
      </c>
      <c r="X703" s="17">
        <v>45959</v>
      </c>
      <c r="Y703" s="17">
        <v>45953</v>
      </c>
      <c r="Z703" s="45">
        <v>10</v>
      </c>
      <c r="AA703">
        <v>2025</v>
      </c>
      <c r="AB703" s="42">
        <v>702660</v>
      </c>
      <c r="AC703" s="42">
        <v>702660</v>
      </c>
    </row>
    <row r="704" spans="1:29">
      <c r="A704" t="s">
        <v>45</v>
      </c>
      <c r="B704" t="s">
        <v>46</v>
      </c>
      <c r="C704" t="s">
        <v>47</v>
      </c>
      <c r="D704" t="s">
        <v>636</v>
      </c>
      <c r="E704" t="s">
        <v>115</v>
      </c>
      <c r="F704" t="s">
        <v>63</v>
      </c>
      <c r="G704" t="s">
        <v>116</v>
      </c>
      <c r="H704" s="17" t="s">
        <v>52</v>
      </c>
      <c r="I704" t="s">
        <v>53</v>
      </c>
      <c r="J704" t="s">
        <v>190</v>
      </c>
      <c r="K704">
        <v>1</v>
      </c>
      <c r="L704" t="s">
        <v>55</v>
      </c>
      <c r="M704" t="s">
        <v>56</v>
      </c>
      <c r="N704" t="s">
        <v>57</v>
      </c>
      <c r="O704" s="18" t="s">
        <v>58</v>
      </c>
      <c r="P704" s="18" t="s">
        <v>132</v>
      </c>
      <c r="Q704" s="17" t="s">
        <v>241</v>
      </c>
      <c r="R704" s="18" t="s">
        <v>242</v>
      </c>
      <c r="S704" s="32">
        <v>2</v>
      </c>
      <c r="T704" s="19">
        <v>2</v>
      </c>
      <c r="U704" s="17" t="s">
        <v>239</v>
      </c>
      <c r="V704" s="17">
        <v>45946</v>
      </c>
      <c r="W704" s="18">
        <v>10</v>
      </c>
      <c r="X704" s="17">
        <v>45959</v>
      </c>
      <c r="Y704" s="17">
        <v>45953</v>
      </c>
      <c r="Z704" s="45">
        <v>10</v>
      </c>
      <c r="AA704">
        <v>2025</v>
      </c>
      <c r="AB704" s="42">
        <v>46400</v>
      </c>
      <c r="AC704" s="42">
        <v>46400</v>
      </c>
    </row>
    <row r="705" spans="1:29">
      <c r="A705" t="s">
        <v>45</v>
      </c>
      <c r="B705" t="s">
        <v>46</v>
      </c>
      <c r="C705" t="s">
        <v>47</v>
      </c>
      <c r="D705" t="s">
        <v>637</v>
      </c>
      <c r="E705" t="s">
        <v>115</v>
      </c>
      <c r="F705" t="s">
        <v>50</v>
      </c>
      <c r="G705" t="s">
        <v>116</v>
      </c>
      <c r="H705" s="17" t="s">
        <v>52</v>
      </c>
      <c r="I705" t="s">
        <v>53</v>
      </c>
      <c r="J705" t="s">
        <v>224</v>
      </c>
      <c r="K705">
        <v>1</v>
      </c>
      <c r="L705" t="s">
        <v>55</v>
      </c>
      <c r="M705" t="s">
        <v>56</v>
      </c>
      <c r="N705" t="s">
        <v>57</v>
      </c>
      <c r="O705" s="18" t="s">
        <v>58</v>
      </c>
      <c r="P705" s="18" t="s">
        <v>132</v>
      </c>
      <c r="Q705" s="17" t="s">
        <v>237</v>
      </c>
      <c r="R705" s="18" t="s">
        <v>238</v>
      </c>
      <c r="S705" s="32">
        <v>2</v>
      </c>
      <c r="T705" s="19">
        <v>2</v>
      </c>
      <c r="U705" s="17" t="s">
        <v>239</v>
      </c>
      <c r="V705" s="17">
        <v>45946</v>
      </c>
      <c r="W705" s="18">
        <v>10</v>
      </c>
      <c r="X705" s="17">
        <v>45959</v>
      </c>
      <c r="Y705" s="17">
        <v>45952</v>
      </c>
      <c r="Z705" s="45">
        <v>10</v>
      </c>
      <c r="AA705">
        <v>2025</v>
      </c>
      <c r="AB705" s="42">
        <v>35200</v>
      </c>
      <c r="AC705" s="42">
        <v>35200</v>
      </c>
    </row>
    <row r="706" spans="1:29">
      <c r="A706" t="s">
        <v>45</v>
      </c>
      <c r="B706" t="s">
        <v>46</v>
      </c>
      <c r="C706" t="s">
        <v>47</v>
      </c>
      <c r="D706" t="s">
        <v>637</v>
      </c>
      <c r="E706" t="s">
        <v>115</v>
      </c>
      <c r="F706" t="s">
        <v>63</v>
      </c>
      <c r="G706" t="s">
        <v>116</v>
      </c>
      <c r="H706" s="17" t="s">
        <v>52</v>
      </c>
      <c r="I706" t="s">
        <v>53</v>
      </c>
      <c r="J706" t="s">
        <v>224</v>
      </c>
      <c r="K706">
        <v>1</v>
      </c>
      <c r="L706" t="s">
        <v>55</v>
      </c>
      <c r="M706" t="s">
        <v>56</v>
      </c>
      <c r="N706" t="s">
        <v>57</v>
      </c>
      <c r="O706" s="18" t="s">
        <v>58</v>
      </c>
      <c r="P706" s="18" t="s">
        <v>132</v>
      </c>
      <c r="Q706" s="17" t="s">
        <v>449</v>
      </c>
      <c r="R706" s="18" t="s">
        <v>450</v>
      </c>
      <c r="S706" s="32">
        <v>2</v>
      </c>
      <c r="T706" s="19">
        <v>2</v>
      </c>
      <c r="U706" s="17" t="s">
        <v>239</v>
      </c>
      <c r="V706" s="17">
        <v>45946</v>
      </c>
      <c r="W706" s="18">
        <v>10</v>
      </c>
      <c r="X706" s="17">
        <v>45959</v>
      </c>
      <c r="Y706" s="17">
        <v>45952</v>
      </c>
      <c r="Z706" s="45">
        <v>10</v>
      </c>
      <c r="AA706">
        <v>2025</v>
      </c>
      <c r="AB706" s="42">
        <v>37728</v>
      </c>
      <c r="AC706" s="42">
        <v>37728</v>
      </c>
    </row>
    <row r="707" spans="1:29">
      <c r="A707" t="s">
        <v>45</v>
      </c>
      <c r="B707" t="s">
        <v>46</v>
      </c>
      <c r="C707" t="s">
        <v>47</v>
      </c>
      <c r="D707" t="s">
        <v>638</v>
      </c>
      <c r="E707" t="s">
        <v>49</v>
      </c>
      <c r="F707" t="s">
        <v>50</v>
      </c>
      <c r="G707" t="s">
        <v>51</v>
      </c>
      <c r="H707" s="17" t="s">
        <v>52</v>
      </c>
      <c r="I707" t="s">
        <v>53</v>
      </c>
      <c r="J707" t="s">
        <v>54</v>
      </c>
      <c r="K707">
        <v>1</v>
      </c>
      <c r="L707" t="s">
        <v>55</v>
      </c>
      <c r="M707" t="s">
        <v>56</v>
      </c>
      <c r="N707" t="s">
        <v>57</v>
      </c>
      <c r="O707" s="18" t="s">
        <v>58</v>
      </c>
      <c r="P707" s="18" t="s">
        <v>94</v>
      </c>
      <c r="Q707" s="17" t="s">
        <v>95</v>
      </c>
      <c r="R707" s="18" t="s">
        <v>96</v>
      </c>
      <c r="S707" s="32">
        <v>54</v>
      </c>
      <c r="T707" s="19">
        <v>54</v>
      </c>
      <c r="U707" s="17" t="s">
        <v>62</v>
      </c>
      <c r="V707" s="17">
        <v>45898</v>
      </c>
      <c r="W707" s="18">
        <v>8</v>
      </c>
      <c r="X707" s="17">
        <v>45989</v>
      </c>
      <c r="Y707" s="17">
        <v>45936</v>
      </c>
      <c r="Z707" s="45">
        <v>10</v>
      </c>
      <c r="AA707">
        <v>2025</v>
      </c>
      <c r="AB707" s="42">
        <v>889650</v>
      </c>
      <c r="AC707" s="42">
        <v>889650</v>
      </c>
    </row>
    <row r="708" spans="1:29">
      <c r="A708" t="s">
        <v>45</v>
      </c>
      <c r="B708" t="s">
        <v>46</v>
      </c>
      <c r="C708" t="s">
        <v>47</v>
      </c>
      <c r="D708" t="s">
        <v>638</v>
      </c>
      <c r="E708" t="s">
        <v>49</v>
      </c>
      <c r="F708" t="s">
        <v>63</v>
      </c>
      <c r="G708" t="s">
        <v>51</v>
      </c>
      <c r="H708" s="17" t="s">
        <v>52</v>
      </c>
      <c r="I708" t="s">
        <v>53</v>
      </c>
      <c r="J708" t="s">
        <v>54</v>
      </c>
      <c r="K708">
        <v>1</v>
      </c>
      <c r="L708" t="s">
        <v>55</v>
      </c>
      <c r="M708" t="s">
        <v>56</v>
      </c>
      <c r="N708" t="s">
        <v>57</v>
      </c>
      <c r="O708" s="18" t="s">
        <v>58</v>
      </c>
      <c r="P708" s="18" t="s">
        <v>68</v>
      </c>
      <c r="Q708" s="17" t="s">
        <v>69</v>
      </c>
      <c r="R708" s="18" t="s">
        <v>70</v>
      </c>
      <c r="S708" s="32">
        <v>11</v>
      </c>
      <c r="T708" s="19">
        <v>11</v>
      </c>
      <c r="U708" s="17" t="s">
        <v>62</v>
      </c>
      <c r="V708" s="17">
        <v>45898</v>
      </c>
      <c r="W708" s="18">
        <v>8</v>
      </c>
      <c r="X708" s="17">
        <v>45989</v>
      </c>
      <c r="Y708" s="17">
        <v>45936</v>
      </c>
      <c r="Z708" s="45">
        <v>10</v>
      </c>
      <c r="AA708">
        <v>2025</v>
      </c>
      <c r="AB708" s="42">
        <v>794959</v>
      </c>
      <c r="AC708" s="42">
        <v>794959</v>
      </c>
    </row>
    <row r="709" spans="1:29">
      <c r="A709" t="s">
        <v>45</v>
      </c>
      <c r="B709" t="s">
        <v>46</v>
      </c>
      <c r="C709" t="s">
        <v>47</v>
      </c>
      <c r="D709" t="s">
        <v>638</v>
      </c>
      <c r="E709" t="s">
        <v>49</v>
      </c>
      <c r="F709" t="s">
        <v>67</v>
      </c>
      <c r="G709" t="s">
        <v>51</v>
      </c>
      <c r="H709" s="17" t="s">
        <v>52</v>
      </c>
      <c r="I709" t="s">
        <v>53</v>
      </c>
      <c r="J709" t="s">
        <v>54</v>
      </c>
      <c r="K709">
        <v>1</v>
      </c>
      <c r="L709" t="s">
        <v>55</v>
      </c>
      <c r="M709" t="s">
        <v>56</v>
      </c>
      <c r="N709" t="s">
        <v>57</v>
      </c>
      <c r="O709" s="18" t="s">
        <v>58</v>
      </c>
      <c r="P709" s="18" t="s">
        <v>59</v>
      </c>
      <c r="Q709" s="17" t="s">
        <v>575</v>
      </c>
      <c r="R709" s="18" t="s">
        <v>576</v>
      </c>
      <c r="S709" s="32">
        <v>26</v>
      </c>
      <c r="T709" s="19">
        <v>26</v>
      </c>
      <c r="U709" s="17" t="s">
        <v>62</v>
      </c>
      <c r="V709" s="17">
        <v>45898</v>
      </c>
      <c r="W709" s="18">
        <v>8</v>
      </c>
      <c r="X709" s="17">
        <v>45989</v>
      </c>
      <c r="Y709" s="17">
        <v>45936</v>
      </c>
      <c r="Z709" s="45">
        <v>10</v>
      </c>
      <c r="AA709">
        <v>2025</v>
      </c>
      <c r="AB709" s="42">
        <v>411294</v>
      </c>
      <c r="AC709" s="42">
        <v>411294</v>
      </c>
    </row>
    <row r="710" spans="1:29">
      <c r="A710" t="s">
        <v>45</v>
      </c>
      <c r="B710" t="s">
        <v>46</v>
      </c>
      <c r="C710" t="s">
        <v>47</v>
      </c>
      <c r="D710" t="s">
        <v>639</v>
      </c>
      <c r="E710" t="s">
        <v>49</v>
      </c>
      <c r="F710" t="s">
        <v>50</v>
      </c>
      <c r="G710" t="s">
        <v>51</v>
      </c>
      <c r="H710" s="17" t="s">
        <v>58</v>
      </c>
      <c r="I710" t="s">
        <v>53</v>
      </c>
      <c r="J710" t="s">
        <v>54</v>
      </c>
      <c r="K710">
        <v>1</v>
      </c>
      <c r="L710" t="s">
        <v>55</v>
      </c>
      <c r="M710" t="s">
        <v>56</v>
      </c>
      <c r="N710" t="s">
        <v>57</v>
      </c>
      <c r="O710" s="18" t="s">
        <v>58</v>
      </c>
      <c r="P710" s="18" t="s">
        <v>59</v>
      </c>
      <c r="Q710" s="17" t="s">
        <v>60</v>
      </c>
      <c r="R710" s="18" t="s">
        <v>61</v>
      </c>
      <c r="S710" s="32">
        <v>126</v>
      </c>
      <c r="T710" s="19">
        <v>0</v>
      </c>
      <c r="U710" s="17" t="s">
        <v>62</v>
      </c>
      <c r="V710" s="17">
        <v>45862</v>
      </c>
      <c r="W710" s="18">
        <v>7</v>
      </c>
      <c r="X710" s="17">
        <v>45954</v>
      </c>
      <c r="Z710" s="45">
        <v>10</v>
      </c>
      <c r="AA710">
        <v>2025</v>
      </c>
      <c r="AB710" s="42">
        <v>2098530</v>
      </c>
      <c r="AC710" s="42">
        <v>0</v>
      </c>
    </row>
    <row r="711" spans="1:29">
      <c r="A711" t="s">
        <v>45</v>
      </c>
      <c r="B711" t="s">
        <v>46</v>
      </c>
      <c r="C711" t="s">
        <v>47</v>
      </c>
      <c r="D711" t="s">
        <v>639</v>
      </c>
      <c r="E711" t="s">
        <v>49</v>
      </c>
      <c r="F711" t="s">
        <v>63</v>
      </c>
      <c r="G711" t="s">
        <v>51</v>
      </c>
      <c r="H711" s="17" t="s">
        <v>58</v>
      </c>
      <c r="I711" t="s">
        <v>53</v>
      </c>
      <c r="J711" t="s">
        <v>54</v>
      </c>
      <c r="K711">
        <v>1</v>
      </c>
      <c r="L711" t="s">
        <v>55</v>
      </c>
      <c r="M711" t="s">
        <v>56</v>
      </c>
      <c r="N711" t="s">
        <v>57</v>
      </c>
      <c r="O711" s="18" t="s">
        <v>58</v>
      </c>
      <c r="P711" s="18" t="s">
        <v>99</v>
      </c>
      <c r="Q711" s="17" t="s">
        <v>100</v>
      </c>
      <c r="R711" s="18" t="s">
        <v>101</v>
      </c>
      <c r="S711" s="32">
        <v>126</v>
      </c>
      <c r="T711" s="19">
        <v>0</v>
      </c>
      <c r="U711" s="17" t="s">
        <v>62</v>
      </c>
      <c r="V711" s="17">
        <v>45862</v>
      </c>
      <c r="W711" s="18">
        <v>7</v>
      </c>
      <c r="X711" s="17">
        <v>45954</v>
      </c>
      <c r="Z711" s="45">
        <v>10</v>
      </c>
      <c r="AA711">
        <v>2025</v>
      </c>
      <c r="AB711" s="42">
        <v>28350</v>
      </c>
      <c r="AC711" s="42">
        <v>0</v>
      </c>
    </row>
    <row r="712" spans="1:29">
      <c r="A712" t="s">
        <v>45</v>
      </c>
      <c r="B712" t="s">
        <v>46</v>
      </c>
      <c r="C712" t="s">
        <v>47</v>
      </c>
      <c r="D712" t="s">
        <v>639</v>
      </c>
      <c r="E712" t="s">
        <v>49</v>
      </c>
      <c r="F712" t="s">
        <v>67</v>
      </c>
      <c r="G712" t="s">
        <v>51</v>
      </c>
      <c r="H712" s="17" t="s">
        <v>58</v>
      </c>
      <c r="I712" t="s">
        <v>53</v>
      </c>
      <c r="J712" t="s">
        <v>54</v>
      </c>
      <c r="K712">
        <v>1</v>
      </c>
      <c r="L712" t="s">
        <v>55</v>
      </c>
      <c r="M712" t="s">
        <v>56</v>
      </c>
      <c r="N712" t="s">
        <v>57</v>
      </c>
      <c r="O712" s="18" t="s">
        <v>58</v>
      </c>
      <c r="P712" s="18" t="s">
        <v>64</v>
      </c>
      <c r="Q712" s="17" t="s">
        <v>92</v>
      </c>
      <c r="R712" s="18" t="s">
        <v>93</v>
      </c>
      <c r="S712" s="32">
        <v>24</v>
      </c>
      <c r="T712" s="19">
        <v>0</v>
      </c>
      <c r="U712" s="17" t="s">
        <v>62</v>
      </c>
      <c r="V712" s="17">
        <v>45862</v>
      </c>
      <c r="W712" s="18">
        <v>7</v>
      </c>
      <c r="X712" s="17">
        <v>45954</v>
      </c>
      <c r="Z712" s="45">
        <v>10</v>
      </c>
      <c r="AA712">
        <v>2025</v>
      </c>
      <c r="AB712" s="42">
        <v>344856</v>
      </c>
      <c r="AC712" s="42">
        <v>0</v>
      </c>
    </row>
    <row r="713" spans="1:29">
      <c r="A713" t="s">
        <v>45</v>
      </c>
      <c r="B713" t="s">
        <v>46</v>
      </c>
      <c r="C713" t="s">
        <v>47</v>
      </c>
      <c r="D713" t="s">
        <v>639</v>
      </c>
      <c r="E713" t="s">
        <v>49</v>
      </c>
      <c r="F713" t="s">
        <v>71</v>
      </c>
      <c r="G713" t="s">
        <v>51</v>
      </c>
      <c r="H713" s="17" t="s">
        <v>58</v>
      </c>
      <c r="I713" t="s">
        <v>53</v>
      </c>
      <c r="J713" t="s">
        <v>54</v>
      </c>
      <c r="K713">
        <v>1</v>
      </c>
      <c r="L713" t="s">
        <v>55</v>
      </c>
      <c r="M713" t="s">
        <v>56</v>
      </c>
      <c r="N713" t="s">
        <v>57</v>
      </c>
      <c r="O713" s="18" t="s">
        <v>58</v>
      </c>
      <c r="P713" s="18" t="s">
        <v>99</v>
      </c>
      <c r="Q713" s="17" t="s">
        <v>100</v>
      </c>
      <c r="R713" s="18" t="s">
        <v>101</v>
      </c>
      <c r="S713" s="32">
        <v>24</v>
      </c>
      <c r="T713" s="19">
        <v>0</v>
      </c>
      <c r="U713" s="17" t="s">
        <v>62</v>
      </c>
      <c r="V713" s="17">
        <v>45862</v>
      </c>
      <c r="W713" s="18">
        <v>7</v>
      </c>
      <c r="X713" s="17">
        <v>45954</v>
      </c>
      <c r="Z713" s="45">
        <v>10</v>
      </c>
      <c r="AA713">
        <v>2025</v>
      </c>
      <c r="AB713" s="42">
        <v>120</v>
      </c>
      <c r="AC713" s="42">
        <v>0</v>
      </c>
    </row>
    <row r="714" spans="1:29">
      <c r="A714" t="s">
        <v>45</v>
      </c>
      <c r="B714" t="s">
        <v>46</v>
      </c>
      <c r="C714" t="s">
        <v>47</v>
      </c>
      <c r="D714" t="s">
        <v>480</v>
      </c>
      <c r="E714" t="s">
        <v>49</v>
      </c>
      <c r="F714" t="s">
        <v>50</v>
      </c>
      <c r="G714" t="s">
        <v>51</v>
      </c>
      <c r="H714" s="17" t="s">
        <v>52</v>
      </c>
      <c r="I714" t="s">
        <v>53</v>
      </c>
      <c r="J714" t="s">
        <v>54</v>
      </c>
      <c r="K714">
        <v>1</v>
      </c>
      <c r="L714" t="s">
        <v>55</v>
      </c>
      <c r="M714" t="s">
        <v>56</v>
      </c>
      <c r="N714" t="s">
        <v>57</v>
      </c>
      <c r="O714" s="18" t="s">
        <v>58</v>
      </c>
      <c r="P714" s="18" t="s">
        <v>137</v>
      </c>
      <c r="Q714" s="17" t="s">
        <v>640</v>
      </c>
      <c r="R714" s="18" t="s">
        <v>641</v>
      </c>
      <c r="S714" s="32">
        <v>582</v>
      </c>
      <c r="T714" s="19">
        <v>582</v>
      </c>
      <c r="U714" s="17" t="s">
        <v>62</v>
      </c>
      <c r="V714" s="17">
        <v>45860</v>
      </c>
      <c r="W714" s="18">
        <v>7</v>
      </c>
      <c r="X714" s="17">
        <v>45861</v>
      </c>
      <c r="Y714" s="17">
        <v>45944</v>
      </c>
      <c r="Z714" s="45">
        <v>10</v>
      </c>
      <c r="AA714">
        <v>2025</v>
      </c>
      <c r="AB714" s="42">
        <v>19785672</v>
      </c>
      <c r="AC714" s="42">
        <v>19785672</v>
      </c>
    </row>
    <row r="715" spans="1:29">
      <c r="A715" t="s">
        <v>45</v>
      </c>
      <c r="B715" t="s">
        <v>46</v>
      </c>
      <c r="C715" t="s">
        <v>47</v>
      </c>
      <c r="D715" t="s">
        <v>569</v>
      </c>
      <c r="E715" t="s">
        <v>49</v>
      </c>
      <c r="F715" t="s">
        <v>67</v>
      </c>
      <c r="G715" t="s">
        <v>51</v>
      </c>
      <c r="H715" s="17" t="s">
        <v>52</v>
      </c>
      <c r="I715" t="s">
        <v>53</v>
      </c>
      <c r="J715" t="s">
        <v>54</v>
      </c>
      <c r="K715">
        <v>1</v>
      </c>
      <c r="L715" t="s">
        <v>55</v>
      </c>
      <c r="M715" t="s">
        <v>56</v>
      </c>
      <c r="N715" t="s">
        <v>57</v>
      </c>
      <c r="O715" s="18" t="s">
        <v>58</v>
      </c>
      <c r="P715" s="18" t="s">
        <v>72</v>
      </c>
      <c r="Q715" s="17" t="s">
        <v>122</v>
      </c>
      <c r="R715" s="18" t="s">
        <v>425</v>
      </c>
      <c r="S715" s="32">
        <v>28</v>
      </c>
      <c r="T715" s="19">
        <v>0</v>
      </c>
      <c r="U715" s="17" t="s">
        <v>62</v>
      </c>
      <c r="V715" s="17">
        <v>45849</v>
      </c>
      <c r="W715" s="18">
        <v>7</v>
      </c>
      <c r="X715" s="17">
        <v>45940</v>
      </c>
      <c r="Z715" s="45">
        <v>10</v>
      </c>
      <c r="AA715">
        <v>2025</v>
      </c>
      <c r="AB715" s="42">
        <v>105280</v>
      </c>
      <c r="AC715" s="42">
        <v>0</v>
      </c>
    </row>
    <row r="716" spans="1:29">
      <c r="A716" t="s">
        <v>45</v>
      </c>
      <c r="B716" t="s">
        <v>46</v>
      </c>
      <c r="C716" t="s">
        <v>47</v>
      </c>
      <c r="D716" t="s">
        <v>569</v>
      </c>
      <c r="E716" t="s">
        <v>49</v>
      </c>
      <c r="F716" t="s">
        <v>71</v>
      </c>
      <c r="G716" t="s">
        <v>51</v>
      </c>
      <c r="H716" s="17" t="s">
        <v>52</v>
      </c>
      <c r="I716" t="s">
        <v>53</v>
      </c>
      <c r="J716" t="s">
        <v>54</v>
      </c>
      <c r="K716">
        <v>1</v>
      </c>
      <c r="L716" t="s">
        <v>55</v>
      </c>
      <c r="M716" t="s">
        <v>56</v>
      </c>
      <c r="N716" t="s">
        <v>57</v>
      </c>
      <c r="O716" s="18" t="s">
        <v>58</v>
      </c>
      <c r="P716" s="18" t="s">
        <v>99</v>
      </c>
      <c r="Q716" s="17" t="s">
        <v>100</v>
      </c>
      <c r="R716" s="18" t="s">
        <v>101</v>
      </c>
      <c r="S716" s="32">
        <v>28</v>
      </c>
      <c r="T716" s="19">
        <v>0</v>
      </c>
      <c r="U716" s="17" t="s">
        <v>62</v>
      </c>
      <c r="V716" s="17">
        <v>45849</v>
      </c>
      <c r="W716" s="18">
        <v>7</v>
      </c>
      <c r="X716" s="17">
        <v>45940</v>
      </c>
      <c r="Z716" s="45">
        <v>10</v>
      </c>
      <c r="AA716">
        <v>2025</v>
      </c>
      <c r="AB716" s="42">
        <v>3724</v>
      </c>
      <c r="AC716" s="42">
        <v>0</v>
      </c>
    </row>
    <row r="717" spans="1:29">
      <c r="A717" t="s">
        <v>45</v>
      </c>
      <c r="B717" t="s">
        <v>46</v>
      </c>
      <c r="C717" t="s">
        <v>47</v>
      </c>
      <c r="D717" t="s">
        <v>569</v>
      </c>
      <c r="E717" t="s">
        <v>49</v>
      </c>
      <c r="F717" t="s">
        <v>75</v>
      </c>
      <c r="G717" t="s">
        <v>51</v>
      </c>
      <c r="H717" s="17" t="s">
        <v>52</v>
      </c>
      <c r="I717" t="s">
        <v>53</v>
      </c>
      <c r="J717" t="s">
        <v>54</v>
      </c>
      <c r="K717">
        <v>1</v>
      </c>
      <c r="L717" t="s">
        <v>55</v>
      </c>
      <c r="M717" t="s">
        <v>56</v>
      </c>
      <c r="N717" t="s">
        <v>57</v>
      </c>
      <c r="O717" s="18" t="s">
        <v>58</v>
      </c>
      <c r="P717" s="18" t="s">
        <v>72</v>
      </c>
      <c r="Q717" s="17" t="s">
        <v>145</v>
      </c>
      <c r="R717" s="18" t="s">
        <v>411</v>
      </c>
      <c r="S717" s="32">
        <v>28</v>
      </c>
      <c r="T717" s="19">
        <v>0</v>
      </c>
      <c r="U717" s="17" t="s">
        <v>62</v>
      </c>
      <c r="V717" s="17">
        <v>45849</v>
      </c>
      <c r="W717" s="18">
        <v>7</v>
      </c>
      <c r="X717" s="17">
        <v>45940</v>
      </c>
      <c r="Z717" s="45">
        <v>10</v>
      </c>
      <c r="AA717">
        <v>2025</v>
      </c>
      <c r="AB717" s="42">
        <v>227164</v>
      </c>
      <c r="AC717" s="42">
        <v>0</v>
      </c>
    </row>
    <row r="718" spans="1:29">
      <c r="A718" t="s">
        <v>45</v>
      </c>
      <c r="B718" t="s">
        <v>46</v>
      </c>
      <c r="C718" t="s">
        <v>47</v>
      </c>
      <c r="D718" t="s">
        <v>569</v>
      </c>
      <c r="E718" t="s">
        <v>49</v>
      </c>
      <c r="F718" t="s">
        <v>79</v>
      </c>
      <c r="G718" t="s">
        <v>51</v>
      </c>
      <c r="H718" s="17" t="s">
        <v>52</v>
      </c>
      <c r="I718" t="s">
        <v>53</v>
      </c>
      <c r="J718" t="s">
        <v>54</v>
      </c>
      <c r="K718">
        <v>1</v>
      </c>
      <c r="L718" t="s">
        <v>55</v>
      </c>
      <c r="M718" t="s">
        <v>56</v>
      </c>
      <c r="N718" t="s">
        <v>57</v>
      </c>
      <c r="O718" s="18" t="s">
        <v>58</v>
      </c>
      <c r="P718" s="18" t="s">
        <v>99</v>
      </c>
      <c r="Q718" s="17" t="s">
        <v>100</v>
      </c>
      <c r="R718" s="18" t="s">
        <v>101</v>
      </c>
      <c r="S718" s="32">
        <v>28</v>
      </c>
      <c r="T718" s="19">
        <v>0</v>
      </c>
      <c r="U718" s="17" t="s">
        <v>62</v>
      </c>
      <c r="V718" s="17">
        <v>45849</v>
      </c>
      <c r="W718" s="18">
        <v>7</v>
      </c>
      <c r="X718" s="17">
        <v>45940</v>
      </c>
      <c r="Z718" s="45">
        <v>10</v>
      </c>
      <c r="AA718">
        <v>2025</v>
      </c>
      <c r="AB718" s="42">
        <v>6020</v>
      </c>
      <c r="AC718" s="42">
        <v>0</v>
      </c>
    </row>
    <row r="719" spans="1:29">
      <c r="A719" t="s">
        <v>45</v>
      </c>
      <c r="B719" t="s">
        <v>46</v>
      </c>
      <c r="C719" t="s">
        <v>47</v>
      </c>
      <c r="D719" t="s">
        <v>642</v>
      </c>
      <c r="E719" t="s">
        <v>49</v>
      </c>
      <c r="F719" t="s">
        <v>50</v>
      </c>
      <c r="G719" t="s">
        <v>51</v>
      </c>
      <c r="H719" s="17" t="s">
        <v>52</v>
      </c>
      <c r="I719" t="s">
        <v>53</v>
      </c>
      <c r="J719" t="s">
        <v>54</v>
      </c>
      <c r="K719">
        <v>1</v>
      </c>
      <c r="L719" t="s">
        <v>55</v>
      </c>
      <c r="M719" t="s">
        <v>56</v>
      </c>
      <c r="N719" t="s">
        <v>57</v>
      </c>
      <c r="O719" s="18" t="s">
        <v>58</v>
      </c>
      <c r="P719" s="18" t="s">
        <v>59</v>
      </c>
      <c r="Q719" s="17" t="s">
        <v>60</v>
      </c>
      <c r="R719" s="18" t="s">
        <v>61</v>
      </c>
      <c r="S719" s="32">
        <v>126</v>
      </c>
      <c r="T719" s="19">
        <v>126</v>
      </c>
      <c r="U719" s="17" t="s">
        <v>62</v>
      </c>
      <c r="V719" s="17">
        <v>45911</v>
      </c>
      <c r="W719" s="18">
        <v>9</v>
      </c>
      <c r="X719" s="17">
        <v>45996</v>
      </c>
      <c r="Y719" s="17">
        <v>45943</v>
      </c>
      <c r="Z719" s="45">
        <v>10</v>
      </c>
      <c r="AA719">
        <v>2025</v>
      </c>
      <c r="AB719" s="42">
        <v>2124738</v>
      </c>
      <c r="AC719" s="42">
        <v>2124738</v>
      </c>
    </row>
    <row r="720" spans="1:29">
      <c r="A720" t="s">
        <v>45</v>
      </c>
      <c r="B720" t="s">
        <v>46</v>
      </c>
      <c r="C720" t="s">
        <v>47</v>
      </c>
      <c r="D720" t="s">
        <v>642</v>
      </c>
      <c r="E720" t="s">
        <v>49</v>
      </c>
      <c r="F720" t="s">
        <v>63</v>
      </c>
      <c r="G720" t="s">
        <v>51</v>
      </c>
      <c r="H720" s="17" t="s">
        <v>52</v>
      </c>
      <c r="I720" t="s">
        <v>53</v>
      </c>
      <c r="J720" t="s">
        <v>54</v>
      </c>
      <c r="K720">
        <v>1</v>
      </c>
      <c r="L720" t="s">
        <v>55</v>
      </c>
      <c r="M720" t="s">
        <v>56</v>
      </c>
      <c r="N720" t="s">
        <v>57</v>
      </c>
      <c r="O720" s="18" t="s">
        <v>58</v>
      </c>
      <c r="P720" s="18" t="s">
        <v>99</v>
      </c>
      <c r="Q720" s="17" t="s">
        <v>100</v>
      </c>
      <c r="R720" s="18" t="s">
        <v>101</v>
      </c>
      <c r="S720" s="32">
        <v>1</v>
      </c>
      <c r="T720" s="19">
        <v>1</v>
      </c>
      <c r="U720" s="17" t="s">
        <v>62</v>
      </c>
      <c r="V720" s="17">
        <v>45911</v>
      </c>
      <c r="W720" s="18">
        <v>9</v>
      </c>
      <c r="X720" s="17">
        <v>45996</v>
      </c>
      <c r="Y720" s="17">
        <v>45943</v>
      </c>
      <c r="Z720" s="45">
        <v>10</v>
      </c>
      <c r="AA720">
        <v>2025</v>
      </c>
      <c r="AB720" s="42">
        <v>58000</v>
      </c>
      <c r="AC720" s="42">
        <v>58000</v>
      </c>
    </row>
    <row r="721" spans="1:29">
      <c r="A721" t="s">
        <v>45</v>
      </c>
      <c r="B721" t="s">
        <v>46</v>
      </c>
      <c r="C721" t="s">
        <v>47</v>
      </c>
      <c r="D721" t="s">
        <v>643</v>
      </c>
      <c r="E721" t="s">
        <v>49</v>
      </c>
      <c r="F721" t="s">
        <v>50</v>
      </c>
      <c r="G721" t="s">
        <v>51</v>
      </c>
      <c r="H721" s="17" t="s">
        <v>52</v>
      </c>
      <c r="I721" t="s">
        <v>53</v>
      </c>
      <c r="J721" t="s">
        <v>54</v>
      </c>
      <c r="K721">
        <v>1</v>
      </c>
      <c r="L721" t="s">
        <v>55</v>
      </c>
      <c r="M721" t="s">
        <v>56</v>
      </c>
      <c r="N721" t="s">
        <v>57</v>
      </c>
      <c r="O721" s="18" t="s">
        <v>58</v>
      </c>
      <c r="P721" s="18" t="s">
        <v>99</v>
      </c>
      <c r="Q721" s="17" t="s">
        <v>278</v>
      </c>
      <c r="R721" s="18" t="s">
        <v>279</v>
      </c>
      <c r="S721" s="32">
        <v>2</v>
      </c>
      <c r="T721" s="19">
        <v>1</v>
      </c>
      <c r="U721" s="17" t="s">
        <v>62</v>
      </c>
      <c r="V721" s="17">
        <v>45915</v>
      </c>
      <c r="W721" s="18">
        <v>9</v>
      </c>
      <c r="X721" s="17">
        <v>46022</v>
      </c>
      <c r="Y721" s="17">
        <v>45958</v>
      </c>
      <c r="Z721" s="45">
        <v>10</v>
      </c>
      <c r="AA721">
        <v>2025</v>
      </c>
      <c r="AB721" s="42">
        <v>162970</v>
      </c>
      <c r="AC721" s="42">
        <v>81485</v>
      </c>
    </row>
    <row r="722" spans="1:29">
      <c r="A722" t="s">
        <v>45</v>
      </c>
      <c r="B722" t="s">
        <v>46</v>
      </c>
      <c r="C722" t="s">
        <v>47</v>
      </c>
      <c r="D722" t="s">
        <v>643</v>
      </c>
      <c r="E722" t="s">
        <v>49</v>
      </c>
      <c r="F722" t="s">
        <v>63</v>
      </c>
      <c r="G722" t="s">
        <v>51</v>
      </c>
      <c r="H722" s="17" t="s">
        <v>52</v>
      </c>
      <c r="I722" t="s">
        <v>53</v>
      </c>
      <c r="J722" t="s">
        <v>54</v>
      </c>
      <c r="K722">
        <v>1</v>
      </c>
      <c r="L722" t="s">
        <v>55</v>
      </c>
      <c r="M722" t="s">
        <v>56</v>
      </c>
      <c r="N722" t="s">
        <v>57</v>
      </c>
      <c r="O722" s="18" t="s">
        <v>58</v>
      </c>
      <c r="P722" s="18" t="s">
        <v>297</v>
      </c>
      <c r="Q722" s="17" t="s">
        <v>302</v>
      </c>
      <c r="R722" s="18" t="s">
        <v>303</v>
      </c>
      <c r="S722" s="32">
        <v>2</v>
      </c>
      <c r="T722" s="19">
        <v>2</v>
      </c>
      <c r="U722" s="17" t="s">
        <v>62</v>
      </c>
      <c r="V722" s="17">
        <v>45915</v>
      </c>
      <c r="W722" s="18">
        <v>9</v>
      </c>
      <c r="X722" s="17">
        <v>46022</v>
      </c>
      <c r="Y722" s="17">
        <v>45958</v>
      </c>
      <c r="Z722" s="45">
        <v>10</v>
      </c>
      <c r="AA722">
        <v>2025</v>
      </c>
      <c r="AB722" s="42">
        <v>195174</v>
      </c>
      <c r="AC722" s="42">
        <v>195174</v>
      </c>
    </row>
    <row r="723" spans="1:29">
      <c r="A723" t="s">
        <v>45</v>
      </c>
      <c r="B723" t="s">
        <v>46</v>
      </c>
      <c r="C723" t="s">
        <v>47</v>
      </c>
      <c r="D723" t="s">
        <v>644</v>
      </c>
      <c r="E723" t="s">
        <v>49</v>
      </c>
      <c r="F723" t="s">
        <v>50</v>
      </c>
      <c r="G723" t="s">
        <v>51</v>
      </c>
      <c r="H723" s="17" t="s">
        <v>52</v>
      </c>
      <c r="I723" t="s">
        <v>53</v>
      </c>
      <c r="J723" t="s">
        <v>420</v>
      </c>
      <c r="K723">
        <v>1</v>
      </c>
      <c r="L723" t="s">
        <v>55</v>
      </c>
      <c r="M723" t="s">
        <v>56</v>
      </c>
      <c r="N723" t="s">
        <v>57</v>
      </c>
      <c r="O723" s="18" t="s">
        <v>58</v>
      </c>
      <c r="P723" s="18" t="s">
        <v>72</v>
      </c>
      <c r="Q723" s="17" t="s">
        <v>151</v>
      </c>
      <c r="R723" s="18" t="s">
        <v>152</v>
      </c>
      <c r="S723" s="32">
        <v>20</v>
      </c>
      <c r="T723" s="19">
        <v>20</v>
      </c>
      <c r="U723" s="17" t="s">
        <v>62</v>
      </c>
      <c r="V723" s="17">
        <v>45915</v>
      </c>
      <c r="W723" s="18">
        <v>9</v>
      </c>
      <c r="X723" s="17">
        <v>45916</v>
      </c>
      <c r="Y723" s="17">
        <v>45937</v>
      </c>
      <c r="Z723" s="45">
        <v>10</v>
      </c>
      <c r="AA723">
        <v>2025</v>
      </c>
      <c r="AB723" s="42">
        <v>572440</v>
      </c>
      <c r="AC723" s="42">
        <v>572440</v>
      </c>
    </row>
    <row r="724" spans="1:29">
      <c r="A724" t="s">
        <v>45</v>
      </c>
      <c r="B724" t="s">
        <v>46</v>
      </c>
      <c r="C724" t="s">
        <v>47</v>
      </c>
      <c r="D724" t="s">
        <v>644</v>
      </c>
      <c r="E724" t="s">
        <v>49</v>
      </c>
      <c r="F724" t="s">
        <v>63</v>
      </c>
      <c r="G724" t="s">
        <v>51</v>
      </c>
      <c r="H724" s="17" t="s">
        <v>52</v>
      </c>
      <c r="I724" t="s">
        <v>53</v>
      </c>
      <c r="J724" t="s">
        <v>420</v>
      </c>
      <c r="K724">
        <v>1</v>
      </c>
      <c r="L724" t="s">
        <v>55</v>
      </c>
      <c r="M724" t="s">
        <v>56</v>
      </c>
      <c r="N724" t="s">
        <v>57</v>
      </c>
      <c r="O724" s="18" t="s">
        <v>58</v>
      </c>
      <c r="P724" s="18" t="s">
        <v>72</v>
      </c>
      <c r="Q724" s="17" t="s">
        <v>545</v>
      </c>
      <c r="R724" s="18" t="s">
        <v>546</v>
      </c>
      <c r="S724" s="32">
        <v>271</v>
      </c>
      <c r="T724" s="19">
        <v>271</v>
      </c>
      <c r="U724" s="17" t="s">
        <v>62</v>
      </c>
      <c r="V724" s="17">
        <v>45915</v>
      </c>
      <c r="W724" s="18">
        <v>9</v>
      </c>
      <c r="X724" s="17">
        <v>45916</v>
      </c>
      <c r="Y724" s="17">
        <v>45937</v>
      </c>
      <c r="Z724" s="45">
        <v>10</v>
      </c>
      <c r="AA724">
        <v>2025</v>
      </c>
      <c r="AB724" s="42">
        <v>3260672</v>
      </c>
      <c r="AC724" s="42">
        <v>3260672</v>
      </c>
    </row>
    <row r="725" spans="1:29">
      <c r="A725" t="s">
        <v>45</v>
      </c>
      <c r="B725" t="s">
        <v>46</v>
      </c>
      <c r="C725" t="s">
        <v>47</v>
      </c>
      <c r="D725" t="s">
        <v>645</v>
      </c>
      <c r="E725" t="s">
        <v>49</v>
      </c>
      <c r="F725" t="s">
        <v>63</v>
      </c>
      <c r="G725" t="s">
        <v>51</v>
      </c>
      <c r="H725" s="17" t="s">
        <v>52</v>
      </c>
      <c r="I725" t="s">
        <v>53</v>
      </c>
      <c r="J725" t="s">
        <v>54</v>
      </c>
      <c r="K725">
        <v>1</v>
      </c>
      <c r="L725" t="s">
        <v>55</v>
      </c>
      <c r="M725" t="s">
        <v>56</v>
      </c>
      <c r="N725" t="s">
        <v>57</v>
      </c>
      <c r="O725" s="18" t="s">
        <v>58</v>
      </c>
      <c r="P725" s="18" t="s">
        <v>72</v>
      </c>
      <c r="Q725" s="17" t="s">
        <v>193</v>
      </c>
      <c r="R725" s="18" t="s">
        <v>194</v>
      </c>
      <c r="S725" s="32">
        <v>34</v>
      </c>
      <c r="T725" s="19">
        <v>34</v>
      </c>
      <c r="U725" s="17" t="s">
        <v>62</v>
      </c>
      <c r="V725" s="17">
        <v>45910</v>
      </c>
      <c r="W725" s="18">
        <v>9</v>
      </c>
      <c r="X725" s="17">
        <v>46001</v>
      </c>
      <c r="Y725" s="17">
        <v>45951</v>
      </c>
      <c r="Z725" s="45">
        <v>10</v>
      </c>
      <c r="AA725">
        <v>2025</v>
      </c>
      <c r="AB725" s="42">
        <v>299200</v>
      </c>
      <c r="AC725" s="42">
        <v>299200</v>
      </c>
    </row>
    <row r="726" spans="1:29">
      <c r="A726" t="s">
        <v>45</v>
      </c>
      <c r="B726" t="s">
        <v>46</v>
      </c>
      <c r="C726" t="s">
        <v>47</v>
      </c>
      <c r="D726" t="s">
        <v>645</v>
      </c>
      <c r="E726" t="s">
        <v>49</v>
      </c>
      <c r="F726" t="s">
        <v>67</v>
      </c>
      <c r="G726" t="s">
        <v>51</v>
      </c>
      <c r="H726" s="17" t="s">
        <v>52</v>
      </c>
      <c r="I726" t="s">
        <v>53</v>
      </c>
      <c r="J726" t="s">
        <v>54</v>
      </c>
      <c r="K726">
        <v>1</v>
      </c>
      <c r="L726" t="s">
        <v>55</v>
      </c>
      <c r="M726" t="s">
        <v>56</v>
      </c>
      <c r="N726" t="s">
        <v>57</v>
      </c>
      <c r="O726" s="18" t="s">
        <v>58</v>
      </c>
      <c r="P726" s="18" t="s">
        <v>72</v>
      </c>
      <c r="Q726" s="17" t="s">
        <v>151</v>
      </c>
      <c r="R726" s="18" t="s">
        <v>152</v>
      </c>
      <c r="S726" s="32">
        <v>34</v>
      </c>
      <c r="T726" s="19">
        <v>34</v>
      </c>
      <c r="U726" s="17" t="s">
        <v>62</v>
      </c>
      <c r="V726" s="17">
        <v>45910</v>
      </c>
      <c r="W726" s="18">
        <v>9</v>
      </c>
      <c r="X726" s="17">
        <v>46001</v>
      </c>
      <c r="Y726" s="17">
        <v>45950</v>
      </c>
      <c r="Z726" s="45">
        <v>10</v>
      </c>
      <c r="AA726">
        <v>2025</v>
      </c>
      <c r="AB726" s="42">
        <v>1041828</v>
      </c>
      <c r="AC726" s="42">
        <v>1041828</v>
      </c>
    </row>
    <row r="727" spans="1:29">
      <c r="A727" t="s">
        <v>45</v>
      </c>
      <c r="B727" t="s">
        <v>46</v>
      </c>
      <c r="C727" t="s">
        <v>47</v>
      </c>
      <c r="D727" t="s">
        <v>645</v>
      </c>
      <c r="E727" t="s">
        <v>49</v>
      </c>
      <c r="F727" t="s">
        <v>71</v>
      </c>
      <c r="G727" t="s">
        <v>51</v>
      </c>
      <c r="H727" s="17" t="s">
        <v>52</v>
      </c>
      <c r="I727" t="s">
        <v>53</v>
      </c>
      <c r="J727" t="s">
        <v>54</v>
      </c>
      <c r="K727">
        <v>1</v>
      </c>
      <c r="L727" t="s">
        <v>55</v>
      </c>
      <c r="M727" t="s">
        <v>56</v>
      </c>
      <c r="N727" t="s">
        <v>57</v>
      </c>
      <c r="O727" s="18" t="s">
        <v>58</v>
      </c>
      <c r="P727" s="18" t="s">
        <v>64</v>
      </c>
      <c r="Q727" s="17" t="s">
        <v>577</v>
      </c>
      <c r="R727" s="18" t="s">
        <v>578</v>
      </c>
      <c r="S727" s="32">
        <v>11</v>
      </c>
      <c r="T727" s="19">
        <v>11</v>
      </c>
      <c r="U727" s="17" t="s">
        <v>62</v>
      </c>
      <c r="V727" s="17">
        <v>45910</v>
      </c>
      <c r="W727" s="18">
        <v>9</v>
      </c>
      <c r="X727" s="17">
        <v>46001</v>
      </c>
      <c r="Y727" s="17">
        <v>45951</v>
      </c>
      <c r="Z727" s="45">
        <v>10</v>
      </c>
      <c r="AA727">
        <v>2025</v>
      </c>
      <c r="AB727" s="42">
        <v>155485</v>
      </c>
      <c r="AC727" s="42">
        <v>155485</v>
      </c>
    </row>
    <row r="728" spans="1:29">
      <c r="A728" t="s">
        <v>45</v>
      </c>
      <c r="B728" t="s">
        <v>46</v>
      </c>
      <c r="C728" t="s">
        <v>47</v>
      </c>
      <c r="D728" t="s">
        <v>645</v>
      </c>
      <c r="E728" t="s">
        <v>49</v>
      </c>
      <c r="F728" t="s">
        <v>75</v>
      </c>
      <c r="G728" t="s">
        <v>51</v>
      </c>
      <c r="H728" s="17" t="s">
        <v>52</v>
      </c>
      <c r="I728" t="s">
        <v>53</v>
      </c>
      <c r="J728" t="s">
        <v>54</v>
      </c>
      <c r="K728">
        <v>1</v>
      </c>
      <c r="L728" t="s">
        <v>55</v>
      </c>
      <c r="M728" t="s">
        <v>56</v>
      </c>
      <c r="N728" t="s">
        <v>57</v>
      </c>
      <c r="O728" s="18" t="s">
        <v>58</v>
      </c>
      <c r="P728" s="18" t="s">
        <v>59</v>
      </c>
      <c r="Q728" s="17" t="s">
        <v>575</v>
      </c>
      <c r="R728" s="18" t="s">
        <v>576</v>
      </c>
      <c r="S728" s="32">
        <v>2</v>
      </c>
      <c r="T728" s="19">
        <v>2</v>
      </c>
      <c r="U728" s="17" t="s">
        <v>62</v>
      </c>
      <c r="V728" s="17">
        <v>45910</v>
      </c>
      <c r="W728" s="18">
        <v>9</v>
      </c>
      <c r="X728" s="17">
        <v>46001</v>
      </c>
      <c r="Y728" s="17">
        <v>45951</v>
      </c>
      <c r="Z728" s="45">
        <v>10</v>
      </c>
      <c r="AA728">
        <v>2025</v>
      </c>
      <c r="AB728" s="42">
        <v>32766</v>
      </c>
      <c r="AC728" s="42">
        <v>32766</v>
      </c>
    </row>
    <row r="729" spans="1:29">
      <c r="A729" t="s">
        <v>45</v>
      </c>
      <c r="B729" t="s">
        <v>46</v>
      </c>
      <c r="C729" t="s">
        <v>47</v>
      </c>
      <c r="D729" t="s">
        <v>645</v>
      </c>
      <c r="E729" t="s">
        <v>49</v>
      </c>
      <c r="F729" t="s">
        <v>79</v>
      </c>
      <c r="G729" t="s">
        <v>51</v>
      </c>
      <c r="H729" s="17" t="s">
        <v>52</v>
      </c>
      <c r="I729" t="s">
        <v>53</v>
      </c>
      <c r="J729" t="s">
        <v>54</v>
      </c>
      <c r="K729">
        <v>1</v>
      </c>
      <c r="L729" t="s">
        <v>55</v>
      </c>
      <c r="M729" t="s">
        <v>56</v>
      </c>
      <c r="N729" t="s">
        <v>57</v>
      </c>
      <c r="O729" s="18" t="s">
        <v>58</v>
      </c>
      <c r="P729" s="18" t="s">
        <v>72</v>
      </c>
      <c r="Q729" s="17" t="s">
        <v>388</v>
      </c>
      <c r="R729" s="18" t="s">
        <v>389</v>
      </c>
      <c r="S729" s="32">
        <v>168</v>
      </c>
      <c r="T729" s="19">
        <v>168</v>
      </c>
      <c r="U729" s="17" t="s">
        <v>113</v>
      </c>
      <c r="V729" s="17">
        <v>45910</v>
      </c>
      <c r="W729" s="18">
        <v>9</v>
      </c>
      <c r="X729" s="17">
        <v>46001</v>
      </c>
      <c r="Y729" s="17">
        <v>45951</v>
      </c>
      <c r="Z729" s="45">
        <v>10</v>
      </c>
      <c r="AA729">
        <v>2025</v>
      </c>
      <c r="AB729" s="42">
        <v>1362984</v>
      </c>
      <c r="AC729" s="42">
        <v>1362984</v>
      </c>
    </row>
    <row r="730" spans="1:29">
      <c r="A730" t="s">
        <v>45</v>
      </c>
      <c r="B730" t="s">
        <v>46</v>
      </c>
      <c r="C730" t="s">
        <v>47</v>
      </c>
      <c r="D730" t="s">
        <v>645</v>
      </c>
      <c r="E730" t="s">
        <v>49</v>
      </c>
      <c r="F730" t="s">
        <v>98</v>
      </c>
      <c r="G730" t="s">
        <v>51</v>
      </c>
      <c r="H730" s="17" t="s">
        <v>52</v>
      </c>
      <c r="I730" t="s">
        <v>53</v>
      </c>
      <c r="J730" t="s">
        <v>54</v>
      </c>
      <c r="K730">
        <v>1</v>
      </c>
      <c r="L730" t="s">
        <v>55</v>
      </c>
      <c r="M730" t="s">
        <v>56</v>
      </c>
      <c r="N730" t="s">
        <v>57</v>
      </c>
      <c r="O730" s="18" t="s">
        <v>58</v>
      </c>
      <c r="P730" s="18" t="s">
        <v>99</v>
      </c>
      <c r="Q730" s="17" t="s">
        <v>100</v>
      </c>
      <c r="R730" s="18" t="s">
        <v>101</v>
      </c>
      <c r="S730" s="32">
        <v>1</v>
      </c>
      <c r="T730" s="19">
        <v>1</v>
      </c>
      <c r="U730" s="17" t="s">
        <v>62</v>
      </c>
      <c r="V730" s="17">
        <v>45910</v>
      </c>
      <c r="W730" s="18">
        <v>9</v>
      </c>
      <c r="X730" s="17">
        <v>46001</v>
      </c>
      <c r="Y730" s="17">
        <v>45951</v>
      </c>
      <c r="Z730" s="45">
        <v>10</v>
      </c>
      <c r="AA730">
        <v>2025</v>
      </c>
      <c r="AB730" s="42">
        <v>503000</v>
      </c>
      <c r="AC730" s="42">
        <v>503000</v>
      </c>
    </row>
    <row r="731" spans="1:29">
      <c r="A731" t="s">
        <v>45</v>
      </c>
      <c r="B731" t="s">
        <v>46</v>
      </c>
      <c r="C731" t="s">
        <v>47</v>
      </c>
      <c r="D731" t="s">
        <v>530</v>
      </c>
      <c r="E731" t="s">
        <v>49</v>
      </c>
      <c r="F731" t="s">
        <v>335</v>
      </c>
      <c r="G731" t="s">
        <v>51</v>
      </c>
      <c r="H731" s="17" t="s">
        <v>52</v>
      </c>
      <c r="I731" t="s">
        <v>53</v>
      </c>
      <c r="J731" t="s">
        <v>54</v>
      </c>
      <c r="K731">
        <v>1</v>
      </c>
      <c r="L731" t="s">
        <v>55</v>
      </c>
      <c r="M731" t="s">
        <v>56</v>
      </c>
      <c r="N731" t="s">
        <v>57</v>
      </c>
      <c r="O731" s="18" t="s">
        <v>58</v>
      </c>
      <c r="P731" s="18" t="s">
        <v>68</v>
      </c>
      <c r="Q731" s="17" t="s">
        <v>69</v>
      </c>
      <c r="R731" s="18" t="s">
        <v>70</v>
      </c>
      <c r="S731" s="32">
        <v>57</v>
      </c>
      <c r="T731" s="19">
        <v>15</v>
      </c>
      <c r="U731" s="17" t="s">
        <v>62</v>
      </c>
      <c r="V731" s="17">
        <v>45834</v>
      </c>
      <c r="W731" s="18">
        <v>6</v>
      </c>
      <c r="X731" s="17">
        <v>45926</v>
      </c>
      <c r="Y731" s="17">
        <v>45953</v>
      </c>
      <c r="Z731" s="45">
        <v>10</v>
      </c>
      <c r="AA731">
        <v>2025</v>
      </c>
      <c r="AB731" s="42">
        <v>4337130</v>
      </c>
      <c r="AC731" s="42">
        <v>1141350</v>
      </c>
    </row>
    <row r="732" spans="1:29">
      <c r="A732" t="s">
        <v>45</v>
      </c>
      <c r="B732" t="s">
        <v>46</v>
      </c>
      <c r="C732" t="s">
        <v>47</v>
      </c>
      <c r="D732" t="s">
        <v>646</v>
      </c>
      <c r="E732" t="s">
        <v>49</v>
      </c>
      <c r="F732" t="s">
        <v>50</v>
      </c>
      <c r="G732" t="s">
        <v>51</v>
      </c>
      <c r="H732" s="17" t="s">
        <v>58</v>
      </c>
      <c r="I732" t="s">
        <v>53</v>
      </c>
      <c r="J732" t="s">
        <v>54</v>
      </c>
      <c r="K732">
        <v>1</v>
      </c>
      <c r="L732" t="s">
        <v>55</v>
      </c>
      <c r="M732" t="s">
        <v>56</v>
      </c>
      <c r="N732" t="s">
        <v>57</v>
      </c>
      <c r="O732" s="18" t="s">
        <v>58</v>
      </c>
      <c r="P732" s="18" t="s">
        <v>72</v>
      </c>
      <c r="Q732" s="17" t="s">
        <v>193</v>
      </c>
      <c r="R732" s="18" t="s">
        <v>194</v>
      </c>
      <c r="S732" s="32">
        <v>120</v>
      </c>
      <c r="T732" s="19">
        <v>0</v>
      </c>
      <c r="U732" s="17" t="s">
        <v>62</v>
      </c>
      <c r="V732" s="17">
        <v>45840</v>
      </c>
      <c r="W732" s="18">
        <v>7</v>
      </c>
      <c r="X732" s="17">
        <v>45933</v>
      </c>
      <c r="Z732" s="45">
        <v>10</v>
      </c>
      <c r="AA732">
        <v>2025</v>
      </c>
      <c r="AB732" s="42">
        <v>1109040</v>
      </c>
      <c r="AC732" s="42">
        <v>0</v>
      </c>
    </row>
    <row r="733" spans="1:29">
      <c r="A733" t="s">
        <v>45</v>
      </c>
      <c r="B733" t="s">
        <v>46</v>
      </c>
      <c r="C733" t="s">
        <v>47</v>
      </c>
      <c r="D733" t="s">
        <v>646</v>
      </c>
      <c r="E733" t="s">
        <v>49</v>
      </c>
      <c r="F733" t="s">
        <v>63</v>
      </c>
      <c r="G733" t="s">
        <v>51</v>
      </c>
      <c r="H733" s="17" t="s">
        <v>58</v>
      </c>
      <c r="I733" t="s">
        <v>53</v>
      </c>
      <c r="J733" t="s">
        <v>54</v>
      </c>
      <c r="K733">
        <v>1</v>
      </c>
      <c r="L733" t="s">
        <v>55</v>
      </c>
      <c r="M733" t="s">
        <v>56</v>
      </c>
      <c r="N733" t="s">
        <v>57</v>
      </c>
      <c r="O733" s="18" t="s">
        <v>58</v>
      </c>
      <c r="P733" s="18" t="s">
        <v>72</v>
      </c>
      <c r="Q733" s="17" t="s">
        <v>647</v>
      </c>
      <c r="R733" s="18" t="s">
        <v>648</v>
      </c>
      <c r="S733" s="32">
        <v>1200</v>
      </c>
      <c r="T733" s="19">
        <v>0</v>
      </c>
      <c r="U733" s="17" t="s">
        <v>62</v>
      </c>
      <c r="V733" s="17">
        <v>45840</v>
      </c>
      <c r="W733" s="18">
        <v>7</v>
      </c>
      <c r="X733" s="17">
        <v>45933</v>
      </c>
      <c r="Z733" s="45">
        <v>10</v>
      </c>
      <c r="AA733">
        <v>2025</v>
      </c>
      <c r="AB733" s="42">
        <v>6870000</v>
      </c>
      <c r="AC733" s="42">
        <v>0</v>
      </c>
    </row>
    <row r="734" spans="1:29">
      <c r="A734" t="s">
        <v>45</v>
      </c>
      <c r="B734" t="s">
        <v>46</v>
      </c>
      <c r="C734" t="s">
        <v>47</v>
      </c>
      <c r="D734" t="s">
        <v>646</v>
      </c>
      <c r="E734" t="s">
        <v>49</v>
      </c>
      <c r="F734" t="s">
        <v>67</v>
      </c>
      <c r="G734" t="s">
        <v>51</v>
      </c>
      <c r="H734" s="17" t="s">
        <v>58</v>
      </c>
      <c r="I734" t="s">
        <v>53</v>
      </c>
      <c r="J734" t="s">
        <v>54</v>
      </c>
      <c r="K734">
        <v>1</v>
      </c>
      <c r="L734" t="s">
        <v>55</v>
      </c>
      <c r="M734" t="s">
        <v>56</v>
      </c>
      <c r="N734" t="s">
        <v>57</v>
      </c>
      <c r="O734" s="18" t="s">
        <v>58</v>
      </c>
      <c r="P734" s="18" t="s">
        <v>72</v>
      </c>
      <c r="Q734" s="17" t="s">
        <v>457</v>
      </c>
      <c r="R734" s="18" t="s">
        <v>458</v>
      </c>
      <c r="S734" s="32">
        <v>740</v>
      </c>
      <c r="T734" s="19">
        <v>0</v>
      </c>
      <c r="U734" s="17" t="s">
        <v>62</v>
      </c>
      <c r="V734" s="17">
        <v>45840</v>
      </c>
      <c r="W734" s="18">
        <v>7</v>
      </c>
      <c r="X734" s="17">
        <v>45933</v>
      </c>
      <c r="Z734" s="45">
        <v>10</v>
      </c>
      <c r="AA734">
        <v>2025</v>
      </c>
      <c r="AB734" s="42">
        <v>8430820</v>
      </c>
      <c r="AC734" s="42">
        <v>0</v>
      </c>
    </row>
    <row r="735" spans="1:29">
      <c r="A735" t="s">
        <v>45</v>
      </c>
      <c r="B735" t="s">
        <v>46</v>
      </c>
      <c r="C735" t="s">
        <v>47</v>
      </c>
      <c r="D735" t="s">
        <v>646</v>
      </c>
      <c r="E735" t="s">
        <v>49</v>
      </c>
      <c r="F735" t="s">
        <v>71</v>
      </c>
      <c r="G735" t="s">
        <v>51</v>
      </c>
      <c r="H735" s="17" t="s">
        <v>58</v>
      </c>
      <c r="I735" t="s">
        <v>53</v>
      </c>
      <c r="J735" t="s">
        <v>54</v>
      </c>
      <c r="K735">
        <v>1</v>
      </c>
      <c r="L735" t="s">
        <v>55</v>
      </c>
      <c r="M735" t="s">
        <v>56</v>
      </c>
      <c r="N735" t="s">
        <v>57</v>
      </c>
      <c r="O735" s="18" t="s">
        <v>58</v>
      </c>
      <c r="P735" s="18" t="s">
        <v>80</v>
      </c>
      <c r="Q735" s="17" t="s">
        <v>81</v>
      </c>
      <c r="R735" s="18" t="s">
        <v>82</v>
      </c>
      <c r="S735" s="32">
        <v>156</v>
      </c>
      <c r="T735" s="19">
        <v>0</v>
      </c>
      <c r="U735" s="17" t="s">
        <v>62</v>
      </c>
      <c r="V735" s="17">
        <v>45840</v>
      </c>
      <c r="W735" s="18">
        <v>7</v>
      </c>
      <c r="X735" s="17">
        <v>45933</v>
      </c>
      <c r="Z735" s="45">
        <v>10</v>
      </c>
      <c r="AA735">
        <v>2025</v>
      </c>
      <c r="AB735" s="42">
        <v>248508</v>
      </c>
      <c r="AC735" s="42">
        <v>0</v>
      </c>
    </row>
    <row r="736" spans="1:29">
      <c r="A736" t="s">
        <v>45</v>
      </c>
      <c r="B736" t="s">
        <v>46</v>
      </c>
      <c r="C736" t="s">
        <v>47</v>
      </c>
      <c r="D736" t="s">
        <v>646</v>
      </c>
      <c r="E736" t="s">
        <v>49</v>
      </c>
      <c r="F736" t="s">
        <v>75</v>
      </c>
      <c r="G736" t="s">
        <v>51</v>
      </c>
      <c r="H736" s="17" t="s">
        <v>58</v>
      </c>
      <c r="I736" t="s">
        <v>53</v>
      </c>
      <c r="J736" t="s">
        <v>54</v>
      </c>
      <c r="K736">
        <v>1</v>
      </c>
      <c r="L736" t="s">
        <v>55</v>
      </c>
      <c r="M736" t="s">
        <v>56</v>
      </c>
      <c r="N736" t="s">
        <v>57</v>
      </c>
      <c r="O736" s="18" t="s">
        <v>58</v>
      </c>
      <c r="P736" s="18" t="s">
        <v>436</v>
      </c>
      <c r="Q736" s="17" t="s">
        <v>437</v>
      </c>
      <c r="R736" s="18" t="s">
        <v>438</v>
      </c>
      <c r="S736" s="32">
        <v>350</v>
      </c>
      <c r="T736" s="19">
        <v>0</v>
      </c>
      <c r="U736" s="17" t="s">
        <v>62</v>
      </c>
      <c r="V736" s="17">
        <v>45840</v>
      </c>
      <c r="W736" s="18">
        <v>7</v>
      </c>
      <c r="X736" s="17">
        <v>45933</v>
      </c>
      <c r="Z736" s="45">
        <v>10</v>
      </c>
      <c r="AA736">
        <v>2025</v>
      </c>
      <c r="AB736" s="42">
        <v>3752350</v>
      </c>
      <c r="AC736" s="42">
        <v>0</v>
      </c>
    </row>
    <row r="737" spans="1:29">
      <c r="A737" t="s">
        <v>45</v>
      </c>
      <c r="B737" t="s">
        <v>46</v>
      </c>
      <c r="C737" t="s">
        <v>47</v>
      </c>
      <c r="D737" t="s">
        <v>646</v>
      </c>
      <c r="E737" t="s">
        <v>49</v>
      </c>
      <c r="F737" t="s">
        <v>79</v>
      </c>
      <c r="G737" t="s">
        <v>51</v>
      </c>
      <c r="H737" s="17" t="s">
        <v>58</v>
      </c>
      <c r="I737" t="s">
        <v>53</v>
      </c>
      <c r="J737" t="s">
        <v>54</v>
      </c>
      <c r="K737">
        <v>1</v>
      </c>
      <c r="L737" t="s">
        <v>55</v>
      </c>
      <c r="M737" t="s">
        <v>56</v>
      </c>
      <c r="N737" t="s">
        <v>57</v>
      </c>
      <c r="O737" s="18" t="s">
        <v>58</v>
      </c>
      <c r="P737" s="18" t="s">
        <v>137</v>
      </c>
      <c r="Q737" s="17" t="s">
        <v>183</v>
      </c>
      <c r="R737" s="18" t="s">
        <v>184</v>
      </c>
      <c r="S737" s="32">
        <v>150</v>
      </c>
      <c r="T737" s="19">
        <v>0</v>
      </c>
      <c r="U737" s="17" t="s">
        <v>62</v>
      </c>
      <c r="V737" s="17">
        <v>45840</v>
      </c>
      <c r="W737" s="18">
        <v>7</v>
      </c>
      <c r="X737" s="17">
        <v>45933</v>
      </c>
      <c r="Z737" s="45">
        <v>10</v>
      </c>
      <c r="AA737">
        <v>2025</v>
      </c>
      <c r="AB737" s="42">
        <v>4633200</v>
      </c>
      <c r="AC737" s="42">
        <v>0</v>
      </c>
    </row>
    <row r="738" spans="1:29">
      <c r="A738" t="s">
        <v>45</v>
      </c>
      <c r="B738" t="s">
        <v>46</v>
      </c>
      <c r="C738" t="s">
        <v>47</v>
      </c>
      <c r="D738" t="s">
        <v>646</v>
      </c>
      <c r="E738" t="s">
        <v>49</v>
      </c>
      <c r="F738" t="s">
        <v>98</v>
      </c>
      <c r="G738" t="s">
        <v>51</v>
      </c>
      <c r="H738" s="17" t="s">
        <v>58</v>
      </c>
      <c r="I738" t="s">
        <v>53</v>
      </c>
      <c r="J738" t="s">
        <v>54</v>
      </c>
      <c r="K738">
        <v>1</v>
      </c>
      <c r="L738" t="s">
        <v>55</v>
      </c>
      <c r="M738" t="s">
        <v>56</v>
      </c>
      <c r="N738" t="s">
        <v>57</v>
      </c>
      <c r="O738" s="18" t="s">
        <v>58</v>
      </c>
      <c r="P738" s="18" t="s">
        <v>72</v>
      </c>
      <c r="Q738" s="17" t="s">
        <v>73</v>
      </c>
      <c r="R738" s="18" t="s">
        <v>74</v>
      </c>
      <c r="S738" s="32">
        <v>400</v>
      </c>
      <c r="T738" s="19">
        <v>0</v>
      </c>
      <c r="U738" s="17" t="s">
        <v>62</v>
      </c>
      <c r="V738" s="17">
        <v>45840</v>
      </c>
      <c r="W738" s="18">
        <v>7</v>
      </c>
      <c r="X738" s="17">
        <v>45933</v>
      </c>
      <c r="Z738" s="45">
        <v>10</v>
      </c>
      <c r="AA738">
        <v>2025</v>
      </c>
      <c r="AB738" s="42">
        <v>7951200</v>
      </c>
      <c r="AC738" s="42">
        <v>0</v>
      </c>
    </row>
    <row r="739" spans="1:29">
      <c r="A739" t="s">
        <v>45</v>
      </c>
      <c r="B739" t="s">
        <v>46</v>
      </c>
      <c r="C739" t="s">
        <v>47</v>
      </c>
      <c r="D739" t="s">
        <v>646</v>
      </c>
      <c r="E739" t="s">
        <v>49</v>
      </c>
      <c r="F739" t="s">
        <v>334</v>
      </c>
      <c r="G739" t="s">
        <v>51</v>
      </c>
      <c r="H739" s="17" t="s">
        <v>58</v>
      </c>
      <c r="I739" t="s">
        <v>53</v>
      </c>
      <c r="J739" t="s">
        <v>54</v>
      </c>
      <c r="K739">
        <v>1</v>
      </c>
      <c r="L739" t="s">
        <v>55</v>
      </c>
      <c r="M739" t="s">
        <v>56</v>
      </c>
      <c r="N739" t="s">
        <v>57</v>
      </c>
      <c r="O739" s="18" t="s">
        <v>58</v>
      </c>
      <c r="P739" s="18" t="s">
        <v>99</v>
      </c>
      <c r="Q739" s="17" t="s">
        <v>253</v>
      </c>
      <c r="R739" s="18" t="s">
        <v>254</v>
      </c>
      <c r="S739" s="32">
        <v>17</v>
      </c>
      <c r="T739" s="19">
        <v>0</v>
      </c>
      <c r="U739" s="17" t="s">
        <v>62</v>
      </c>
      <c r="V739" s="17">
        <v>45840</v>
      </c>
      <c r="W739" s="18">
        <v>7</v>
      </c>
      <c r="X739" s="17">
        <v>45933</v>
      </c>
      <c r="Z739" s="45">
        <v>10</v>
      </c>
      <c r="AA739">
        <v>2025</v>
      </c>
      <c r="AB739" s="42">
        <v>2468009</v>
      </c>
      <c r="AC739" s="42">
        <v>0</v>
      </c>
    </row>
    <row r="740" spans="1:29">
      <c r="A740" t="s">
        <v>45</v>
      </c>
      <c r="B740" t="s">
        <v>46</v>
      </c>
      <c r="C740" t="s">
        <v>47</v>
      </c>
      <c r="D740" t="s">
        <v>646</v>
      </c>
      <c r="E740" t="s">
        <v>49</v>
      </c>
      <c r="F740" t="s">
        <v>335</v>
      </c>
      <c r="G740" t="s">
        <v>51</v>
      </c>
      <c r="H740" s="17" t="s">
        <v>58</v>
      </c>
      <c r="I740" t="s">
        <v>53</v>
      </c>
      <c r="J740" t="s">
        <v>54</v>
      </c>
      <c r="K740">
        <v>1</v>
      </c>
      <c r="L740" t="s">
        <v>55</v>
      </c>
      <c r="M740" t="s">
        <v>56</v>
      </c>
      <c r="N740" t="s">
        <v>57</v>
      </c>
      <c r="O740" s="18" t="s">
        <v>58</v>
      </c>
      <c r="P740" s="18" t="s">
        <v>64</v>
      </c>
      <c r="Q740" s="17" t="s">
        <v>92</v>
      </c>
      <c r="R740" s="18" t="s">
        <v>93</v>
      </c>
      <c r="S740" s="32">
        <v>37</v>
      </c>
      <c r="T740" s="19">
        <v>0</v>
      </c>
      <c r="U740" s="17" t="s">
        <v>62</v>
      </c>
      <c r="V740" s="17">
        <v>45840</v>
      </c>
      <c r="W740" s="18">
        <v>7</v>
      </c>
      <c r="X740" s="17">
        <v>45933</v>
      </c>
      <c r="Z740" s="45">
        <v>10</v>
      </c>
      <c r="AA740">
        <v>2025</v>
      </c>
      <c r="AB740" s="42">
        <v>531653</v>
      </c>
      <c r="AC740" s="42">
        <v>0</v>
      </c>
    </row>
    <row r="741" spans="1:29">
      <c r="A741" t="s">
        <v>45</v>
      </c>
      <c r="B741" t="s">
        <v>46</v>
      </c>
      <c r="C741" t="s">
        <v>47</v>
      </c>
      <c r="D741" t="s">
        <v>646</v>
      </c>
      <c r="E741" t="s">
        <v>49</v>
      </c>
      <c r="F741" t="s">
        <v>336</v>
      </c>
      <c r="G741" t="s">
        <v>51</v>
      </c>
      <c r="H741" s="17" t="s">
        <v>58</v>
      </c>
      <c r="I741" t="s">
        <v>53</v>
      </c>
      <c r="J741" t="s">
        <v>54</v>
      </c>
      <c r="K741">
        <v>1</v>
      </c>
      <c r="L741" t="s">
        <v>55</v>
      </c>
      <c r="M741" t="s">
        <v>56</v>
      </c>
      <c r="N741" t="s">
        <v>57</v>
      </c>
      <c r="O741" s="18" t="s">
        <v>58</v>
      </c>
      <c r="P741" s="18" t="s">
        <v>59</v>
      </c>
      <c r="Q741" s="17" t="s">
        <v>60</v>
      </c>
      <c r="R741" s="18" t="s">
        <v>61</v>
      </c>
      <c r="S741" s="32">
        <v>32</v>
      </c>
      <c r="T741" s="19">
        <v>0</v>
      </c>
      <c r="U741" s="17" t="s">
        <v>62</v>
      </c>
      <c r="V741" s="17">
        <v>45840</v>
      </c>
      <c r="W741" s="18">
        <v>7</v>
      </c>
      <c r="X741" s="17">
        <v>45933</v>
      </c>
      <c r="Z741" s="45">
        <v>10</v>
      </c>
      <c r="AA741">
        <v>2025</v>
      </c>
      <c r="AB741" s="42">
        <v>532960</v>
      </c>
      <c r="AC741" s="42">
        <v>0</v>
      </c>
    </row>
    <row r="742" spans="1:29">
      <c r="A742" t="s">
        <v>45</v>
      </c>
      <c r="B742" t="s">
        <v>46</v>
      </c>
      <c r="C742" t="s">
        <v>47</v>
      </c>
      <c r="D742" t="s">
        <v>646</v>
      </c>
      <c r="E742" t="s">
        <v>49</v>
      </c>
      <c r="F742" t="s">
        <v>439</v>
      </c>
      <c r="G742" t="s">
        <v>51</v>
      </c>
      <c r="H742" s="17" t="s">
        <v>58</v>
      </c>
      <c r="I742" t="s">
        <v>53</v>
      </c>
      <c r="J742" t="s">
        <v>54</v>
      </c>
      <c r="K742">
        <v>1</v>
      </c>
      <c r="L742" t="s">
        <v>55</v>
      </c>
      <c r="M742" t="s">
        <v>56</v>
      </c>
      <c r="N742" t="s">
        <v>57</v>
      </c>
      <c r="O742" s="18" t="s">
        <v>58</v>
      </c>
      <c r="P742" s="18" t="s">
        <v>94</v>
      </c>
      <c r="Q742" s="17" t="s">
        <v>441</v>
      </c>
      <c r="R742" s="18" t="s">
        <v>442</v>
      </c>
      <c r="S742" s="32">
        <v>69</v>
      </c>
      <c r="T742" s="19">
        <v>0</v>
      </c>
      <c r="U742" s="17" t="s">
        <v>62</v>
      </c>
      <c r="V742" s="17">
        <v>45840</v>
      </c>
      <c r="W742" s="18">
        <v>7</v>
      </c>
      <c r="X742" s="17">
        <v>45933</v>
      </c>
      <c r="Z742" s="45">
        <v>10</v>
      </c>
      <c r="AA742">
        <v>2025</v>
      </c>
      <c r="AB742" s="42">
        <v>778251</v>
      </c>
      <c r="AC742" s="42">
        <v>0</v>
      </c>
    </row>
    <row r="743" spans="1:29">
      <c r="A743" t="s">
        <v>45</v>
      </c>
      <c r="B743" t="s">
        <v>46</v>
      </c>
      <c r="C743" t="s">
        <v>47</v>
      </c>
      <c r="D743" t="s">
        <v>646</v>
      </c>
      <c r="E743" t="s">
        <v>49</v>
      </c>
      <c r="F743" t="s">
        <v>440</v>
      </c>
      <c r="G743" t="s">
        <v>51</v>
      </c>
      <c r="H743" s="17" t="s">
        <v>58</v>
      </c>
      <c r="I743" t="s">
        <v>53</v>
      </c>
      <c r="J743" t="s">
        <v>54</v>
      </c>
      <c r="K743">
        <v>1</v>
      </c>
      <c r="L743" t="s">
        <v>55</v>
      </c>
      <c r="M743" t="s">
        <v>56</v>
      </c>
      <c r="N743" t="s">
        <v>57</v>
      </c>
      <c r="O743" s="18" t="s">
        <v>58</v>
      </c>
      <c r="P743" s="18" t="s">
        <v>76</v>
      </c>
      <c r="Q743" s="17" t="s">
        <v>77</v>
      </c>
      <c r="R743" s="18" t="s">
        <v>78</v>
      </c>
      <c r="S743" s="32">
        <v>110</v>
      </c>
      <c r="T743" s="19">
        <v>0</v>
      </c>
      <c r="U743" s="17" t="s">
        <v>62</v>
      </c>
      <c r="V743" s="17">
        <v>45840</v>
      </c>
      <c r="W743" s="18">
        <v>7</v>
      </c>
      <c r="X743" s="17">
        <v>45933</v>
      </c>
      <c r="Z743" s="45">
        <v>10</v>
      </c>
      <c r="AA743">
        <v>2025</v>
      </c>
      <c r="AB743" s="42">
        <v>886270</v>
      </c>
      <c r="AC743" s="42">
        <v>0</v>
      </c>
    </row>
    <row r="744" spans="1:29">
      <c r="A744" t="s">
        <v>45</v>
      </c>
      <c r="B744" t="s">
        <v>46</v>
      </c>
      <c r="C744" t="s">
        <v>47</v>
      </c>
      <c r="D744" t="s">
        <v>405</v>
      </c>
      <c r="E744" t="s">
        <v>49</v>
      </c>
      <c r="F744" t="s">
        <v>79</v>
      </c>
      <c r="G744" t="s">
        <v>51</v>
      </c>
      <c r="H744" s="17" t="s">
        <v>52</v>
      </c>
      <c r="I744" t="s">
        <v>53</v>
      </c>
      <c r="J744" t="s">
        <v>54</v>
      </c>
      <c r="K744">
        <v>1</v>
      </c>
      <c r="L744" t="s">
        <v>55</v>
      </c>
      <c r="M744" t="s">
        <v>56</v>
      </c>
      <c r="N744" t="s">
        <v>57</v>
      </c>
      <c r="O744" s="18" t="s">
        <v>58</v>
      </c>
      <c r="P744" s="18" t="s">
        <v>89</v>
      </c>
      <c r="Q744" s="17" t="s">
        <v>90</v>
      </c>
      <c r="R744" s="18" t="s">
        <v>91</v>
      </c>
      <c r="S744" s="32">
        <v>8</v>
      </c>
      <c r="T744" s="19">
        <v>8</v>
      </c>
      <c r="U744" s="17" t="s">
        <v>62</v>
      </c>
      <c r="V744" s="17">
        <v>45791</v>
      </c>
      <c r="W744" s="18">
        <v>5</v>
      </c>
      <c r="X744" s="17">
        <v>45883</v>
      </c>
      <c r="Y744" s="17">
        <v>45950</v>
      </c>
      <c r="Z744" s="45">
        <v>10</v>
      </c>
      <c r="AA744">
        <v>2025</v>
      </c>
      <c r="AB744" s="42">
        <v>1142464</v>
      </c>
      <c r="AC744" s="42">
        <v>1142464</v>
      </c>
    </row>
    <row r="745" spans="1:29">
      <c r="A745" t="s">
        <v>45</v>
      </c>
      <c r="B745" t="s">
        <v>46</v>
      </c>
      <c r="C745" t="s">
        <v>47</v>
      </c>
      <c r="D745" t="s">
        <v>649</v>
      </c>
      <c r="E745" t="s">
        <v>49</v>
      </c>
      <c r="F745" t="s">
        <v>50</v>
      </c>
      <c r="G745" t="s">
        <v>51</v>
      </c>
      <c r="H745" s="17" t="s">
        <v>52</v>
      </c>
      <c r="I745" t="s">
        <v>53</v>
      </c>
      <c r="J745" t="s">
        <v>54</v>
      </c>
      <c r="K745">
        <v>1</v>
      </c>
      <c r="L745" t="s">
        <v>55</v>
      </c>
      <c r="M745" t="s">
        <v>56</v>
      </c>
      <c r="N745" t="s">
        <v>57</v>
      </c>
      <c r="O745" s="18" t="s">
        <v>58</v>
      </c>
      <c r="P745" s="18" t="s">
        <v>132</v>
      </c>
      <c r="Q745" s="17" t="s">
        <v>133</v>
      </c>
      <c r="R745" s="18" t="s">
        <v>134</v>
      </c>
      <c r="S745" s="32">
        <v>8650</v>
      </c>
      <c r="T745" s="19">
        <v>6900</v>
      </c>
      <c r="U745" s="17" t="s">
        <v>62</v>
      </c>
      <c r="V745" s="17">
        <v>45783</v>
      </c>
      <c r="W745" s="18">
        <v>5</v>
      </c>
      <c r="X745" s="17">
        <v>45784</v>
      </c>
      <c r="Y745" s="17">
        <v>45939</v>
      </c>
      <c r="Z745" s="45">
        <v>10</v>
      </c>
      <c r="AA745">
        <v>2025</v>
      </c>
      <c r="AB745" s="42">
        <v>48388100</v>
      </c>
      <c r="AC745" s="42">
        <v>38598600</v>
      </c>
    </row>
    <row r="746" spans="1:29">
      <c r="A746" t="s">
        <v>45</v>
      </c>
      <c r="B746" t="s">
        <v>46</v>
      </c>
      <c r="C746" t="s">
        <v>47</v>
      </c>
      <c r="D746" t="s">
        <v>649</v>
      </c>
      <c r="E746" t="s">
        <v>49</v>
      </c>
      <c r="F746" t="s">
        <v>63</v>
      </c>
      <c r="G746" t="s">
        <v>51</v>
      </c>
      <c r="H746" s="17" t="s">
        <v>52</v>
      </c>
      <c r="I746" t="s">
        <v>53</v>
      </c>
      <c r="J746" t="s">
        <v>54</v>
      </c>
      <c r="K746">
        <v>1</v>
      </c>
      <c r="L746" t="s">
        <v>55</v>
      </c>
      <c r="M746" t="s">
        <v>56</v>
      </c>
      <c r="N746" t="s">
        <v>57</v>
      </c>
      <c r="O746" s="18" t="s">
        <v>58</v>
      </c>
      <c r="P746" s="18" t="s">
        <v>99</v>
      </c>
      <c r="Q746" s="17" t="s">
        <v>100</v>
      </c>
      <c r="R746" s="18" t="s">
        <v>101</v>
      </c>
      <c r="S746" s="32">
        <v>8650</v>
      </c>
      <c r="T746" s="19">
        <v>6800</v>
      </c>
      <c r="U746" s="17" t="s">
        <v>62</v>
      </c>
      <c r="V746" s="17">
        <v>45783</v>
      </c>
      <c r="W746" s="18">
        <v>5</v>
      </c>
      <c r="X746" s="17">
        <v>45784</v>
      </c>
      <c r="Y746" s="17">
        <v>45939</v>
      </c>
      <c r="Z746" s="45">
        <v>10</v>
      </c>
      <c r="AA746">
        <v>2025</v>
      </c>
      <c r="AB746" s="42">
        <v>1626200</v>
      </c>
      <c r="AC746" s="42">
        <v>1278400</v>
      </c>
    </row>
    <row r="747" spans="1:29">
      <c r="A747" t="s">
        <v>45</v>
      </c>
      <c r="B747" t="s">
        <v>46</v>
      </c>
      <c r="C747" t="s">
        <v>47</v>
      </c>
      <c r="D747" t="s">
        <v>650</v>
      </c>
      <c r="E747" t="s">
        <v>115</v>
      </c>
      <c r="F747" t="s">
        <v>50</v>
      </c>
      <c r="G747" t="s">
        <v>116</v>
      </c>
      <c r="H747" s="17" t="s">
        <v>52</v>
      </c>
      <c r="I747" t="s">
        <v>53</v>
      </c>
      <c r="J747" t="s">
        <v>110</v>
      </c>
      <c r="K747">
        <v>1</v>
      </c>
      <c r="L747" t="s">
        <v>55</v>
      </c>
      <c r="M747" t="s">
        <v>56</v>
      </c>
      <c r="N747" t="s">
        <v>57</v>
      </c>
      <c r="O747" s="18" t="s">
        <v>58</v>
      </c>
      <c r="P747" s="18" t="s">
        <v>72</v>
      </c>
      <c r="Q747" s="17" t="s">
        <v>122</v>
      </c>
      <c r="R747" s="18" t="s">
        <v>425</v>
      </c>
      <c r="S747" s="32">
        <v>4</v>
      </c>
      <c r="T747" s="19">
        <v>4</v>
      </c>
      <c r="U747" s="17" t="s">
        <v>119</v>
      </c>
      <c r="V747" s="17">
        <v>45982</v>
      </c>
      <c r="W747" s="18">
        <v>11</v>
      </c>
      <c r="X747" s="17">
        <v>45994</v>
      </c>
      <c r="Y747" s="17">
        <v>45987</v>
      </c>
      <c r="Z747" s="45">
        <v>11</v>
      </c>
      <c r="AA747">
        <v>2025</v>
      </c>
      <c r="AB747" s="42">
        <v>1405320</v>
      </c>
      <c r="AC747" s="42">
        <v>1405320</v>
      </c>
    </row>
    <row r="748" spans="1:29">
      <c r="A748" t="s">
        <v>45</v>
      </c>
      <c r="B748" t="s">
        <v>46</v>
      </c>
      <c r="C748" t="s">
        <v>47</v>
      </c>
      <c r="D748" t="s">
        <v>651</v>
      </c>
      <c r="E748" t="s">
        <v>115</v>
      </c>
      <c r="F748" t="s">
        <v>50</v>
      </c>
      <c r="G748" t="s">
        <v>116</v>
      </c>
      <c r="H748" s="17" t="s">
        <v>52</v>
      </c>
      <c r="I748" t="s">
        <v>53</v>
      </c>
      <c r="J748" t="s">
        <v>121</v>
      </c>
      <c r="K748">
        <v>1</v>
      </c>
      <c r="L748" t="s">
        <v>55</v>
      </c>
      <c r="M748" t="s">
        <v>56</v>
      </c>
      <c r="N748" t="s">
        <v>57</v>
      </c>
      <c r="O748" s="18" t="s">
        <v>58</v>
      </c>
      <c r="P748" s="18" t="s">
        <v>72</v>
      </c>
      <c r="Q748" s="17" t="s">
        <v>147</v>
      </c>
      <c r="R748" s="18" t="s">
        <v>148</v>
      </c>
      <c r="S748" s="32">
        <v>1</v>
      </c>
      <c r="T748" s="19">
        <v>1</v>
      </c>
      <c r="U748" s="17" t="s">
        <v>119</v>
      </c>
      <c r="V748" s="17">
        <v>45982</v>
      </c>
      <c r="W748" s="18">
        <v>11</v>
      </c>
      <c r="X748" s="17">
        <v>45994</v>
      </c>
      <c r="Y748" s="17">
        <v>45988</v>
      </c>
      <c r="Z748" s="45">
        <v>11</v>
      </c>
      <c r="AA748">
        <v>2025</v>
      </c>
      <c r="AB748" s="42">
        <v>418720</v>
      </c>
      <c r="AC748" s="42">
        <v>418720</v>
      </c>
    </row>
    <row r="749" spans="1:29">
      <c r="A749" t="s">
        <v>45</v>
      </c>
      <c r="B749" t="s">
        <v>46</v>
      </c>
      <c r="C749" t="s">
        <v>47</v>
      </c>
      <c r="D749" t="s">
        <v>651</v>
      </c>
      <c r="E749" t="s">
        <v>115</v>
      </c>
      <c r="F749" t="s">
        <v>63</v>
      </c>
      <c r="G749" t="s">
        <v>116</v>
      </c>
      <c r="H749" s="17" t="s">
        <v>52</v>
      </c>
      <c r="I749" t="s">
        <v>53</v>
      </c>
      <c r="J749" t="s">
        <v>121</v>
      </c>
      <c r="K749">
        <v>1</v>
      </c>
      <c r="L749" t="s">
        <v>55</v>
      </c>
      <c r="M749" t="s">
        <v>56</v>
      </c>
      <c r="N749" t="s">
        <v>57</v>
      </c>
      <c r="O749" s="18" t="s">
        <v>58</v>
      </c>
      <c r="P749" s="18" t="s">
        <v>72</v>
      </c>
      <c r="Q749" s="17" t="s">
        <v>145</v>
      </c>
      <c r="R749" s="18" t="s">
        <v>411</v>
      </c>
      <c r="S749" s="32">
        <v>1</v>
      </c>
      <c r="T749" s="19">
        <v>1</v>
      </c>
      <c r="U749" s="17" t="s">
        <v>119</v>
      </c>
      <c r="V749" s="17">
        <v>45982</v>
      </c>
      <c r="W749" s="18">
        <v>11</v>
      </c>
      <c r="X749" s="17">
        <v>45994</v>
      </c>
      <c r="Y749" s="17">
        <v>45988</v>
      </c>
      <c r="Z749" s="45">
        <v>11</v>
      </c>
      <c r="AA749">
        <v>2025</v>
      </c>
      <c r="AB749" s="42">
        <v>732480</v>
      </c>
      <c r="AC749" s="42">
        <v>732480</v>
      </c>
    </row>
    <row r="750" spans="1:29">
      <c r="A750" t="s">
        <v>45</v>
      </c>
      <c r="B750" t="s">
        <v>46</v>
      </c>
      <c r="C750" t="s">
        <v>47</v>
      </c>
      <c r="D750" t="s">
        <v>651</v>
      </c>
      <c r="E750" t="s">
        <v>115</v>
      </c>
      <c r="F750" t="s">
        <v>67</v>
      </c>
      <c r="G750" t="s">
        <v>116</v>
      </c>
      <c r="H750" s="17" t="s">
        <v>52</v>
      </c>
      <c r="I750" t="s">
        <v>53</v>
      </c>
      <c r="J750" t="s">
        <v>121</v>
      </c>
      <c r="K750">
        <v>1</v>
      </c>
      <c r="L750" t="s">
        <v>55</v>
      </c>
      <c r="M750" t="s">
        <v>56</v>
      </c>
      <c r="N750" t="s">
        <v>57</v>
      </c>
      <c r="O750" s="18" t="s">
        <v>58</v>
      </c>
      <c r="P750" s="18" t="s">
        <v>72</v>
      </c>
      <c r="Q750" s="17" t="s">
        <v>122</v>
      </c>
      <c r="R750" s="18" t="s">
        <v>425</v>
      </c>
      <c r="S750" s="32">
        <v>4</v>
      </c>
      <c r="T750" s="19">
        <v>4</v>
      </c>
      <c r="U750" s="17" t="s">
        <v>119</v>
      </c>
      <c r="V750" s="17">
        <v>45982</v>
      </c>
      <c r="W750" s="18">
        <v>11</v>
      </c>
      <c r="X750" s="17">
        <v>45994</v>
      </c>
      <c r="Y750" s="17">
        <v>45988</v>
      </c>
      <c r="Z750" s="45">
        <v>11</v>
      </c>
      <c r="AA750">
        <v>2025</v>
      </c>
      <c r="AB750" s="42">
        <v>1405320</v>
      </c>
      <c r="AC750" s="42">
        <v>1405320</v>
      </c>
    </row>
    <row r="751" spans="1:29">
      <c r="A751" t="s">
        <v>45</v>
      </c>
      <c r="B751" t="s">
        <v>46</v>
      </c>
      <c r="C751" t="s">
        <v>47</v>
      </c>
      <c r="D751" t="s">
        <v>652</v>
      </c>
      <c r="E751" t="s">
        <v>115</v>
      </c>
      <c r="F751" t="s">
        <v>50</v>
      </c>
      <c r="G751" t="s">
        <v>116</v>
      </c>
      <c r="H751" s="17" t="s">
        <v>52</v>
      </c>
      <c r="I751" t="s">
        <v>53</v>
      </c>
      <c r="J751" t="s">
        <v>125</v>
      </c>
      <c r="K751">
        <v>1</v>
      </c>
      <c r="L751" t="s">
        <v>55</v>
      </c>
      <c r="M751" t="s">
        <v>56</v>
      </c>
      <c r="N751" t="s">
        <v>57</v>
      </c>
      <c r="O751" s="18" t="s">
        <v>58</v>
      </c>
      <c r="P751" s="18" t="s">
        <v>72</v>
      </c>
      <c r="Q751" s="17" t="s">
        <v>122</v>
      </c>
      <c r="R751" s="18" t="s">
        <v>425</v>
      </c>
      <c r="S751" s="32">
        <v>4</v>
      </c>
      <c r="T751" s="19">
        <v>4</v>
      </c>
      <c r="U751" s="17" t="s">
        <v>119</v>
      </c>
      <c r="V751" s="17">
        <v>45982</v>
      </c>
      <c r="W751" s="18">
        <v>11</v>
      </c>
      <c r="X751" s="17">
        <v>45994</v>
      </c>
      <c r="Y751" s="17">
        <v>45989</v>
      </c>
      <c r="Z751" s="45">
        <v>11</v>
      </c>
      <c r="AA751">
        <v>2025</v>
      </c>
      <c r="AB751" s="42">
        <v>1405320</v>
      </c>
      <c r="AC751" s="42">
        <v>1405320</v>
      </c>
    </row>
    <row r="752" spans="1:29">
      <c r="A752" t="s">
        <v>45</v>
      </c>
      <c r="B752" t="s">
        <v>46</v>
      </c>
      <c r="C752" t="s">
        <v>47</v>
      </c>
      <c r="D752" t="s">
        <v>653</v>
      </c>
      <c r="E752" t="s">
        <v>49</v>
      </c>
      <c r="F752" t="s">
        <v>50</v>
      </c>
      <c r="G752" t="s">
        <v>51</v>
      </c>
      <c r="H752" s="17" t="s">
        <v>52</v>
      </c>
      <c r="I752" t="s">
        <v>53</v>
      </c>
      <c r="J752" t="s">
        <v>167</v>
      </c>
      <c r="K752">
        <v>1</v>
      </c>
      <c r="L752" t="s">
        <v>55</v>
      </c>
      <c r="M752" t="s">
        <v>56</v>
      </c>
      <c r="N752" t="s">
        <v>57</v>
      </c>
      <c r="O752" s="18" t="s">
        <v>58</v>
      </c>
      <c r="P752" s="18" t="s">
        <v>72</v>
      </c>
      <c r="Q752" s="17" t="s">
        <v>151</v>
      </c>
      <c r="R752" s="18" t="s">
        <v>152</v>
      </c>
      <c r="S752" s="32">
        <v>105</v>
      </c>
      <c r="T752" s="19">
        <v>105</v>
      </c>
      <c r="U752" s="17" t="s">
        <v>62</v>
      </c>
      <c r="V752" s="17">
        <v>45974</v>
      </c>
      <c r="W752" s="18">
        <v>11</v>
      </c>
      <c r="X752" s="17">
        <v>45974</v>
      </c>
      <c r="Y752" s="17">
        <v>45980</v>
      </c>
      <c r="Z752" s="45">
        <v>11</v>
      </c>
      <c r="AA752">
        <v>2025</v>
      </c>
      <c r="AB752" s="42">
        <v>3004575</v>
      </c>
      <c r="AC752" s="42">
        <v>3004575</v>
      </c>
    </row>
    <row r="753" spans="1:29">
      <c r="A753" t="s">
        <v>45</v>
      </c>
      <c r="B753" t="s">
        <v>46</v>
      </c>
      <c r="C753" t="s">
        <v>47</v>
      </c>
      <c r="D753" t="s">
        <v>654</v>
      </c>
      <c r="E753" t="s">
        <v>49</v>
      </c>
      <c r="F753" t="s">
        <v>50</v>
      </c>
      <c r="G753" t="s">
        <v>51</v>
      </c>
      <c r="H753" s="17" t="s">
        <v>52</v>
      </c>
      <c r="I753" t="s">
        <v>53</v>
      </c>
      <c r="J753" t="s">
        <v>382</v>
      </c>
      <c r="K753">
        <v>1</v>
      </c>
      <c r="L753" t="s">
        <v>55</v>
      </c>
      <c r="M753" t="s">
        <v>56</v>
      </c>
      <c r="N753" t="s">
        <v>57</v>
      </c>
      <c r="O753" s="18" t="s">
        <v>58</v>
      </c>
      <c r="P753" s="18" t="s">
        <v>72</v>
      </c>
      <c r="Q753" s="17" t="s">
        <v>193</v>
      </c>
      <c r="R753" s="18" t="s">
        <v>194</v>
      </c>
      <c r="S753" s="32">
        <v>480</v>
      </c>
      <c r="T753" s="19">
        <v>120</v>
      </c>
      <c r="U753" s="17" t="s">
        <v>62</v>
      </c>
      <c r="V753" s="17">
        <v>45973</v>
      </c>
      <c r="W753" s="18">
        <v>11</v>
      </c>
      <c r="X753" s="17">
        <v>45973</v>
      </c>
      <c r="Y753" s="17">
        <v>45978</v>
      </c>
      <c r="Z753" s="45">
        <v>11</v>
      </c>
      <c r="AA753">
        <v>2025</v>
      </c>
      <c r="AB753" s="42">
        <v>4669920</v>
      </c>
      <c r="AC753" s="42">
        <v>1167480</v>
      </c>
    </row>
    <row r="754" spans="1:29">
      <c r="A754" t="s">
        <v>45</v>
      </c>
      <c r="B754" t="s">
        <v>46</v>
      </c>
      <c r="C754" t="s">
        <v>47</v>
      </c>
      <c r="D754" t="s">
        <v>655</v>
      </c>
      <c r="E754" t="s">
        <v>49</v>
      </c>
      <c r="F754" t="s">
        <v>50</v>
      </c>
      <c r="G754" t="s">
        <v>51</v>
      </c>
      <c r="H754" s="17" t="s">
        <v>52</v>
      </c>
      <c r="I754" t="s">
        <v>53</v>
      </c>
      <c r="J754" t="s">
        <v>54</v>
      </c>
      <c r="K754">
        <v>1</v>
      </c>
      <c r="L754" t="s">
        <v>55</v>
      </c>
      <c r="M754" t="s">
        <v>56</v>
      </c>
      <c r="N754" t="s">
        <v>57</v>
      </c>
      <c r="O754" s="18" t="s">
        <v>58</v>
      </c>
      <c r="P754" s="18" t="s">
        <v>72</v>
      </c>
      <c r="Q754" s="17" t="s">
        <v>145</v>
      </c>
      <c r="R754" s="18" t="s">
        <v>411</v>
      </c>
      <c r="S754" s="32">
        <v>286</v>
      </c>
      <c r="T754" s="19">
        <v>286</v>
      </c>
      <c r="U754" s="17" t="s">
        <v>62</v>
      </c>
      <c r="V754" s="17">
        <v>45974</v>
      </c>
      <c r="W754" s="18">
        <v>11</v>
      </c>
      <c r="X754" s="17">
        <v>45975</v>
      </c>
      <c r="Y754" s="17">
        <v>45975</v>
      </c>
      <c r="Z754" s="45">
        <v>11</v>
      </c>
      <c r="AA754">
        <v>2025</v>
      </c>
      <c r="AB754" s="42">
        <v>2285140</v>
      </c>
      <c r="AC754" s="42">
        <v>2285140</v>
      </c>
    </row>
    <row r="755" spans="1:29">
      <c r="A755" t="s">
        <v>45</v>
      </c>
      <c r="B755" t="s">
        <v>46</v>
      </c>
      <c r="C755" t="s">
        <v>47</v>
      </c>
      <c r="D755" t="s">
        <v>655</v>
      </c>
      <c r="E755" t="s">
        <v>49</v>
      </c>
      <c r="F755" t="s">
        <v>63</v>
      </c>
      <c r="G755" t="s">
        <v>51</v>
      </c>
      <c r="H755" s="17" t="s">
        <v>52</v>
      </c>
      <c r="I755" t="s">
        <v>53</v>
      </c>
      <c r="J755" t="s">
        <v>54</v>
      </c>
      <c r="K755">
        <v>1</v>
      </c>
      <c r="L755" t="s">
        <v>55</v>
      </c>
      <c r="M755" t="s">
        <v>56</v>
      </c>
      <c r="N755" t="s">
        <v>57</v>
      </c>
      <c r="O755" s="18" t="s">
        <v>58</v>
      </c>
      <c r="P755" s="18" t="s">
        <v>99</v>
      </c>
      <c r="Q755" s="17" t="s">
        <v>100</v>
      </c>
      <c r="R755" s="18" t="s">
        <v>101</v>
      </c>
      <c r="S755" s="32">
        <v>286</v>
      </c>
      <c r="T755" s="19">
        <v>286</v>
      </c>
      <c r="U755" s="17" t="s">
        <v>62</v>
      </c>
      <c r="V755" s="17">
        <v>45974</v>
      </c>
      <c r="W755" s="18">
        <v>11</v>
      </c>
      <c r="X755" s="17">
        <v>45975</v>
      </c>
      <c r="Y755" s="17">
        <v>45975</v>
      </c>
      <c r="Z755" s="45">
        <v>11</v>
      </c>
      <c r="AA755">
        <v>2025</v>
      </c>
      <c r="AB755" s="42">
        <v>61490</v>
      </c>
      <c r="AC755" s="42">
        <v>61490</v>
      </c>
    </row>
    <row r="756" spans="1:29">
      <c r="A756" t="s">
        <v>45</v>
      </c>
      <c r="B756" t="s">
        <v>46</v>
      </c>
      <c r="C756" t="s">
        <v>47</v>
      </c>
      <c r="D756" t="s">
        <v>656</v>
      </c>
      <c r="E756" t="s">
        <v>115</v>
      </c>
      <c r="F756" t="s">
        <v>50</v>
      </c>
      <c r="G756" t="s">
        <v>116</v>
      </c>
      <c r="H756" s="17" t="s">
        <v>52</v>
      </c>
      <c r="I756" t="s">
        <v>53</v>
      </c>
      <c r="J756" t="s">
        <v>110</v>
      </c>
      <c r="K756">
        <v>1</v>
      </c>
      <c r="L756" t="s">
        <v>55</v>
      </c>
      <c r="M756" t="s">
        <v>56</v>
      </c>
      <c r="N756" t="s">
        <v>57</v>
      </c>
      <c r="O756" s="18" t="s">
        <v>58</v>
      </c>
      <c r="P756" s="18" t="s">
        <v>72</v>
      </c>
      <c r="Q756" s="17" t="s">
        <v>117</v>
      </c>
      <c r="R756" s="18" t="s">
        <v>393</v>
      </c>
      <c r="S756" s="32">
        <v>4</v>
      </c>
      <c r="T756" s="19">
        <v>4</v>
      </c>
      <c r="U756" s="17" t="s">
        <v>119</v>
      </c>
      <c r="V756" s="17">
        <v>45968</v>
      </c>
      <c r="W756" s="18">
        <v>11</v>
      </c>
      <c r="X756" s="17">
        <v>45980</v>
      </c>
      <c r="Y756" s="17">
        <v>45974</v>
      </c>
      <c r="Z756" s="45">
        <v>11</v>
      </c>
      <c r="AA756">
        <v>2025</v>
      </c>
      <c r="AB756" s="42">
        <v>1406000</v>
      </c>
      <c r="AC756" s="42">
        <v>1406000</v>
      </c>
    </row>
    <row r="757" spans="1:29">
      <c r="A757" t="s">
        <v>45</v>
      </c>
      <c r="B757" t="s">
        <v>46</v>
      </c>
      <c r="C757" t="s">
        <v>47</v>
      </c>
      <c r="D757" t="s">
        <v>657</v>
      </c>
      <c r="E757" t="s">
        <v>115</v>
      </c>
      <c r="F757" t="s">
        <v>50</v>
      </c>
      <c r="G757" t="s">
        <v>116</v>
      </c>
      <c r="H757" s="17" t="s">
        <v>52</v>
      </c>
      <c r="I757" t="s">
        <v>53</v>
      </c>
      <c r="J757" t="s">
        <v>190</v>
      </c>
      <c r="K757">
        <v>1</v>
      </c>
      <c r="L757" t="s">
        <v>55</v>
      </c>
      <c r="M757" t="s">
        <v>56</v>
      </c>
      <c r="N757" t="s">
        <v>57</v>
      </c>
      <c r="O757" s="18" t="s">
        <v>58</v>
      </c>
      <c r="P757" s="18" t="s">
        <v>72</v>
      </c>
      <c r="Q757" s="17" t="s">
        <v>122</v>
      </c>
      <c r="R757" s="18" t="s">
        <v>425</v>
      </c>
      <c r="S757" s="32">
        <v>4</v>
      </c>
      <c r="T757" s="19">
        <v>4</v>
      </c>
      <c r="U757" s="17" t="s">
        <v>119</v>
      </c>
      <c r="V757" s="17">
        <v>45968</v>
      </c>
      <c r="W757" s="18">
        <v>11</v>
      </c>
      <c r="X757" s="17">
        <v>45980</v>
      </c>
      <c r="Y757" s="17">
        <v>45975</v>
      </c>
      <c r="Z757" s="45">
        <v>11</v>
      </c>
      <c r="AA757">
        <v>2025</v>
      </c>
      <c r="AB757" s="42">
        <v>1405320</v>
      </c>
      <c r="AC757" s="42">
        <v>1405320</v>
      </c>
    </row>
    <row r="758" spans="1:29">
      <c r="A758" t="s">
        <v>45</v>
      </c>
      <c r="B758" t="s">
        <v>46</v>
      </c>
      <c r="C758" t="s">
        <v>47</v>
      </c>
      <c r="D758" t="s">
        <v>658</v>
      </c>
      <c r="E758" t="s">
        <v>115</v>
      </c>
      <c r="F758" t="s">
        <v>50</v>
      </c>
      <c r="G758" t="s">
        <v>116</v>
      </c>
      <c r="H758" s="17" t="s">
        <v>52</v>
      </c>
      <c r="I758" t="s">
        <v>53</v>
      </c>
      <c r="J758" t="s">
        <v>125</v>
      </c>
      <c r="K758">
        <v>1</v>
      </c>
      <c r="L758" t="s">
        <v>55</v>
      </c>
      <c r="M758" t="s">
        <v>56</v>
      </c>
      <c r="N758" t="s">
        <v>57</v>
      </c>
      <c r="O758" s="18" t="s">
        <v>58</v>
      </c>
      <c r="P758" s="18" t="s">
        <v>72</v>
      </c>
      <c r="Q758" s="17" t="s">
        <v>122</v>
      </c>
      <c r="R758" s="18" t="s">
        <v>425</v>
      </c>
      <c r="S758" s="32">
        <v>3</v>
      </c>
      <c r="T758" s="19">
        <v>3</v>
      </c>
      <c r="U758" s="17" t="s">
        <v>119</v>
      </c>
      <c r="V758" s="17">
        <v>45968</v>
      </c>
      <c r="W758" s="18">
        <v>11</v>
      </c>
      <c r="X758" s="17">
        <v>45980</v>
      </c>
      <c r="Y758" s="17">
        <v>45975</v>
      </c>
      <c r="Z758" s="45">
        <v>11</v>
      </c>
      <c r="AA758">
        <v>2025</v>
      </c>
      <c r="AB758" s="42">
        <v>1053990</v>
      </c>
      <c r="AC758" s="42">
        <v>1053990</v>
      </c>
    </row>
    <row r="759" spans="1:29">
      <c r="A759" t="s">
        <v>45</v>
      </c>
      <c r="B759" t="s">
        <v>46</v>
      </c>
      <c r="C759" t="s">
        <v>47</v>
      </c>
      <c r="D759" t="s">
        <v>658</v>
      </c>
      <c r="E759" t="s">
        <v>115</v>
      </c>
      <c r="F759" t="s">
        <v>63</v>
      </c>
      <c r="G759" t="s">
        <v>116</v>
      </c>
      <c r="H759" s="17" t="s">
        <v>52</v>
      </c>
      <c r="I759" t="s">
        <v>53</v>
      </c>
      <c r="J759" t="s">
        <v>125</v>
      </c>
      <c r="K759">
        <v>1</v>
      </c>
      <c r="L759" t="s">
        <v>55</v>
      </c>
      <c r="M759" t="s">
        <v>56</v>
      </c>
      <c r="N759" t="s">
        <v>57</v>
      </c>
      <c r="O759" s="18" t="s">
        <v>58</v>
      </c>
      <c r="P759" s="18" t="s">
        <v>72</v>
      </c>
      <c r="Q759" s="17" t="s">
        <v>117</v>
      </c>
      <c r="R759" s="18" t="s">
        <v>393</v>
      </c>
      <c r="S759" s="32">
        <v>3</v>
      </c>
      <c r="T759" s="19">
        <v>3</v>
      </c>
      <c r="U759" s="17" t="s">
        <v>119</v>
      </c>
      <c r="V759" s="17">
        <v>45968</v>
      </c>
      <c r="W759" s="18">
        <v>11</v>
      </c>
      <c r="X759" s="17">
        <v>45980</v>
      </c>
      <c r="Y759" s="17">
        <v>45975</v>
      </c>
      <c r="Z759" s="45">
        <v>11</v>
      </c>
      <c r="AA759">
        <v>2025</v>
      </c>
      <c r="AB759" s="42">
        <v>1054500</v>
      </c>
      <c r="AC759" s="42">
        <v>1054500</v>
      </c>
    </row>
    <row r="760" spans="1:29">
      <c r="A760" t="s">
        <v>45</v>
      </c>
      <c r="B760" t="s">
        <v>46</v>
      </c>
      <c r="C760" t="s">
        <v>47</v>
      </c>
      <c r="D760" t="s">
        <v>659</v>
      </c>
      <c r="E760" t="s">
        <v>115</v>
      </c>
      <c r="F760" t="s">
        <v>50</v>
      </c>
      <c r="G760" t="s">
        <v>116</v>
      </c>
      <c r="H760" s="17" t="s">
        <v>52</v>
      </c>
      <c r="I760" t="s">
        <v>53</v>
      </c>
      <c r="J760" t="s">
        <v>110</v>
      </c>
      <c r="K760">
        <v>1</v>
      </c>
      <c r="L760" t="s">
        <v>55</v>
      </c>
      <c r="M760" t="s">
        <v>56</v>
      </c>
      <c r="N760" t="s">
        <v>57</v>
      </c>
      <c r="O760" s="18" t="s">
        <v>58</v>
      </c>
      <c r="P760" s="18" t="s">
        <v>72</v>
      </c>
      <c r="Q760" s="17" t="s">
        <v>122</v>
      </c>
      <c r="R760" s="18" t="s">
        <v>425</v>
      </c>
      <c r="S760" s="32">
        <v>4</v>
      </c>
      <c r="T760" s="19">
        <v>4</v>
      </c>
      <c r="U760" s="17" t="s">
        <v>119</v>
      </c>
      <c r="V760" s="17">
        <v>45975</v>
      </c>
      <c r="W760" s="18">
        <v>11</v>
      </c>
      <c r="X760" s="17">
        <v>45987</v>
      </c>
      <c r="Y760" s="17">
        <v>45981</v>
      </c>
      <c r="Z760" s="45">
        <v>11</v>
      </c>
      <c r="AA760">
        <v>2025</v>
      </c>
      <c r="AB760" s="42">
        <v>1405320</v>
      </c>
      <c r="AC760" s="42">
        <v>1405320</v>
      </c>
    </row>
    <row r="761" spans="1:29">
      <c r="A761" t="s">
        <v>45</v>
      </c>
      <c r="B761" t="s">
        <v>46</v>
      </c>
      <c r="C761" t="s">
        <v>47</v>
      </c>
      <c r="D761" t="s">
        <v>660</v>
      </c>
      <c r="E761" t="s">
        <v>115</v>
      </c>
      <c r="F761" t="s">
        <v>50</v>
      </c>
      <c r="G761" t="s">
        <v>116</v>
      </c>
      <c r="H761" s="17" t="s">
        <v>52</v>
      </c>
      <c r="I761" t="s">
        <v>53</v>
      </c>
      <c r="J761" t="s">
        <v>125</v>
      </c>
      <c r="K761">
        <v>1</v>
      </c>
      <c r="L761" t="s">
        <v>55</v>
      </c>
      <c r="M761" t="s">
        <v>56</v>
      </c>
      <c r="N761" t="s">
        <v>57</v>
      </c>
      <c r="O761" s="18" t="s">
        <v>58</v>
      </c>
      <c r="P761" s="18" t="s">
        <v>72</v>
      </c>
      <c r="Q761" s="17" t="s">
        <v>122</v>
      </c>
      <c r="R761" s="18" t="s">
        <v>425</v>
      </c>
      <c r="S761" s="32">
        <v>4</v>
      </c>
      <c r="T761" s="19">
        <v>4</v>
      </c>
      <c r="U761" s="17" t="s">
        <v>119</v>
      </c>
      <c r="V761" s="17">
        <v>45975</v>
      </c>
      <c r="W761" s="18">
        <v>11</v>
      </c>
      <c r="X761" s="17">
        <v>45987</v>
      </c>
      <c r="Y761" s="17">
        <v>45980</v>
      </c>
      <c r="Z761" s="45">
        <v>11</v>
      </c>
      <c r="AA761">
        <v>2025</v>
      </c>
      <c r="AB761" s="42">
        <v>1405320</v>
      </c>
      <c r="AC761" s="42">
        <v>1405320</v>
      </c>
    </row>
    <row r="762" spans="1:29">
      <c r="A762" t="s">
        <v>45</v>
      </c>
      <c r="B762" t="s">
        <v>46</v>
      </c>
      <c r="C762" t="s">
        <v>47</v>
      </c>
      <c r="D762" t="s">
        <v>660</v>
      </c>
      <c r="E762" t="s">
        <v>115</v>
      </c>
      <c r="F762" t="s">
        <v>63</v>
      </c>
      <c r="G762" t="s">
        <v>116</v>
      </c>
      <c r="H762" s="17" t="s">
        <v>52</v>
      </c>
      <c r="I762" t="s">
        <v>53</v>
      </c>
      <c r="J762" t="s">
        <v>125</v>
      </c>
      <c r="K762">
        <v>1</v>
      </c>
      <c r="L762" t="s">
        <v>55</v>
      </c>
      <c r="M762" t="s">
        <v>56</v>
      </c>
      <c r="N762" t="s">
        <v>57</v>
      </c>
      <c r="O762" s="18" t="s">
        <v>58</v>
      </c>
      <c r="P762" s="18" t="s">
        <v>72</v>
      </c>
      <c r="Q762" s="17" t="s">
        <v>117</v>
      </c>
      <c r="R762" s="18" t="s">
        <v>393</v>
      </c>
      <c r="S762" s="32">
        <v>2</v>
      </c>
      <c r="T762" s="19">
        <v>2</v>
      </c>
      <c r="U762" s="17" t="s">
        <v>119</v>
      </c>
      <c r="V762" s="17">
        <v>45975</v>
      </c>
      <c r="W762" s="18">
        <v>11</v>
      </c>
      <c r="X762" s="17">
        <v>45987</v>
      </c>
      <c r="Y762" s="17">
        <v>45980</v>
      </c>
      <c r="Z762" s="45">
        <v>11</v>
      </c>
      <c r="AA762">
        <v>2025</v>
      </c>
      <c r="AB762" s="42">
        <v>703000</v>
      </c>
      <c r="AC762" s="42">
        <v>703000</v>
      </c>
    </row>
    <row r="763" spans="1:29">
      <c r="A763" t="s">
        <v>45</v>
      </c>
      <c r="B763" t="s">
        <v>46</v>
      </c>
      <c r="C763" t="s">
        <v>47</v>
      </c>
      <c r="D763" t="s">
        <v>661</v>
      </c>
      <c r="E763" t="s">
        <v>49</v>
      </c>
      <c r="F763" t="s">
        <v>50</v>
      </c>
      <c r="G763" t="s">
        <v>51</v>
      </c>
      <c r="H763" s="17" t="s">
        <v>52</v>
      </c>
      <c r="I763" t="s">
        <v>53</v>
      </c>
      <c r="J763" t="s">
        <v>54</v>
      </c>
      <c r="K763">
        <v>1</v>
      </c>
      <c r="L763" t="s">
        <v>55</v>
      </c>
      <c r="M763" t="s">
        <v>56</v>
      </c>
      <c r="N763" t="s">
        <v>57</v>
      </c>
      <c r="O763" s="18" t="s">
        <v>58</v>
      </c>
      <c r="P763" s="18" t="s">
        <v>86</v>
      </c>
      <c r="Q763" s="17" t="s">
        <v>289</v>
      </c>
      <c r="R763" s="18" t="s">
        <v>290</v>
      </c>
      <c r="S763" s="32">
        <v>270</v>
      </c>
      <c r="T763" s="19">
        <v>270</v>
      </c>
      <c r="U763" s="17" t="s">
        <v>62</v>
      </c>
      <c r="V763" s="17">
        <v>45966</v>
      </c>
      <c r="W763" s="18">
        <v>11</v>
      </c>
      <c r="X763" s="17">
        <v>45989</v>
      </c>
      <c r="Y763" s="17">
        <v>45972</v>
      </c>
      <c r="Z763" s="45">
        <v>11</v>
      </c>
      <c r="AA763">
        <v>2025</v>
      </c>
      <c r="AB763" s="42">
        <v>2975130</v>
      </c>
      <c r="AC763" s="42">
        <v>2975130</v>
      </c>
    </row>
    <row r="764" spans="1:29">
      <c r="A764" t="s">
        <v>45</v>
      </c>
      <c r="B764" t="s">
        <v>46</v>
      </c>
      <c r="C764" t="s">
        <v>47</v>
      </c>
      <c r="D764" t="s">
        <v>662</v>
      </c>
      <c r="E764" t="s">
        <v>49</v>
      </c>
      <c r="F764" t="s">
        <v>50</v>
      </c>
      <c r="G764" t="s">
        <v>51</v>
      </c>
      <c r="H764" s="17" t="s">
        <v>52</v>
      </c>
      <c r="I764" t="s">
        <v>53</v>
      </c>
      <c r="J764" t="s">
        <v>54</v>
      </c>
      <c r="K764">
        <v>1</v>
      </c>
      <c r="L764" t="s">
        <v>55</v>
      </c>
      <c r="M764" t="s">
        <v>56</v>
      </c>
      <c r="N764" t="s">
        <v>57</v>
      </c>
      <c r="O764" s="18" t="s">
        <v>58</v>
      </c>
      <c r="P764" s="18" t="s">
        <v>89</v>
      </c>
      <c r="Q764" s="17" t="s">
        <v>90</v>
      </c>
      <c r="R764" s="18" t="s">
        <v>91</v>
      </c>
      <c r="S764" s="32">
        <v>9</v>
      </c>
      <c r="T764" s="19">
        <v>9</v>
      </c>
      <c r="U764" s="17" t="s">
        <v>62</v>
      </c>
      <c r="V764" s="17">
        <v>45966</v>
      </c>
      <c r="W764" s="18">
        <v>11</v>
      </c>
      <c r="X764" s="17">
        <v>45989</v>
      </c>
      <c r="Y764" s="17">
        <v>45974</v>
      </c>
      <c r="Z764" s="45">
        <v>11</v>
      </c>
      <c r="AA764">
        <v>2025</v>
      </c>
      <c r="AB764" s="42">
        <v>1306593</v>
      </c>
      <c r="AC764" s="42">
        <v>1306593</v>
      </c>
    </row>
    <row r="765" spans="1:29">
      <c r="A765" t="s">
        <v>45</v>
      </c>
      <c r="B765" t="s">
        <v>46</v>
      </c>
      <c r="C765" t="s">
        <v>47</v>
      </c>
      <c r="D765" t="s">
        <v>663</v>
      </c>
      <c r="E765" t="s">
        <v>49</v>
      </c>
      <c r="F765" t="s">
        <v>50</v>
      </c>
      <c r="G765" t="s">
        <v>51</v>
      </c>
      <c r="H765" s="17" t="s">
        <v>52</v>
      </c>
      <c r="I765" t="s">
        <v>53</v>
      </c>
      <c r="J765" t="s">
        <v>54</v>
      </c>
      <c r="K765">
        <v>1</v>
      </c>
      <c r="L765" t="s">
        <v>55</v>
      </c>
      <c r="M765" t="s">
        <v>56</v>
      </c>
      <c r="N765" t="s">
        <v>57</v>
      </c>
      <c r="O765" s="18" t="s">
        <v>58</v>
      </c>
      <c r="P765" s="18" t="s">
        <v>59</v>
      </c>
      <c r="Q765" s="17" t="s">
        <v>60</v>
      </c>
      <c r="R765" s="18" t="s">
        <v>61</v>
      </c>
      <c r="S765" s="32">
        <v>84</v>
      </c>
      <c r="T765" s="19">
        <v>84</v>
      </c>
      <c r="U765" s="17" t="s">
        <v>62</v>
      </c>
      <c r="V765" s="17">
        <v>45971</v>
      </c>
      <c r="W765" s="18">
        <v>11</v>
      </c>
      <c r="X765" s="17">
        <v>45974</v>
      </c>
      <c r="Y765" s="17">
        <v>45979</v>
      </c>
      <c r="Z765" s="45">
        <v>11</v>
      </c>
      <c r="AA765">
        <v>2025</v>
      </c>
      <c r="AB765" s="42">
        <v>1416492</v>
      </c>
      <c r="AC765" s="42">
        <v>1416492</v>
      </c>
    </row>
    <row r="766" spans="1:29">
      <c r="A766" t="s">
        <v>45</v>
      </c>
      <c r="B766" t="s">
        <v>46</v>
      </c>
      <c r="C766" t="s">
        <v>47</v>
      </c>
      <c r="D766" t="s">
        <v>663</v>
      </c>
      <c r="E766" t="s">
        <v>49</v>
      </c>
      <c r="F766" t="s">
        <v>63</v>
      </c>
      <c r="G766" t="s">
        <v>51</v>
      </c>
      <c r="H766" s="17" t="s">
        <v>52</v>
      </c>
      <c r="I766" t="s">
        <v>53</v>
      </c>
      <c r="J766" t="s">
        <v>54</v>
      </c>
      <c r="K766">
        <v>1</v>
      </c>
      <c r="L766" t="s">
        <v>55</v>
      </c>
      <c r="M766" t="s">
        <v>56</v>
      </c>
      <c r="N766" t="s">
        <v>57</v>
      </c>
      <c r="O766" s="18" t="s">
        <v>58</v>
      </c>
      <c r="P766" s="18" t="s">
        <v>99</v>
      </c>
      <c r="Q766" s="17" t="s">
        <v>100</v>
      </c>
      <c r="R766" s="18" t="s">
        <v>101</v>
      </c>
      <c r="S766" s="32">
        <v>1</v>
      </c>
      <c r="T766" s="19">
        <v>1</v>
      </c>
      <c r="U766" s="17" t="s">
        <v>62</v>
      </c>
      <c r="V766" s="17">
        <v>45971</v>
      </c>
      <c r="W766" s="18">
        <v>11</v>
      </c>
      <c r="X766" s="17">
        <v>45974</v>
      </c>
      <c r="Y766" s="17">
        <v>45979</v>
      </c>
      <c r="Z766" s="45">
        <v>11</v>
      </c>
      <c r="AA766">
        <v>2025</v>
      </c>
      <c r="AB766" s="42">
        <v>58000</v>
      </c>
      <c r="AC766" s="42">
        <v>58000</v>
      </c>
    </row>
    <row r="767" spans="1:29">
      <c r="A767" t="s">
        <v>45</v>
      </c>
      <c r="B767" t="s">
        <v>46</v>
      </c>
      <c r="C767" t="s">
        <v>47</v>
      </c>
      <c r="D767" t="s">
        <v>664</v>
      </c>
      <c r="E767" t="s">
        <v>49</v>
      </c>
      <c r="F767" t="s">
        <v>50</v>
      </c>
      <c r="G767" t="s">
        <v>51</v>
      </c>
      <c r="H767" s="17" t="s">
        <v>52</v>
      </c>
      <c r="I767" t="s">
        <v>53</v>
      </c>
      <c r="J767" t="s">
        <v>54</v>
      </c>
      <c r="K767">
        <v>1</v>
      </c>
      <c r="L767" t="s">
        <v>55</v>
      </c>
      <c r="M767" t="s">
        <v>56</v>
      </c>
      <c r="N767" t="s">
        <v>57</v>
      </c>
      <c r="O767" s="18" t="s">
        <v>58</v>
      </c>
      <c r="P767" s="18" t="s">
        <v>172</v>
      </c>
      <c r="Q767" s="17" t="s">
        <v>173</v>
      </c>
      <c r="R767" s="18" t="s">
        <v>174</v>
      </c>
      <c r="S767" s="32">
        <v>20</v>
      </c>
      <c r="T767" s="19">
        <v>20</v>
      </c>
      <c r="U767" s="17" t="s">
        <v>62</v>
      </c>
      <c r="V767" s="17">
        <v>45971</v>
      </c>
      <c r="W767" s="18">
        <v>11</v>
      </c>
      <c r="X767" s="17">
        <v>45971</v>
      </c>
      <c r="Y767" s="17">
        <v>45971</v>
      </c>
      <c r="Z767" s="45">
        <v>11</v>
      </c>
      <c r="AA767">
        <v>2025</v>
      </c>
      <c r="AB767" s="42">
        <v>1150160</v>
      </c>
      <c r="AC767" s="42">
        <v>1150160</v>
      </c>
    </row>
    <row r="768" spans="1:29">
      <c r="A768" t="s">
        <v>45</v>
      </c>
      <c r="B768" t="s">
        <v>46</v>
      </c>
      <c r="C768" t="s">
        <v>47</v>
      </c>
      <c r="D768" t="s">
        <v>664</v>
      </c>
      <c r="E768" t="s">
        <v>49</v>
      </c>
      <c r="F768" t="s">
        <v>63</v>
      </c>
      <c r="G768" t="s">
        <v>51</v>
      </c>
      <c r="H768" s="17" t="s">
        <v>52</v>
      </c>
      <c r="I768" t="s">
        <v>53</v>
      </c>
      <c r="J768" t="s">
        <v>54</v>
      </c>
      <c r="K768">
        <v>1</v>
      </c>
      <c r="L768" t="s">
        <v>55</v>
      </c>
      <c r="M768" t="s">
        <v>56</v>
      </c>
      <c r="N768" t="s">
        <v>57</v>
      </c>
      <c r="O768" s="18" t="s">
        <v>58</v>
      </c>
      <c r="P768" s="18" t="s">
        <v>99</v>
      </c>
      <c r="Q768" s="17" t="s">
        <v>100</v>
      </c>
      <c r="R768" s="18" t="s">
        <v>101</v>
      </c>
      <c r="S768" s="32">
        <v>20</v>
      </c>
      <c r="T768" s="19">
        <v>20</v>
      </c>
      <c r="U768" s="17" t="s">
        <v>62</v>
      </c>
      <c r="V768" s="17">
        <v>45971</v>
      </c>
      <c r="W768" s="18">
        <v>11</v>
      </c>
      <c r="X768" s="17">
        <v>45971</v>
      </c>
      <c r="Y768" s="17">
        <v>45971</v>
      </c>
      <c r="Z768" s="45">
        <v>11</v>
      </c>
      <c r="AA768">
        <v>2025</v>
      </c>
      <c r="AB768" s="42">
        <v>3000</v>
      </c>
      <c r="AC768" s="42">
        <v>3000</v>
      </c>
    </row>
    <row r="769" spans="1:29">
      <c r="A769" t="s">
        <v>45</v>
      </c>
      <c r="B769" t="s">
        <v>46</v>
      </c>
      <c r="C769" t="s">
        <v>47</v>
      </c>
      <c r="D769" t="s">
        <v>665</v>
      </c>
      <c r="E769" t="s">
        <v>49</v>
      </c>
      <c r="F769" t="s">
        <v>50</v>
      </c>
      <c r="G769" t="s">
        <v>51</v>
      </c>
      <c r="H769" s="17" t="s">
        <v>52</v>
      </c>
      <c r="I769" t="s">
        <v>53</v>
      </c>
      <c r="J769" t="s">
        <v>224</v>
      </c>
      <c r="K769">
        <v>1</v>
      </c>
      <c r="L769" t="s">
        <v>55</v>
      </c>
      <c r="M769" t="s">
        <v>56</v>
      </c>
      <c r="N769" t="s">
        <v>57</v>
      </c>
      <c r="O769" s="18" t="s">
        <v>58</v>
      </c>
      <c r="P769" s="18" t="s">
        <v>72</v>
      </c>
      <c r="Q769" s="17" t="s">
        <v>221</v>
      </c>
      <c r="R769" s="18" t="s">
        <v>222</v>
      </c>
      <c r="S769" s="32">
        <v>760</v>
      </c>
      <c r="T769" s="19">
        <v>760</v>
      </c>
      <c r="U769" s="17" t="s">
        <v>62</v>
      </c>
      <c r="V769" s="17">
        <v>45972</v>
      </c>
      <c r="W769" s="18">
        <v>11</v>
      </c>
      <c r="X769" s="17">
        <v>46022</v>
      </c>
      <c r="Y769" s="17">
        <v>45982</v>
      </c>
      <c r="Z769" s="45">
        <v>11</v>
      </c>
      <c r="AA769">
        <v>2025</v>
      </c>
      <c r="AB769" s="42">
        <v>6821000</v>
      </c>
      <c r="AC769" s="42">
        <v>6821000</v>
      </c>
    </row>
    <row r="770" spans="1:29">
      <c r="A770" t="s">
        <v>45</v>
      </c>
      <c r="B770" t="s">
        <v>46</v>
      </c>
      <c r="C770" t="s">
        <v>47</v>
      </c>
      <c r="D770" t="s">
        <v>665</v>
      </c>
      <c r="E770" t="s">
        <v>49</v>
      </c>
      <c r="F770" t="s">
        <v>63</v>
      </c>
      <c r="G770" t="s">
        <v>51</v>
      </c>
      <c r="H770" s="17" t="s">
        <v>52</v>
      </c>
      <c r="I770" t="s">
        <v>53</v>
      </c>
      <c r="J770" t="s">
        <v>224</v>
      </c>
      <c r="K770">
        <v>1</v>
      </c>
      <c r="L770" t="s">
        <v>55</v>
      </c>
      <c r="M770" t="s">
        <v>56</v>
      </c>
      <c r="N770" t="s">
        <v>57</v>
      </c>
      <c r="O770" s="18" t="s">
        <v>58</v>
      </c>
      <c r="P770" s="18" t="s">
        <v>99</v>
      </c>
      <c r="Q770" s="17" t="s">
        <v>100</v>
      </c>
      <c r="R770" s="18" t="s">
        <v>101</v>
      </c>
      <c r="S770" s="32">
        <v>760</v>
      </c>
      <c r="T770" s="19">
        <v>760</v>
      </c>
      <c r="U770" s="17" t="s">
        <v>62</v>
      </c>
      <c r="V770" s="17">
        <v>45972</v>
      </c>
      <c r="W770" s="18">
        <v>11</v>
      </c>
      <c r="X770" s="17">
        <v>46022</v>
      </c>
      <c r="Y770" s="17">
        <v>45982</v>
      </c>
      <c r="Z770" s="45">
        <v>11</v>
      </c>
      <c r="AA770">
        <v>2025</v>
      </c>
      <c r="AB770" s="42">
        <v>131480</v>
      </c>
      <c r="AC770" s="42">
        <v>131480</v>
      </c>
    </row>
    <row r="771" spans="1:29">
      <c r="A771" t="s">
        <v>45</v>
      </c>
      <c r="B771" t="s">
        <v>46</v>
      </c>
      <c r="C771" t="s">
        <v>47</v>
      </c>
      <c r="D771" t="s">
        <v>666</v>
      </c>
      <c r="E771" t="s">
        <v>49</v>
      </c>
      <c r="F771" t="s">
        <v>50</v>
      </c>
      <c r="G771" t="s">
        <v>51</v>
      </c>
      <c r="H771" s="17" t="s">
        <v>52</v>
      </c>
      <c r="I771" t="s">
        <v>53</v>
      </c>
      <c r="J771" t="s">
        <v>224</v>
      </c>
      <c r="K771">
        <v>1</v>
      </c>
      <c r="L771" t="s">
        <v>55</v>
      </c>
      <c r="M771" t="s">
        <v>56</v>
      </c>
      <c r="N771" t="s">
        <v>57</v>
      </c>
      <c r="O771" s="18" t="s">
        <v>58</v>
      </c>
      <c r="P771" s="18" t="s">
        <v>72</v>
      </c>
      <c r="Q771" s="17" t="s">
        <v>151</v>
      </c>
      <c r="R771" s="18" t="s">
        <v>152</v>
      </c>
      <c r="S771" s="32">
        <v>5100</v>
      </c>
      <c r="T771" s="19">
        <v>3290</v>
      </c>
      <c r="U771" s="17" t="s">
        <v>62</v>
      </c>
      <c r="V771" s="17">
        <v>45973</v>
      </c>
      <c r="W771" s="18">
        <v>11</v>
      </c>
      <c r="X771" s="17">
        <v>46081</v>
      </c>
      <c r="Y771" s="17">
        <v>45985</v>
      </c>
      <c r="Z771" s="45">
        <v>11</v>
      </c>
      <c r="AA771">
        <v>2025</v>
      </c>
      <c r="AB771" s="42">
        <v>146308800</v>
      </c>
      <c r="AC771" s="42">
        <v>94383520</v>
      </c>
    </row>
    <row r="772" spans="1:29">
      <c r="A772" t="s">
        <v>45</v>
      </c>
      <c r="B772" t="s">
        <v>46</v>
      </c>
      <c r="C772" t="s">
        <v>47</v>
      </c>
      <c r="D772" t="s">
        <v>666</v>
      </c>
      <c r="E772" t="s">
        <v>49</v>
      </c>
      <c r="F772" t="s">
        <v>63</v>
      </c>
      <c r="G772" t="s">
        <v>51</v>
      </c>
      <c r="H772" s="17" t="s">
        <v>52</v>
      </c>
      <c r="I772" t="s">
        <v>53</v>
      </c>
      <c r="J772" t="s">
        <v>224</v>
      </c>
      <c r="K772">
        <v>1</v>
      </c>
      <c r="L772" t="s">
        <v>55</v>
      </c>
      <c r="M772" t="s">
        <v>56</v>
      </c>
      <c r="N772" t="s">
        <v>57</v>
      </c>
      <c r="O772" s="18" t="s">
        <v>58</v>
      </c>
      <c r="P772" s="18" t="s">
        <v>99</v>
      </c>
      <c r="Q772" s="17" t="s">
        <v>100</v>
      </c>
      <c r="R772" s="18" t="s">
        <v>101</v>
      </c>
      <c r="S772" s="32">
        <v>5100</v>
      </c>
      <c r="T772" s="19">
        <v>3290</v>
      </c>
      <c r="U772" s="17" t="s">
        <v>62</v>
      </c>
      <c r="V772" s="17">
        <v>45973</v>
      </c>
      <c r="W772" s="18">
        <v>11</v>
      </c>
      <c r="X772" s="17">
        <v>46081</v>
      </c>
      <c r="Y772" s="17">
        <v>45985</v>
      </c>
      <c r="Z772" s="45">
        <v>11</v>
      </c>
      <c r="AA772">
        <v>2025</v>
      </c>
      <c r="AB772" s="42">
        <v>938400</v>
      </c>
      <c r="AC772" s="42">
        <v>605360</v>
      </c>
    </row>
    <row r="773" spans="1:29">
      <c r="A773" t="s">
        <v>45</v>
      </c>
      <c r="B773" t="s">
        <v>46</v>
      </c>
      <c r="C773" t="s">
        <v>47</v>
      </c>
      <c r="D773" t="s">
        <v>332</v>
      </c>
      <c r="E773" t="s">
        <v>49</v>
      </c>
      <c r="F773" t="s">
        <v>71</v>
      </c>
      <c r="G773" t="s">
        <v>51</v>
      </c>
      <c r="H773" s="17" t="s">
        <v>52</v>
      </c>
      <c r="I773" t="s">
        <v>53</v>
      </c>
      <c r="J773" t="s">
        <v>54</v>
      </c>
      <c r="K773">
        <v>1</v>
      </c>
      <c r="L773" t="s">
        <v>55</v>
      </c>
      <c r="M773" t="s">
        <v>56</v>
      </c>
      <c r="N773" t="s">
        <v>57</v>
      </c>
      <c r="O773" s="18" t="s">
        <v>58</v>
      </c>
      <c r="P773" s="18" t="s">
        <v>99</v>
      </c>
      <c r="Q773" s="17" t="s">
        <v>100</v>
      </c>
      <c r="R773" s="18" t="s">
        <v>101</v>
      </c>
      <c r="S773" s="32">
        <v>1339</v>
      </c>
      <c r="T773" s="19">
        <v>1361</v>
      </c>
      <c r="U773" s="17" t="s">
        <v>62</v>
      </c>
      <c r="V773" s="17">
        <v>45776</v>
      </c>
      <c r="W773" s="18">
        <v>4</v>
      </c>
      <c r="X773" s="17">
        <v>45868</v>
      </c>
      <c r="Y773" s="17">
        <v>45978</v>
      </c>
      <c r="Z773" s="45">
        <v>11</v>
      </c>
      <c r="AA773">
        <v>2025</v>
      </c>
      <c r="AB773" s="42">
        <v>287885</v>
      </c>
      <c r="AC773" s="42">
        <v>292615</v>
      </c>
    </row>
    <row r="774" spans="1:29">
      <c r="A774" t="s">
        <v>45</v>
      </c>
      <c r="B774" t="s">
        <v>46</v>
      </c>
      <c r="C774" t="s">
        <v>47</v>
      </c>
      <c r="D774" t="s">
        <v>332</v>
      </c>
      <c r="E774" t="s">
        <v>49</v>
      </c>
      <c r="F774" t="s">
        <v>75</v>
      </c>
      <c r="G774" t="s">
        <v>51</v>
      </c>
      <c r="H774" s="17" t="s">
        <v>52</v>
      </c>
      <c r="I774" t="s">
        <v>53</v>
      </c>
      <c r="J774" t="s">
        <v>54</v>
      </c>
      <c r="K774">
        <v>1</v>
      </c>
      <c r="L774" t="s">
        <v>55</v>
      </c>
      <c r="M774" t="s">
        <v>56</v>
      </c>
      <c r="N774" t="s">
        <v>57</v>
      </c>
      <c r="O774" s="18" t="s">
        <v>58</v>
      </c>
      <c r="P774" s="18" t="s">
        <v>72</v>
      </c>
      <c r="Q774" s="17" t="s">
        <v>193</v>
      </c>
      <c r="R774" s="18" t="s">
        <v>194</v>
      </c>
      <c r="S774" s="32">
        <v>446</v>
      </c>
      <c r="T774" s="19">
        <v>446</v>
      </c>
      <c r="U774" s="17" t="s">
        <v>62</v>
      </c>
      <c r="V774" s="17">
        <v>45776</v>
      </c>
      <c r="W774" s="18">
        <v>4</v>
      </c>
      <c r="X774" s="17">
        <v>45868</v>
      </c>
      <c r="Y774" s="17">
        <v>45978</v>
      </c>
      <c r="Z774" s="45">
        <v>11</v>
      </c>
      <c r="AA774">
        <v>2025</v>
      </c>
      <c r="AB774" s="42">
        <v>3865482</v>
      </c>
      <c r="AC774" s="42">
        <v>3865482</v>
      </c>
    </row>
    <row r="775" spans="1:29">
      <c r="A775" t="s">
        <v>45</v>
      </c>
      <c r="B775" t="s">
        <v>46</v>
      </c>
      <c r="C775" t="s">
        <v>47</v>
      </c>
      <c r="D775" t="s">
        <v>332</v>
      </c>
      <c r="E775" t="s">
        <v>49</v>
      </c>
      <c r="F775" t="s">
        <v>79</v>
      </c>
      <c r="G775" t="s">
        <v>51</v>
      </c>
      <c r="H775" s="17" t="s">
        <v>52</v>
      </c>
      <c r="I775" t="s">
        <v>53</v>
      </c>
      <c r="J775" t="s">
        <v>54</v>
      </c>
      <c r="K775">
        <v>1</v>
      </c>
      <c r="L775" t="s">
        <v>55</v>
      </c>
      <c r="M775" t="s">
        <v>56</v>
      </c>
      <c r="N775" t="s">
        <v>57</v>
      </c>
      <c r="O775" s="18" t="s">
        <v>58</v>
      </c>
      <c r="P775" s="18" t="s">
        <v>99</v>
      </c>
      <c r="Q775" s="17" t="s">
        <v>100</v>
      </c>
      <c r="R775" s="18" t="s">
        <v>101</v>
      </c>
      <c r="S775" s="32">
        <v>446</v>
      </c>
      <c r="T775" s="19">
        <v>446</v>
      </c>
      <c r="U775" s="17" t="s">
        <v>62</v>
      </c>
      <c r="V775" s="17">
        <v>45776</v>
      </c>
      <c r="W775" s="18">
        <v>4</v>
      </c>
      <c r="X775" s="17">
        <v>45868</v>
      </c>
      <c r="Y775" s="17">
        <v>45978</v>
      </c>
      <c r="Z775" s="45">
        <v>11</v>
      </c>
      <c r="AA775">
        <v>2025</v>
      </c>
      <c r="AB775" s="42">
        <v>103026</v>
      </c>
      <c r="AC775" s="42">
        <v>103026</v>
      </c>
    </row>
    <row r="776" spans="1:29">
      <c r="A776" t="s">
        <v>45</v>
      </c>
      <c r="B776" t="s">
        <v>46</v>
      </c>
      <c r="C776" t="s">
        <v>47</v>
      </c>
      <c r="D776" t="s">
        <v>667</v>
      </c>
      <c r="E776" t="s">
        <v>49</v>
      </c>
      <c r="F776" t="s">
        <v>50</v>
      </c>
      <c r="G776" t="s">
        <v>51</v>
      </c>
      <c r="H776" s="17" t="s">
        <v>58</v>
      </c>
      <c r="I776" t="s">
        <v>53</v>
      </c>
      <c r="J776" t="s">
        <v>54</v>
      </c>
      <c r="K776">
        <v>1</v>
      </c>
      <c r="L776" t="s">
        <v>55</v>
      </c>
      <c r="M776" t="s">
        <v>56</v>
      </c>
      <c r="N776" t="s">
        <v>57</v>
      </c>
      <c r="O776" s="18" t="s">
        <v>58</v>
      </c>
      <c r="P776" s="18" t="s">
        <v>68</v>
      </c>
      <c r="Q776" s="17" t="s">
        <v>417</v>
      </c>
      <c r="R776" s="18" t="s">
        <v>418</v>
      </c>
      <c r="S776" s="32">
        <v>12</v>
      </c>
      <c r="T776" s="19">
        <v>0</v>
      </c>
      <c r="U776" s="17" t="s">
        <v>227</v>
      </c>
      <c r="V776" s="17">
        <v>45896</v>
      </c>
      <c r="W776" s="18">
        <v>8</v>
      </c>
      <c r="X776" s="17">
        <v>45989</v>
      </c>
      <c r="Z776" s="45">
        <v>11</v>
      </c>
      <c r="AA776">
        <v>2025</v>
      </c>
      <c r="AB776" s="42">
        <v>115656</v>
      </c>
      <c r="AC776" s="42">
        <v>0</v>
      </c>
    </row>
    <row r="777" spans="1:29">
      <c r="A777" t="s">
        <v>45</v>
      </c>
      <c r="B777" t="s">
        <v>46</v>
      </c>
      <c r="C777" t="s">
        <v>47</v>
      </c>
      <c r="D777" t="s">
        <v>628</v>
      </c>
      <c r="E777" t="s">
        <v>115</v>
      </c>
      <c r="F777" t="s">
        <v>50</v>
      </c>
      <c r="G777" t="s">
        <v>116</v>
      </c>
      <c r="H777" s="17" t="s">
        <v>52</v>
      </c>
      <c r="I777" t="s">
        <v>53</v>
      </c>
      <c r="J777" t="s">
        <v>125</v>
      </c>
      <c r="K777">
        <v>1</v>
      </c>
      <c r="L777" t="s">
        <v>55</v>
      </c>
      <c r="M777" t="s">
        <v>56</v>
      </c>
      <c r="N777" t="s">
        <v>57</v>
      </c>
      <c r="O777" s="18" t="s">
        <v>58</v>
      </c>
      <c r="P777" s="18" t="s">
        <v>72</v>
      </c>
      <c r="Q777" s="17" t="s">
        <v>122</v>
      </c>
      <c r="R777" s="18" t="s">
        <v>425</v>
      </c>
      <c r="S777" s="32">
        <v>6</v>
      </c>
      <c r="T777" s="19">
        <v>6</v>
      </c>
      <c r="U777" s="17" t="s">
        <v>119</v>
      </c>
      <c r="V777" s="17">
        <v>45953</v>
      </c>
      <c r="W777" s="18">
        <v>10</v>
      </c>
      <c r="X777" s="17">
        <v>45967</v>
      </c>
      <c r="Y777" s="17">
        <v>45966</v>
      </c>
      <c r="Z777" s="45">
        <v>11</v>
      </c>
      <c r="AA777">
        <v>2025</v>
      </c>
      <c r="AB777" s="42">
        <v>2107980</v>
      </c>
      <c r="AC777" s="42">
        <v>2107980</v>
      </c>
    </row>
    <row r="778" spans="1:29">
      <c r="A778" t="s">
        <v>45</v>
      </c>
      <c r="B778" t="s">
        <v>46</v>
      </c>
      <c r="C778" t="s">
        <v>47</v>
      </c>
      <c r="D778" t="s">
        <v>668</v>
      </c>
      <c r="E778" t="s">
        <v>49</v>
      </c>
      <c r="F778" t="s">
        <v>67</v>
      </c>
      <c r="G778" t="s">
        <v>51</v>
      </c>
      <c r="H778" s="17" t="s">
        <v>52</v>
      </c>
      <c r="I778" t="s">
        <v>53</v>
      </c>
      <c r="J778" t="s">
        <v>54</v>
      </c>
      <c r="K778">
        <v>1</v>
      </c>
      <c r="L778" t="s">
        <v>55</v>
      </c>
      <c r="M778" t="s">
        <v>56</v>
      </c>
      <c r="N778" t="s">
        <v>57</v>
      </c>
      <c r="O778" s="18" t="s">
        <v>58</v>
      </c>
      <c r="P778" s="18" t="s">
        <v>86</v>
      </c>
      <c r="Q778" s="17" t="s">
        <v>87</v>
      </c>
      <c r="R778" s="18" t="s">
        <v>88</v>
      </c>
      <c r="S778" s="32">
        <v>5</v>
      </c>
      <c r="T778" s="19">
        <v>5</v>
      </c>
      <c r="U778" s="17" t="s">
        <v>62</v>
      </c>
      <c r="V778" s="17">
        <v>45958</v>
      </c>
      <c r="W778" s="18">
        <v>10</v>
      </c>
      <c r="X778" s="17">
        <v>46112</v>
      </c>
      <c r="Y778" s="17">
        <v>45987</v>
      </c>
      <c r="Z778" s="45">
        <v>11</v>
      </c>
      <c r="AA778">
        <v>2025</v>
      </c>
      <c r="AB778" s="42">
        <v>153210</v>
      </c>
      <c r="AC778" s="42">
        <v>153210</v>
      </c>
    </row>
    <row r="779" spans="1:29">
      <c r="A779" t="s">
        <v>45</v>
      </c>
      <c r="B779" t="s">
        <v>46</v>
      </c>
      <c r="C779" t="s">
        <v>47</v>
      </c>
      <c r="D779" t="s">
        <v>668</v>
      </c>
      <c r="E779" t="s">
        <v>49</v>
      </c>
      <c r="F779" t="s">
        <v>71</v>
      </c>
      <c r="G779" t="s">
        <v>51</v>
      </c>
      <c r="H779" s="17" t="s">
        <v>52</v>
      </c>
      <c r="I779" t="s">
        <v>53</v>
      </c>
      <c r="J779" t="s">
        <v>54</v>
      </c>
      <c r="K779">
        <v>1</v>
      </c>
      <c r="L779" t="s">
        <v>55</v>
      </c>
      <c r="M779" t="s">
        <v>56</v>
      </c>
      <c r="N779" t="s">
        <v>57</v>
      </c>
      <c r="O779" s="18" t="s">
        <v>58</v>
      </c>
      <c r="P779" s="18" t="s">
        <v>99</v>
      </c>
      <c r="Q779" s="17" t="s">
        <v>100</v>
      </c>
      <c r="R779" s="18" t="s">
        <v>101</v>
      </c>
      <c r="S779" s="32">
        <v>5</v>
      </c>
      <c r="T779" s="19">
        <v>5</v>
      </c>
      <c r="U779" s="17" t="s">
        <v>62</v>
      </c>
      <c r="V779" s="17">
        <v>45958</v>
      </c>
      <c r="W779" s="18">
        <v>10</v>
      </c>
      <c r="X779" s="17">
        <v>46112</v>
      </c>
      <c r="Y779" s="17">
        <v>45987</v>
      </c>
      <c r="Z779" s="45">
        <v>11</v>
      </c>
      <c r="AA779">
        <v>2025</v>
      </c>
      <c r="AB779" s="42">
        <v>1730</v>
      </c>
      <c r="AC779" s="42">
        <v>1730</v>
      </c>
    </row>
    <row r="780" spans="1:29">
      <c r="A780" t="s">
        <v>45</v>
      </c>
      <c r="B780" t="s">
        <v>46</v>
      </c>
      <c r="C780" t="s">
        <v>47</v>
      </c>
      <c r="D780" t="s">
        <v>668</v>
      </c>
      <c r="E780" t="s">
        <v>49</v>
      </c>
      <c r="F780" t="s">
        <v>75</v>
      </c>
      <c r="G780" t="s">
        <v>51</v>
      </c>
      <c r="H780" s="17" t="s">
        <v>52</v>
      </c>
      <c r="I780" t="s">
        <v>53</v>
      </c>
      <c r="J780" t="s">
        <v>54</v>
      </c>
      <c r="K780">
        <v>1</v>
      </c>
      <c r="L780" t="s">
        <v>55</v>
      </c>
      <c r="M780" t="s">
        <v>56</v>
      </c>
      <c r="N780" t="s">
        <v>57</v>
      </c>
      <c r="O780" s="18" t="s">
        <v>58</v>
      </c>
      <c r="P780" s="18" t="s">
        <v>72</v>
      </c>
      <c r="Q780" s="17" t="s">
        <v>73</v>
      </c>
      <c r="R780" s="18" t="s">
        <v>74</v>
      </c>
      <c r="S780" s="32">
        <v>165</v>
      </c>
      <c r="T780" s="19">
        <v>165</v>
      </c>
      <c r="U780" s="17" t="s">
        <v>62</v>
      </c>
      <c r="V780" s="17">
        <v>45958</v>
      </c>
      <c r="W780" s="18">
        <v>10</v>
      </c>
      <c r="X780" s="17">
        <v>46112</v>
      </c>
      <c r="Y780" s="17">
        <v>45987</v>
      </c>
      <c r="Z780" s="45">
        <v>11</v>
      </c>
      <c r="AA780">
        <v>2025</v>
      </c>
      <c r="AB780" s="42">
        <v>2511630</v>
      </c>
      <c r="AC780" s="42">
        <v>2511630</v>
      </c>
    </row>
    <row r="781" spans="1:29">
      <c r="A781" t="s">
        <v>45</v>
      </c>
      <c r="B781" t="s">
        <v>46</v>
      </c>
      <c r="C781" t="s">
        <v>47</v>
      </c>
      <c r="D781" t="s">
        <v>668</v>
      </c>
      <c r="E781" t="s">
        <v>49</v>
      </c>
      <c r="F781" t="s">
        <v>79</v>
      </c>
      <c r="G781" t="s">
        <v>51</v>
      </c>
      <c r="H781" s="17" t="s">
        <v>52</v>
      </c>
      <c r="I781" t="s">
        <v>53</v>
      </c>
      <c r="J781" t="s">
        <v>54</v>
      </c>
      <c r="K781">
        <v>1</v>
      </c>
      <c r="L781" t="s">
        <v>55</v>
      </c>
      <c r="M781" t="s">
        <v>56</v>
      </c>
      <c r="N781" t="s">
        <v>57</v>
      </c>
      <c r="O781" s="18" t="s">
        <v>58</v>
      </c>
      <c r="P781" s="18" t="s">
        <v>99</v>
      </c>
      <c r="Q781" s="17" t="s">
        <v>100</v>
      </c>
      <c r="R781" s="18" t="s">
        <v>101</v>
      </c>
      <c r="S781" s="32">
        <v>165</v>
      </c>
      <c r="T781" s="19">
        <v>165</v>
      </c>
      <c r="U781" s="17" t="s">
        <v>62</v>
      </c>
      <c r="V781" s="17">
        <v>45958</v>
      </c>
      <c r="W781" s="18">
        <v>10</v>
      </c>
      <c r="X781" s="17">
        <v>46112</v>
      </c>
      <c r="Y781" s="17">
        <v>45987</v>
      </c>
      <c r="Z781" s="45">
        <v>11</v>
      </c>
      <c r="AA781">
        <v>2025</v>
      </c>
      <c r="AB781" s="42">
        <v>37455</v>
      </c>
      <c r="AC781" s="42">
        <v>37455</v>
      </c>
    </row>
    <row r="782" spans="1:29">
      <c r="A782" t="s">
        <v>45</v>
      </c>
      <c r="B782" t="s">
        <v>46</v>
      </c>
      <c r="C782" t="s">
        <v>47</v>
      </c>
      <c r="D782" t="s">
        <v>668</v>
      </c>
      <c r="E782" t="s">
        <v>49</v>
      </c>
      <c r="F782" t="s">
        <v>98</v>
      </c>
      <c r="G782" t="s">
        <v>51</v>
      </c>
      <c r="H782" s="17" t="s">
        <v>52</v>
      </c>
      <c r="I782" t="s">
        <v>53</v>
      </c>
      <c r="J782" t="s">
        <v>54</v>
      </c>
      <c r="K782">
        <v>1</v>
      </c>
      <c r="L782" t="s">
        <v>55</v>
      </c>
      <c r="M782" t="s">
        <v>56</v>
      </c>
      <c r="N782" t="s">
        <v>57</v>
      </c>
      <c r="O782" s="18" t="s">
        <v>58</v>
      </c>
      <c r="P782" s="18" t="s">
        <v>72</v>
      </c>
      <c r="Q782" s="17" t="s">
        <v>247</v>
      </c>
      <c r="R782" s="18" t="s">
        <v>570</v>
      </c>
      <c r="S782" s="32">
        <v>212</v>
      </c>
      <c r="T782" s="19">
        <v>212</v>
      </c>
      <c r="U782" s="17" t="s">
        <v>62</v>
      </c>
      <c r="V782" s="17">
        <v>45958</v>
      </c>
      <c r="W782" s="18">
        <v>10</v>
      </c>
      <c r="X782" s="17">
        <v>46112</v>
      </c>
      <c r="Y782" s="17">
        <v>45987</v>
      </c>
      <c r="Z782" s="45">
        <v>11</v>
      </c>
      <c r="AA782">
        <v>2025</v>
      </c>
      <c r="AB782" s="42">
        <v>1297016</v>
      </c>
      <c r="AC782" s="42">
        <v>1297016</v>
      </c>
    </row>
    <row r="783" spans="1:29">
      <c r="A783" t="s">
        <v>45</v>
      </c>
      <c r="B783" t="s">
        <v>46</v>
      </c>
      <c r="C783" t="s">
        <v>47</v>
      </c>
      <c r="D783" t="s">
        <v>668</v>
      </c>
      <c r="E783" t="s">
        <v>49</v>
      </c>
      <c r="F783" t="s">
        <v>455</v>
      </c>
      <c r="G783" t="s">
        <v>51</v>
      </c>
      <c r="H783" s="17" t="s">
        <v>52</v>
      </c>
      <c r="I783" t="s">
        <v>53</v>
      </c>
      <c r="J783" t="s">
        <v>54</v>
      </c>
      <c r="K783">
        <v>1</v>
      </c>
      <c r="L783" t="s">
        <v>55</v>
      </c>
      <c r="M783" t="s">
        <v>56</v>
      </c>
      <c r="N783" t="s">
        <v>57</v>
      </c>
      <c r="O783" s="18" t="s">
        <v>58</v>
      </c>
      <c r="P783" s="18" t="s">
        <v>72</v>
      </c>
      <c r="Q783" s="17" t="s">
        <v>513</v>
      </c>
      <c r="R783" s="18" t="s">
        <v>514</v>
      </c>
      <c r="S783" s="32">
        <v>140</v>
      </c>
      <c r="T783" s="19">
        <v>140</v>
      </c>
      <c r="U783" s="17" t="s">
        <v>62</v>
      </c>
      <c r="V783" s="17">
        <v>45958</v>
      </c>
      <c r="W783" s="18">
        <v>10</v>
      </c>
      <c r="X783" s="17">
        <v>46112</v>
      </c>
      <c r="Y783" s="17">
        <v>45987</v>
      </c>
      <c r="Z783" s="45">
        <v>11</v>
      </c>
      <c r="AA783">
        <v>2025</v>
      </c>
      <c r="AB783" s="42">
        <v>689220</v>
      </c>
      <c r="AC783" s="42">
        <v>689220</v>
      </c>
    </row>
    <row r="784" spans="1:29">
      <c r="A784" t="s">
        <v>45</v>
      </c>
      <c r="B784" t="s">
        <v>46</v>
      </c>
      <c r="C784" t="s">
        <v>47</v>
      </c>
      <c r="D784" t="s">
        <v>668</v>
      </c>
      <c r="E784" t="s">
        <v>49</v>
      </c>
      <c r="F784" t="s">
        <v>456</v>
      </c>
      <c r="G784" t="s">
        <v>51</v>
      </c>
      <c r="H784" s="17" t="s">
        <v>52</v>
      </c>
      <c r="I784" t="s">
        <v>53</v>
      </c>
      <c r="J784" t="s">
        <v>54</v>
      </c>
      <c r="K784">
        <v>1</v>
      </c>
      <c r="L784" t="s">
        <v>55</v>
      </c>
      <c r="M784" t="s">
        <v>56</v>
      </c>
      <c r="N784" t="s">
        <v>57</v>
      </c>
      <c r="O784" s="18" t="s">
        <v>58</v>
      </c>
      <c r="P784" s="18" t="s">
        <v>99</v>
      </c>
      <c r="Q784" s="17" t="s">
        <v>100</v>
      </c>
      <c r="R784" s="18" t="s">
        <v>101</v>
      </c>
      <c r="S784" s="32">
        <v>140</v>
      </c>
      <c r="T784" s="19">
        <v>140</v>
      </c>
      <c r="U784" s="17" t="s">
        <v>62</v>
      </c>
      <c r="V784" s="17">
        <v>45958</v>
      </c>
      <c r="W784" s="18">
        <v>10</v>
      </c>
      <c r="X784" s="17">
        <v>46112</v>
      </c>
      <c r="Y784" s="17">
        <v>45987</v>
      </c>
      <c r="Z784" s="45">
        <v>11</v>
      </c>
      <c r="AA784">
        <v>2025</v>
      </c>
      <c r="AB784" s="42">
        <v>25480</v>
      </c>
      <c r="AC784" s="42">
        <v>25480</v>
      </c>
    </row>
    <row r="785" spans="1:29">
      <c r="A785" t="s">
        <v>45</v>
      </c>
      <c r="B785" t="s">
        <v>46</v>
      </c>
      <c r="C785" t="s">
        <v>47</v>
      </c>
      <c r="D785" t="s">
        <v>668</v>
      </c>
      <c r="E785" t="s">
        <v>49</v>
      </c>
      <c r="F785" t="s">
        <v>440</v>
      </c>
      <c r="G785" t="s">
        <v>51</v>
      </c>
      <c r="H785" s="17" t="s">
        <v>52</v>
      </c>
      <c r="I785" t="s">
        <v>53</v>
      </c>
      <c r="J785" t="s">
        <v>54</v>
      </c>
      <c r="K785">
        <v>1</v>
      </c>
      <c r="L785" t="s">
        <v>55</v>
      </c>
      <c r="M785" t="s">
        <v>56</v>
      </c>
      <c r="N785" t="s">
        <v>57</v>
      </c>
      <c r="O785" s="18" t="s">
        <v>58</v>
      </c>
      <c r="P785" s="18" t="s">
        <v>99</v>
      </c>
      <c r="Q785" s="17" t="s">
        <v>100</v>
      </c>
      <c r="R785" s="18" t="s">
        <v>101</v>
      </c>
      <c r="S785" s="32">
        <v>385</v>
      </c>
      <c r="T785" s="19">
        <v>385</v>
      </c>
      <c r="U785" s="17" t="s">
        <v>62</v>
      </c>
      <c r="V785" s="17">
        <v>45958</v>
      </c>
      <c r="W785" s="18">
        <v>10</v>
      </c>
      <c r="X785" s="17">
        <v>46112</v>
      </c>
      <c r="Y785" s="17">
        <v>45989</v>
      </c>
      <c r="Z785" s="45">
        <v>11</v>
      </c>
      <c r="AA785">
        <v>2025</v>
      </c>
      <c r="AB785" s="42">
        <v>88935</v>
      </c>
      <c r="AC785" s="42">
        <v>88935</v>
      </c>
    </row>
    <row r="786" spans="1:29">
      <c r="A786" t="s">
        <v>45</v>
      </c>
      <c r="B786" t="s">
        <v>46</v>
      </c>
      <c r="C786" t="s">
        <v>47</v>
      </c>
      <c r="D786" t="s">
        <v>669</v>
      </c>
      <c r="E786" t="s">
        <v>49</v>
      </c>
      <c r="F786" t="s">
        <v>50</v>
      </c>
      <c r="G786" t="s">
        <v>51</v>
      </c>
      <c r="H786" s="17" t="s">
        <v>52</v>
      </c>
      <c r="I786" t="s">
        <v>53</v>
      </c>
      <c r="J786" t="s">
        <v>54</v>
      </c>
      <c r="K786">
        <v>1</v>
      </c>
      <c r="L786" t="s">
        <v>55</v>
      </c>
      <c r="M786" t="s">
        <v>56</v>
      </c>
      <c r="N786" t="s">
        <v>57</v>
      </c>
      <c r="O786" s="18" t="s">
        <v>58</v>
      </c>
      <c r="P786" s="18" t="s">
        <v>86</v>
      </c>
      <c r="Q786" s="17" t="s">
        <v>295</v>
      </c>
      <c r="R786" s="18" t="s">
        <v>296</v>
      </c>
      <c r="S786" s="32">
        <v>6</v>
      </c>
      <c r="T786" s="19">
        <v>6</v>
      </c>
      <c r="U786" s="17" t="s">
        <v>62</v>
      </c>
      <c r="V786" s="17">
        <v>45954</v>
      </c>
      <c r="W786" s="18">
        <v>10</v>
      </c>
      <c r="X786" s="17">
        <v>46022</v>
      </c>
      <c r="Y786" s="17">
        <v>45972</v>
      </c>
      <c r="Z786" s="45">
        <v>11</v>
      </c>
      <c r="AA786">
        <v>2025</v>
      </c>
      <c r="AB786" s="42">
        <v>421806</v>
      </c>
      <c r="AC786" s="42">
        <v>421806</v>
      </c>
    </row>
    <row r="787" spans="1:29">
      <c r="A787" t="s">
        <v>45</v>
      </c>
      <c r="B787" t="s">
        <v>46</v>
      </c>
      <c r="C787" t="s">
        <v>47</v>
      </c>
      <c r="D787" t="s">
        <v>670</v>
      </c>
      <c r="E787" t="s">
        <v>115</v>
      </c>
      <c r="F787" t="s">
        <v>50</v>
      </c>
      <c r="G787" t="s">
        <v>116</v>
      </c>
      <c r="H787" s="17" t="s">
        <v>52</v>
      </c>
      <c r="I787" t="s">
        <v>53</v>
      </c>
      <c r="J787" t="s">
        <v>121</v>
      </c>
      <c r="K787">
        <v>1</v>
      </c>
      <c r="L787" t="s">
        <v>55</v>
      </c>
      <c r="M787" t="s">
        <v>56</v>
      </c>
      <c r="N787" t="s">
        <v>57</v>
      </c>
      <c r="O787" s="18" t="s">
        <v>58</v>
      </c>
      <c r="P787" s="18" t="s">
        <v>72</v>
      </c>
      <c r="Q787" s="17" t="s">
        <v>145</v>
      </c>
      <c r="R787" s="18" t="s">
        <v>411</v>
      </c>
      <c r="S787" s="32">
        <v>1</v>
      </c>
      <c r="T787" s="19">
        <v>1</v>
      </c>
      <c r="U787" s="17" t="s">
        <v>119</v>
      </c>
      <c r="V787" s="17">
        <v>45960</v>
      </c>
      <c r="W787" s="18">
        <v>10</v>
      </c>
      <c r="X787" s="17">
        <v>45973</v>
      </c>
      <c r="Y787" s="17">
        <v>45967</v>
      </c>
      <c r="Z787" s="45">
        <v>11</v>
      </c>
      <c r="AA787">
        <v>2025</v>
      </c>
      <c r="AB787" s="42">
        <v>732480</v>
      </c>
      <c r="AC787" s="42">
        <v>732480</v>
      </c>
    </row>
    <row r="788" spans="1:29">
      <c r="A788" t="s">
        <v>45</v>
      </c>
      <c r="B788" t="s">
        <v>46</v>
      </c>
      <c r="C788" t="s">
        <v>47</v>
      </c>
      <c r="D788" t="s">
        <v>670</v>
      </c>
      <c r="E788" t="s">
        <v>115</v>
      </c>
      <c r="F788" t="s">
        <v>63</v>
      </c>
      <c r="G788" t="s">
        <v>116</v>
      </c>
      <c r="H788" s="17" t="s">
        <v>52</v>
      </c>
      <c r="I788" t="s">
        <v>53</v>
      </c>
      <c r="J788" t="s">
        <v>121</v>
      </c>
      <c r="K788">
        <v>1</v>
      </c>
      <c r="L788" t="s">
        <v>55</v>
      </c>
      <c r="M788" t="s">
        <v>56</v>
      </c>
      <c r="N788" t="s">
        <v>57</v>
      </c>
      <c r="O788" s="18" t="s">
        <v>58</v>
      </c>
      <c r="P788" s="18" t="s">
        <v>72</v>
      </c>
      <c r="Q788" s="17" t="s">
        <v>117</v>
      </c>
      <c r="R788" s="18" t="s">
        <v>393</v>
      </c>
      <c r="S788" s="32">
        <v>3</v>
      </c>
      <c r="T788" s="19">
        <v>3</v>
      </c>
      <c r="U788" s="17" t="s">
        <v>119</v>
      </c>
      <c r="V788" s="17">
        <v>45960</v>
      </c>
      <c r="W788" s="18">
        <v>10</v>
      </c>
      <c r="X788" s="17">
        <v>45973</v>
      </c>
      <c r="Y788" s="17">
        <v>45967</v>
      </c>
      <c r="Z788" s="45">
        <v>11</v>
      </c>
      <c r="AA788">
        <v>2025</v>
      </c>
      <c r="AB788" s="42">
        <v>1054500</v>
      </c>
      <c r="AC788" s="42">
        <v>1054500</v>
      </c>
    </row>
    <row r="789" spans="1:29">
      <c r="A789" t="s">
        <v>45</v>
      </c>
      <c r="B789" t="s">
        <v>46</v>
      </c>
      <c r="C789" t="s">
        <v>47</v>
      </c>
      <c r="D789" t="s">
        <v>671</v>
      </c>
      <c r="E789" t="s">
        <v>115</v>
      </c>
      <c r="F789" t="s">
        <v>50</v>
      </c>
      <c r="G789" t="s">
        <v>116</v>
      </c>
      <c r="H789" s="17" t="s">
        <v>52</v>
      </c>
      <c r="I789" t="s">
        <v>53</v>
      </c>
      <c r="J789" t="s">
        <v>190</v>
      </c>
      <c r="K789">
        <v>1</v>
      </c>
      <c r="L789" t="s">
        <v>55</v>
      </c>
      <c r="M789" t="s">
        <v>56</v>
      </c>
      <c r="N789" t="s">
        <v>57</v>
      </c>
      <c r="O789" s="18" t="s">
        <v>58</v>
      </c>
      <c r="P789" s="18" t="s">
        <v>72</v>
      </c>
      <c r="Q789" s="17" t="s">
        <v>122</v>
      </c>
      <c r="R789" s="18" t="s">
        <v>425</v>
      </c>
      <c r="S789" s="32">
        <v>2</v>
      </c>
      <c r="T789" s="19">
        <v>2</v>
      </c>
      <c r="U789" s="17" t="s">
        <v>119</v>
      </c>
      <c r="V789" s="17">
        <v>45960</v>
      </c>
      <c r="W789" s="18">
        <v>10</v>
      </c>
      <c r="X789" s="17">
        <v>45973</v>
      </c>
      <c r="Y789" s="17">
        <v>45966</v>
      </c>
      <c r="Z789" s="45">
        <v>11</v>
      </c>
      <c r="AA789">
        <v>2025</v>
      </c>
      <c r="AB789" s="42">
        <v>702660</v>
      </c>
      <c r="AC789" s="42">
        <v>702660</v>
      </c>
    </row>
    <row r="790" spans="1:29">
      <c r="A790" t="s">
        <v>45</v>
      </c>
      <c r="B790" t="s">
        <v>46</v>
      </c>
      <c r="C790" t="s">
        <v>47</v>
      </c>
      <c r="D790" t="s">
        <v>671</v>
      </c>
      <c r="E790" t="s">
        <v>115</v>
      </c>
      <c r="F790" t="s">
        <v>63</v>
      </c>
      <c r="G790" t="s">
        <v>116</v>
      </c>
      <c r="H790" s="17" t="s">
        <v>52</v>
      </c>
      <c r="I790" t="s">
        <v>53</v>
      </c>
      <c r="J790" t="s">
        <v>190</v>
      </c>
      <c r="K790">
        <v>1</v>
      </c>
      <c r="L790" t="s">
        <v>55</v>
      </c>
      <c r="M790" t="s">
        <v>56</v>
      </c>
      <c r="N790" t="s">
        <v>57</v>
      </c>
      <c r="O790" s="18" t="s">
        <v>58</v>
      </c>
      <c r="P790" s="18" t="s">
        <v>72</v>
      </c>
      <c r="Q790" s="17" t="s">
        <v>117</v>
      </c>
      <c r="R790" s="18" t="s">
        <v>393</v>
      </c>
      <c r="S790" s="32">
        <v>2</v>
      </c>
      <c r="T790" s="19">
        <v>2</v>
      </c>
      <c r="U790" s="17" t="s">
        <v>119</v>
      </c>
      <c r="V790" s="17">
        <v>45960</v>
      </c>
      <c r="W790" s="18">
        <v>10</v>
      </c>
      <c r="X790" s="17">
        <v>45973</v>
      </c>
      <c r="Y790" s="17">
        <v>45966</v>
      </c>
      <c r="Z790" s="45">
        <v>11</v>
      </c>
      <c r="AA790">
        <v>2025</v>
      </c>
      <c r="AB790" s="42">
        <v>703000</v>
      </c>
      <c r="AC790" s="42">
        <v>703000</v>
      </c>
    </row>
    <row r="791" spans="1:29">
      <c r="A791" t="s">
        <v>45</v>
      </c>
      <c r="B791" t="s">
        <v>46</v>
      </c>
      <c r="C791" t="s">
        <v>47</v>
      </c>
      <c r="D791" t="s">
        <v>672</v>
      </c>
      <c r="E791" t="s">
        <v>49</v>
      </c>
      <c r="F791" t="s">
        <v>50</v>
      </c>
      <c r="G791" t="s">
        <v>51</v>
      </c>
      <c r="H791" s="17" t="s">
        <v>52</v>
      </c>
      <c r="I791" t="s">
        <v>53</v>
      </c>
      <c r="J791" t="s">
        <v>54</v>
      </c>
      <c r="K791">
        <v>1</v>
      </c>
      <c r="L791" t="s">
        <v>55</v>
      </c>
      <c r="M791" t="s">
        <v>56</v>
      </c>
      <c r="N791" t="s">
        <v>57</v>
      </c>
      <c r="O791" s="18" t="s">
        <v>58</v>
      </c>
      <c r="P791" s="18" t="s">
        <v>86</v>
      </c>
      <c r="Q791" s="17" t="s">
        <v>341</v>
      </c>
      <c r="R791" s="18" t="s">
        <v>342</v>
      </c>
      <c r="S791" s="32">
        <v>150</v>
      </c>
      <c r="T791" s="19">
        <v>150</v>
      </c>
      <c r="U791" s="17" t="s">
        <v>62</v>
      </c>
      <c r="V791" s="17">
        <v>45943</v>
      </c>
      <c r="W791" s="18">
        <v>10</v>
      </c>
      <c r="X791" s="17">
        <v>46053</v>
      </c>
      <c r="Y791" s="17">
        <v>45986</v>
      </c>
      <c r="Z791" s="45">
        <v>11</v>
      </c>
      <c r="AA791">
        <v>2025</v>
      </c>
      <c r="AB791" s="42">
        <v>2430600</v>
      </c>
      <c r="AC791" s="42">
        <v>2430600</v>
      </c>
    </row>
    <row r="792" spans="1:29">
      <c r="A792" t="s">
        <v>45</v>
      </c>
      <c r="B792" t="s">
        <v>46</v>
      </c>
      <c r="C792" t="s">
        <v>47</v>
      </c>
      <c r="D792" t="s">
        <v>672</v>
      </c>
      <c r="E792" t="s">
        <v>49</v>
      </c>
      <c r="F792" t="s">
        <v>63</v>
      </c>
      <c r="G792" t="s">
        <v>51</v>
      </c>
      <c r="H792" s="17" t="s">
        <v>52</v>
      </c>
      <c r="I792" t="s">
        <v>53</v>
      </c>
      <c r="J792" t="s">
        <v>54</v>
      </c>
      <c r="K792">
        <v>1</v>
      </c>
      <c r="L792" t="s">
        <v>55</v>
      </c>
      <c r="M792" t="s">
        <v>56</v>
      </c>
      <c r="N792" t="s">
        <v>57</v>
      </c>
      <c r="O792" s="18" t="s">
        <v>58</v>
      </c>
      <c r="P792" s="18" t="s">
        <v>89</v>
      </c>
      <c r="Q792" s="17" t="s">
        <v>90</v>
      </c>
      <c r="R792" s="18" t="s">
        <v>91</v>
      </c>
      <c r="S792" s="32">
        <v>2</v>
      </c>
      <c r="T792" s="19">
        <v>2</v>
      </c>
      <c r="U792" s="17" t="s">
        <v>62</v>
      </c>
      <c r="V792" s="17">
        <v>45943</v>
      </c>
      <c r="W792" s="18">
        <v>10</v>
      </c>
      <c r="X792" s="17">
        <v>46053</v>
      </c>
      <c r="Y792" s="17">
        <v>45986</v>
      </c>
      <c r="Z792" s="45">
        <v>11</v>
      </c>
      <c r="AA792">
        <v>2025</v>
      </c>
      <c r="AB792" s="42">
        <v>290354</v>
      </c>
      <c r="AC792" s="42">
        <v>290354</v>
      </c>
    </row>
    <row r="793" spans="1:29">
      <c r="A793" t="s">
        <v>45</v>
      </c>
      <c r="B793" t="s">
        <v>46</v>
      </c>
      <c r="C793" t="s">
        <v>47</v>
      </c>
      <c r="D793" t="s">
        <v>668</v>
      </c>
      <c r="E793" t="s">
        <v>49</v>
      </c>
      <c r="F793" t="s">
        <v>50</v>
      </c>
      <c r="G793" t="s">
        <v>51</v>
      </c>
      <c r="H793" s="17" t="s">
        <v>52</v>
      </c>
      <c r="I793" t="s">
        <v>53</v>
      </c>
      <c r="J793" t="s">
        <v>54</v>
      </c>
      <c r="K793">
        <v>1</v>
      </c>
      <c r="L793" t="s">
        <v>55</v>
      </c>
      <c r="M793" t="s">
        <v>56</v>
      </c>
      <c r="N793" t="s">
        <v>57</v>
      </c>
      <c r="O793" s="18" t="s">
        <v>58</v>
      </c>
      <c r="P793" s="18" t="s">
        <v>132</v>
      </c>
      <c r="Q793" s="17" t="s">
        <v>291</v>
      </c>
      <c r="R793" s="18" t="s">
        <v>292</v>
      </c>
      <c r="S793" s="32">
        <v>180</v>
      </c>
      <c r="T793" s="19">
        <v>112</v>
      </c>
      <c r="U793" s="17" t="s">
        <v>62</v>
      </c>
      <c r="V793" s="17">
        <v>45958</v>
      </c>
      <c r="W793" s="18">
        <v>10</v>
      </c>
      <c r="X793" s="17">
        <v>46112</v>
      </c>
      <c r="Y793" s="17">
        <v>46001</v>
      </c>
      <c r="Z793" s="45">
        <v>12</v>
      </c>
      <c r="AA793">
        <v>2025</v>
      </c>
      <c r="AB793" s="42">
        <v>1654920</v>
      </c>
      <c r="AC793" s="42">
        <v>1029728</v>
      </c>
    </row>
    <row r="794" spans="1:29">
      <c r="A794" t="s">
        <v>45</v>
      </c>
      <c r="B794" t="s">
        <v>46</v>
      </c>
      <c r="C794" t="s">
        <v>47</v>
      </c>
      <c r="D794" t="s">
        <v>668</v>
      </c>
      <c r="E794" t="s">
        <v>49</v>
      </c>
      <c r="F794" t="s">
        <v>63</v>
      </c>
      <c r="G794" t="s">
        <v>51</v>
      </c>
      <c r="H794" s="17" t="s">
        <v>52</v>
      </c>
      <c r="I794" t="s">
        <v>53</v>
      </c>
      <c r="J794" t="s">
        <v>54</v>
      </c>
      <c r="K794">
        <v>1</v>
      </c>
      <c r="L794" t="s">
        <v>55</v>
      </c>
      <c r="M794" t="s">
        <v>56</v>
      </c>
      <c r="N794" t="s">
        <v>57</v>
      </c>
      <c r="O794" s="18" t="s">
        <v>58</v>
      </c>
      <c r="P794" s="18" t="s">
        <v>99</v>
      </c>
      <c r="Q794" s="17" t="s">
        <v>100</v>
      </c>
      <c r="R794" s="18" t="s">
        <v>101</v>
      </c>
      <c r="S794" s="32">
        <v>180</v>
      </c>
      <c r="T794" s="19">
        <v>112</v>
      </c>
      <c r="U794" s="17" t="s">
        <v>62</v>
      </c>
      <c r="V794" s="17">
        <v>45958</v>
      </c>
      <c r="W794" s="18">
        <v>10</v>
      </c>
      <c r="X794" s="17">
        <v>46112</v>
      </c>
      <c r="Y794" s="17">
        <v>46001</v>
      </c>
      <c r="Z794" s="45">
        <v>12</v>
      </c>
      <c r="AA794">
        <v>2025</v>
      </c>
      <c r="AB794" s="42">
        <v>33840</v>
      </c>
      <c r="AC794" s="42">
        <v>21056</v>
      </c>
    </row>
    <row r="795" spans="1:29">
      <c r="A795" t="s">
        <v>45</v>
      </c>
      <c r="B795" t="s">
        <v>46</v>
      </c>
      <c r="C795" t="s">
        <v>47</v>
      </c>
      <c r="D795" t="s">
        <v>668</v>
      </c>
      <c r="E795" t="s">
        <v>49</v>
      </c>
      <c r="F795" t="s">
        <v>335</v>
      </c>
      <c r="G795" t="s">
        <v>51</v>
      </c>
      <c r="H795" s="17" t="s">
        <v>52</v>
      </c>
      <c r="I795" t="s">
        <v>53</v>
      </c>
      <c r="J795" t="s">
        <v>54</v>
      </c>
      <c r="K795">
        <v>1</v>
      </c>
      <c r="L795" t="s">
        <v>55</v>
      </c>
      <c r="M795" t="s">
        <v>56</v>
      </c>
      <c r="N795" t="s">
        <v>57</v>
      </c>
      <c r="O795" s="18" t="s">
        <v>58</v>
      </c>
      <c r="P795" s="18" t="s">
        <v>72</v>
      </c>
      <c r="Q795" s="17" t="s">
        <v>145</v>
      </c>
      <c r="R795" s="18" t="s">
        <v>411</v>
      </c>
      <c r="S795" s="32">
        <v>1032</v>
      </c>
      <c r="T795" s="19">
        <v>1032</v>
      </c>
      <c r="U795" s="17" t="s">
        <v>62</v>
      </c>
      <c r="V795" s="17">
        <v>45958</v>
      </c>
      <c r="W795" s="18">
        <v>10</v>
      </c>
      <c r="X795" s="17">
        <v>46112</v>
      </c>
      <c r="Y795" s="17">
        <v>45996</v>
      </c>
      <c r="Z795" s="45">
        <v>12</v>
      </c>
      <c r="AA795">
        <v>2025</v>
      </c>
      <c r="AB795" s="42">
        <v>8372616</v>
      </c>
      <c r="AC795" s="42">
        <v>8372616</v>
      </c>
    </row>
    <row r="796" spans="1:29">
      <c r="A796" t="s">
        <v>45</v>
      </c>
      <c r="B796" t="s">
        <v>46</v>
      </c>
      <c r="C796" t="s">
        <v>47</v>
      </c>
      <c r="D796" t="s">
        <v>673</v>
      </c>
      <c r="E796" t="s">
        <v>49</v>
      </c>
      <c r="F796" t="s">
        <v>50</v>
      </c>
      <c r="G796" t="s">
        <v>51</v>
      </c>
      <c r="H796" s="17" t="s">
        <v>52</v>
      </c>
      <c r="I796" t="s">
        <v>53</v>
      </c>
      <c r="J796" t="s">
        <v>54</v>
      </c>
      <c r="K796">
        <v>1</v>
      </c>
      <c r="L796" t="s">
        <v>55</v>
      </c>
      <c r="M796" t="s">
        <v>56</v>
      </c>
      <c r="N796" t="s">
        <v>57</v>
      </c>
      <c r="O796" s="18" t="s">
        <v>58</v>
      </c>
      <c r="P796" s="18" t="s">
        <v>68</v>
      </c>
      <c r="Q796" s="17" t="s">
        <v>225</v>
      </c>
      <c r="R796" s="18" t="s">
        <v>226</v>
      </c>
      <c r="S796" s="32">
        <v>32</v>
      </c>
      <c r="T796" s="19">
        <v>32</v>
      </c>
      <c r="U796" s="17" t="s">
        <v>227</v>
      </c>
      <c r="V796" s="17">
        <v>46007</v>
      </c>
      <c r="W796" s="18">
        <v>12</v>
      </c>
      <c r="X796" s="17">
        <v>46007</v>
      </c>
      <c r="Y796" s="17">
        <v>46020</v>
      </c>
      <c r="Z796" s="45">
        <v>12</v>
      </c>
      <c r="AA796">
        <v>2025</v>
      </c>
      <c r="AB796" s="42">
        <v>412384</v>
      </c>
      <c r="AC796" s="42">
        <v>412384</v>
      </c>
    </row>
    <row r="797" spans="1:29">
      <c r="A797" t="s">
        <v>45</v>
      </c>
      <c r="B797" t="s">
        <v>46</v>
      </c>
      <c r="C797" t="s">
        <v>47</v>
      </c>
      <c r="D797" t="s">
        <v>674</v>
      </c>
      <c r="E797" t="s">
        <v>49</v>
      </c>
      <c r="F797" t="s">
        <v>50</v>
      </c>
      <c r="G797" t="s">
        <v>51</v>
      </c>
      <c r="H797" s="17" t="s">
        <v>52</v>
      </c>
      <c r="I797" t="s">
        <v>53</v>
      </c>
      <c r="J797" t="s">
        <v>54</v>
      </c>
      <c r="K797">
        <v>1</v>
      </c>
      <c r="L797" t="s">
        <v>55</v>
      </c>
      <c r="M797" t="s">
        <v>56</v>
      </c>
      <c r="N797" t="s">
        <v>57</v>
      </c>
      <c r="O797" s="18" t="s">
        <v>58</v>
      </c>
      <c r="P797" s="18" t="s">
        <v>86</v>
      </c>
      <c r="Q797" s="17" t="s">
        <v>289</v>
      </c>
      <c r="R797" s="18" t="s">
        <v>290</v>
      </c>
      <c r="S797" s="32">
        <v>935</v>
      </c>
      <c r="T797" s="19">
        <v>650</v>
      </c>
      <c r="U797" s="17" t="s">
        <v>62</v>
      </c>
      <c r="V797" s="17">
        <v>46008</v>
      </c>
      <c r="W797" s="18">
        <v>12</v>
      </c>
      <c r="X797" s="17">
        <v>46072</v>
      </c>
      <c r="Y797" s="17">
        <v>46020</v>
      </c>
      <c r="Z797" s="45">
        <v>12</v>
      </c>
      <c r="AA797">
        <v>2025</v>
      </c>
      <c r="AB797" s="42">
        <v>9263045</v>
      </c>
      <c r="AC797" s="42">
        <v>6439550</v>
      </c>
    </row>
    <row r="798" spans="1:29">
      <c r="A798" t="s">
        <v>45</v>
      </c>
      <c r="B798" t="s">
        <v>46</v>
      </c>
      <c r="C798" t="s">
        <v>47</v>
      </c>
      <c r="D798" t="s">
        <v>674</v>
      </c>
      <c r="E798" t="s">
        <v>49</v>
      </c>
      <c r="F798" t="s">
        <v>63</v>
      </c>
      <c r="G798" t="s">
        <v>51</v>
      </c>
      <c r="H798" s="17" t="s">
        <v>52</v>
      </c>
      <c r="I798" t="s">
        <v>53</v>
      </c>
      <c r="J798" t="s">
        <v>54</v>
      </c>
      <c r="K798">
        <v>1</v>
      </c>
      <c r="L798" t="s">
        <v>55</v>
      </c>
      <c r="M798" t="s">
        <v>56</v>
      </c>
      <c r="N798" t="s">
        <v>57</v>
      </c>
      <c r="O798" s="18" t="s">
        <v>58</v>
      </c>
      <c r="P798" s="18" t="s">
        <v>72</v>
      </c>
      <c r="Q798" s="17" t="s">
        <v>675</v>
      </c>
      <c r="R798" s="18" t="s">
        <v>676</v>
      </c>
      <c r="S798" s="32">
        <v>303</v>
      </c>
      <c r="T798" s="19">
        <v>300</v>
      </c>
      <c r="U798" s="17" t="s">
        <v>62</v>
      </c>
      <c r="V798" s="17">
        <v>46008</v>
      </c>
      <c r="W798" s="18">
        <v>12</v>
      </c>
      <c r="X798" s="17">
        <v>46072</v>
      </c>
      <c r="Y798" s="17">
        <v>46020</v>
      </c>
      <c r="Z798" s="45">
        <v>12</v>
      </c>
      <c r="AA798">
        <v>2025</v>
      </c>
      <c r="AB798" s="42">
        <v>2888802</v>
      </c>
      <c r="AC798" s="42">
        <v>2860200</v>
      </c>
    </row>
    <row r="799" spans="1:29">
      <c r="A799" t="s">
        <v>45</v>
      </c>
      <c r="B799" t="s">
        <v>46</v>
      </c>
      <c r="C799" t="s">
        <v>47</v>
      </c>
      <c r="D799" t="s">
        <v>677</v>
      </c>
      <c r="E799" t="s">
        <v>115</v>
      </c>
      <c r="F799" t="s">
        <v>50</v>
      </c>
      <c r="G799" t="s">
        <v>116</v>
      </c>
      <c r="H799" s="17" t="s">
        <v>52</v>
      </c>
      <c r="I799" t="s">
        <v>53</v>
      </c>
      <c r="J799" t="s">
        <v>110</v>
      </c>
      <c r="K799">
        <v>1</v>
      </c>
      <c r="L799" t="s">
        <v>55</v>
      </c>
      <c r="M799" t="s">
        <v>56</v>
      </c>
      <c r="N799" t="s">
        <v>57</v>
      </c>
      <c r="O799" s="18" t="s">
        <v>58</v>
      </c>
      <c r="P799" s="18" t="s">
        <v>72</v>
      </c>
      <c r="Q799" s="17" t="s">
        <v>122</v>
      </c>
      <c r="R799" s="18" t="s">
        <v>425</v>
      </c>
      <c r="S799" s="32">
        <v>4</v>
      </c>
      <c r="T799" s="19">
        <v>4</v>
      </c>
      <c r="U799" s="17" t="s">
        <v>119</v>
      </c>
      <c r="V799" s="17">
        <v>46010</v>
      </c>
      <c r="W799" s="18">
        <v>12</v>
      </c>
      <c r="X799" s="17">
        <v>46024</v>
      </c>
      <c r="Y799" s="17">
        <v>46020</v>
      </c>
      <c r="Z799" s="45">
        <v>12</v>
      </c>
      <c r="AA799">
        <v>2025</v>
      </c>
      <c r="AB799" s="42">
        <v>1405320</v>
      </c>
      <c r="AC799" s="42">
        <v>1405320</v>
      </c>
    </row>
    <row r="800" spans="1:29">
      <c r="A800" t="s">
        <v>45</v>
      </c>
      <c r="B800" t="s">
        <v>46</v>
      </c>
      <c r="C800" t="s">
        <v>47</v>
      </c>
      <c r="D800" t="s">
        <v>677</v>
      </c>
      <c r="E800" t="s">
        <v>115</v>
      </c>
      <c r="F800" t="s">
        <v>63</v>
      </c>
      <c r="G800" t="s">
        <v>116</v>
      </c>
      <c r="H800" s="17" t="s">
        <v>52</v>
      </c>
      <c r="I800" t="s">
        <v>53</v>
      </c>
      <c r="J800" t="s">
        <v>110</v>
      </c>
      <c r="K800">
        <v>1</v>
      </c>
      <c r="L800" t="s">
        <v>55</v>
      </c>
      <c r="M800" t="s">
        <v>56</v>
      </c>
      <c r="N800" t="s">
        <v>57</v>
      </c>
      <c r="O800" s="18" t="s">
        <v>58</v>
      </c>
      <c r="P800" s="18" t="s">
        <v>72</v>
      </c>
      <c r="Q800" s="17" t="s">
        <v>117</v>
      </c>
      <c r="R800" s="18" t="s">
        <v>393</v>
      </c>
      <c r="S800" s="32">
        <v>4</v>
      </c>
      <c r="T800" s="19">
        <v>4</v>
      </c>
      <c r="U800" s="17" t="s">
        <v>119</v>
      </c>
      <c r="V800" s="17">
        <v>46010</v>
      </c>
      <c r="W800" s="18">
        <v>12</v>
      </c>
      <c r="X800" s="17">
        <v>46024</v>
      </c>
      <c r="Y800" s="17">
        <v>46020</v>
      </c>
      <c r="Z800" s="45">
        <v>12</v>
      </c>
      <c r="AA800">
        <v>2025</v>
      </c>
      <c r="AB800" s="42">
        <v>1406000</v>
      </c>
      <c r="AC800" s="42">
        <v>1406000</v>
      </c>
    </row>
    <row r="801" spans="1:29">
      <c r="A801" t="s">
        <v>45</v>
      </c>
      <c r="B801" t="s">
        <v>46</v>
      </c>
      <c r="C801" t="s">
        <v>47</v>
      </c>
      <c r="D801" t="s">
        <v>678</v>
      </c>
      <c r="E801" t="s">
        <v>115</v>
      </c>
      <c r="F801" t="s">
        <v>50</v>
      </c>
      <c r="G801" t="s">
        <v>116</v>
      </c>
      <c r="H801" s="17" t="s">
        <v>52</v>
      </c>
      <c r="I801" t="s">
        <v>53</v>
      </c>
      <c r="J801" t="s">
        <v>121</v>
      </c>
      <c r="K801">
        <v>1</v>
      </c>
      <c r="L801" t="s">
        <v>55</v>
      </c>
      <c r="M801" t="s">
        <v>56</v>
      </c>
      <c r="N801" t="s">
        <v>57</v>
      </c>
      <c r="O801" s="18" t="s">
        <v>58</v>
      </c>
      <c r="P801" s="18" t="s">
        <v>72</v>
      </c>
      <c r="Q801" s="17" t="s">
        <v>117</v>
      </c>
      <c r="R801" s="18" t="s">
        <v>393</v>
      </c>
      <c r="S801" s="32">
        <v>4</v>
      </c>
      <c r="T801" s="19">
        <v>4</v>
      </c>
      <c r="U801" s="17" t="s">
        <v>119</v>
      </c>
      <c r="V801" s="17">
        <v>46010</v>
      </c>
      <c r="W801" s="18">
        <v>12</v>
      </c>
      <c r="X801" s="17">
        <v>46024</v>
      </c>
      <c r="Y801" s="17">
        <v>46021</v>
      </c>
      <c r="Z801" s="45">
        <v>12</v>
      </c>
      <c r="AA801">
        <v>2025</v>
      </c>
      <c r="AB801" s="42">
        <v>1406000</v>
      </c>
      <c r="AC801" s="42">
        <v>1406000</v>
      </c>
    </row>
    <row r="802" spans="1:29">
      <c r="A802" t="s">
        <v>45</v>
      </c>
      <c r="B802" t="s">
        <v>46</v>
      </c>
      <c r="C802" t="s">
        <v>47</v>
      </c>
      <c r="D802" t="s">
        <v>679</v>
      </c>
      <c r="E802" t="s">
        <v>115</v>
      </c>
      <c r="F802" t="s">
        <v>50</v>
      </c>
      <c r="G802" t="s">
        <v>116</v>
      </c>
      <c r="H802" s="17" t="s">
        <v>52</v>
      </c>
      <c r="I802" t="s">
        <v>53</v>
      </c>
      <c r="J802" t="s">
        <v>125</v>
      </c>
      <c r="K802">
        <v>1</v>
      </c>
      <c r="L802" t="s">
        <v>55</v>
      </c>
      <c r="M802" t="s">
        <v>56</v>
      </c>
      <c r="N802" t="s">
        <v>57</v>
      </c>
      <c r="O802" s="18" t="s">
        <v>58</v>
      </c>
      <c r="P802" s="18" t="s">
        <v>72</v>
      </c>
      <c r="Q802" s="17" t="s">
        <v>122</v>
      </c>
      <c r="R802" s="18" t="s">
        <v>425</v>
      </c>
      <c r="S802" s="32">
        <v>4</v>
      </c>
      <c r="T802" s="19">
        <v>4</v>
      </c>
      <c r="U802" s="17" t="s">
        <v>119</v>
      </c>
      <c r="V802" s="17">
        <v>46010</v>
      </c>
      <c r="W802" s="18">
        <v>12</v>
      </c>
      <c r="X802" s="17">
        <v>46024</v>
      </c>
      <c r="Y802" s="17">
        <v>46017</v>
      </c>
      <c r="Z802" s="45">
        <v>12</v>
      </c>
      <c r="AA802">
        <v>2025</v>
      </c>
      <c r="AB802" s="42">
        <v>1405320</v>
      </c>
      <c r="AC802" s="42">
        <v>1405320</v>
      </c>
    </row>
    <row r="803" spans="1:29">
      <c r="A803" t="s">
        <v>45</v>
      </c>
      <c r="B803" t="s">
        <v>46</v>
      </c>
      <c r="C803" t="s">
        <v>47</v>
      </c>
      <c r="D803" t="s">
        <v>679</v>
      </c>
      <c r="E803" t="s">
        <v>115</v>
      </c>
      <c r="F803" t="s">
        <v>63</v>
      </c>
      <c r="G803" t="s">
        <v>116</v>
      </c>
      <c r="H803" s="17" t="s">
        <v>52</v>
      </c>
      <c r="I803" t="s">
        <v>53</v>
      </c>
      <c r="J803" t="s">
        <v>125</v>
      </c>
      <c r="K803">
        <v>1</v>
      </c>
      <c r="L803" t="s">
        <v>55</v>
      </c>
      <c r="M803" t="s">
        <v>56</v>
      </c>
      <c r="N803" t="s">
        <v>57</v>
      </c>
      <c r="O803" s="18" t="s">
        <v>58</v>
      </c>
      <c r="P803" s="18" t="s">
        <v>72</v>
      </c>
      <c r="Q803" s="17" t="s">
        <v>117</v>
      </c>
      <c r="R803" s="18" t="s">
        <v>393</v>
      </c>
      <c r="S803" s="32">
        <v>1</v>
      </c>
      <c r="T803" s="19">
        <v>1</v>
      </c>
      <c r="U803" s="17" t="s">
        <v>119</v>
      </c>
      <c r="V803" s="17">
        <v>46010</v>
      </c>
      <c r="W803" s="18">
        <v>12</v>
      </c>
      <c r="X803" s="17">
        <v>46024</v>
      </c>
      <c r="Y803" s="17">
        <v>46017</v>
      </c>
      <c r="Z803" s="45">
        <v>12</v>
      </c>
      <c r="AA803">
        <v>2025</v>
      </c>
      <c r="AB803" s="42">
        <v>351500</v>
      </c>
      <c r="AC803" s="42">
        <v>351500</v>
      </c>
    </row>
    <row r="804" spans="1:29">
      <c r="A804" t="s">
        <v>45</v>
      </c>
      <c r="B804" t="s">
        <v>46</v>
      </c>
      <c r="C804" t="s">
        <v>47</v>
      </c>
      <c r="D804" t="s">
        <v>487</v>
      </c>
      <c r="E804" t="s">
        <v>49</v>
      </c>
      <c r="F804" t="s">
        <v>459</v>
      </c>
      <c r="G804" t="s">
        <v>51</v>
      </c>
      <c r="H804" s="17" t="s">
        <v>52</v>
      </c>
      <c r="I804" t="s">
        <v>53</v>
      </c>
      <c r="J804" t="s">
        <v>54</v>
      </c>
      <c r="K804">
        <v>1</v>
      </c>
      <c r="L804" t="s">
        <v>55</v>
      </c>
      <c r="M804" t="s">
        <v>56</v>
      </c>
      <c r="N804" t="s">
        <v>57</v>
      </c>
      <c r="O804" s="18" t="s">
        <v>58</v>
      </c>
      <c r="P804" s="18" t="s">
        <v>99</v>
      </c>
      <c r="Q804" s="17" t="s">
        <v>100</v>
      </c>
      <c r="R804" s="18" t="s">
        <v>101</v>
      </c>
      <c r="S804" s="32">
        <v>486</v>
      </c>
      <c r="T804" s="19">
        <v>486</v>
      </c>
      <c r="U804" s="17" t="s">
        <v>62</v>
      </c>
      <c r="V804" s="17">
        <v>45867</v>
      </c>
      <c r="W804" s="18">
        <v>7</v>
      </c>
      <c r="X804" s="17">
        <v>45960</v>
      </c>
      <c r="Y804" s="17">
        <v>46017</v>
      </c>
      <c r="Z804" s="45">
        <v>12</v>
      </c>
      <c r="AA804">
        <v>2025</v>
      </c>
      <c r="AB804" s="42">
        <v>196830</v>
      </c>
      <c r="AC804" s="42">
        <v>196830</v>
      </c>
    </row>
    <row r="805" spans="1:29">
      <c r="A805" t="s">
        <v>45</v>
      </c>
      <c r="B805" t="s">
        <v>46</v>
      </c>
      <c r="C805" t="s">
        <v>47</v>
      </c>
      <c r="D805" t="s">
        <v>668</v>
      </c>
      <c r="E805" t="s">
        <v>49</v>
      </c>
      <c r="F805" t="s">
        <v>516</v>
      </c>
      <c r="G805" t="s">
        <v>51</v>
      </c>
      <c r="H805" s="17" t="s">
        <v>52</v>
      </c>
      <c r="I805" t="s">
        <v>53</v>
      </c>
      <c r="J805" t="s">
        <v>54</v>
      </c>
      <c r="K805">
        <v>1</v>
      </c>
      <c r="L805" t="s">
        <v>55</v>
      </c>
      <c r="M805" t="s">
        <v>56</v>
      </c>
      <c r="N805" t="s">
        <v>57</v>
      </c>
      <c r="O805" s="18" t="s">
        <v>58</v>
      </c>
      <c r="P805" s="18" t="s">
        <v>99</v>
      </c>
      <c r="Q805" s="17" t="s">
        <v>100</v>
      </c>
      <c r="R805" s="18" t="s">
        <v>101</v>
      </c>
      <c r="S805" s="32">
        <v>3493</v>
      </c>
      <c r="T805" s="19">
        <v>3493</v>
      </c>
      <c r="U805" s="17" t="s">
        <v>62</v>
      </c>
      <c r="V805" s="17">
        <v>45958</v>
      </c>
      <c r="W805" s="18">
        <v>10</v>
      </c>
      <c r="X805" s="17">
        <v>46112</v>
      </c>
      <c r="Y805" s="17">
        <v>46001</v>
      </c>
      <c r="Z805" s="45">
        <v>12</v>
      </c>
      <c r="AA805">
        <v>2025</v>
      </c>
      <c r="AB805" s="42">
        <v>464569</v>
      </c>
      <c r="AC805" s="42">
        <v>464569</v>
      </c>
    </row>
    <row r="806" spans="1:29">
      <c r="A806" t="s">
        <v>45</v>
      </c>
      <c r="B806" t="s">
        <v>46</v>
      </c>
      <c r="C806" t="s">
        <v>47</v>
      </c>
      <c r="D806" t="s">
        <v>674</v>
      </c>
      <c r="E806" t="s">
        <v>49</v>
      </c>
      <c r="F806" t="s">
        <v>71</v>
      </c>
      <c r="G806" t="s">
        <v>51</v>
      </c>
      <c r="H806" s="17" t="s">
        <v>52</v>
      </c>
      <c r="I806" t="s">
        <v>53</v>
      </c>
      <c r="J806" t="s">
        <v>54</v>
      </c>
      <c r="K806">
        <v>1</v>
      </c>
      <c r="L806" t="s">
        <v>55</v>
      </c>
      <c r="M806" t="s">
        <v>56</v>
      </c>
      <c r="N806" t="s">
        <v>57</v>
      </c>
      <c r="O806" s="18" t="s">
        <v>58</v>
      </c>
      <c r="P806" s="18" t="s">
        <v>72</v>
      </c>
      <c r="Q806" s="17" t="s">
        <v>680</v>
      </c>
      <c r="R806" s="18" t="s">
        <v>681</v>
      </c>
      <c r="S806" s="32">
        <v>239</v>
      </c>
      <c r="T806" s="19">
        <v>239</v>
      </c>
      <c r="U806" s="17" t="s">
        <v>62</v>
      </c>
      <c r="V806" s="17">
        <v>46008</v>
      </c>
      <c r="W806" s="18">
        <v>12</v>
      </c>
      <c r="X806" s="17">
        <v>46072</v>
      </c>
      <c r="Y806" s="17">
        <v>46020</v>
      </c>
      <c r="Z806" s="45">
        <v>12</v>
      </c>
      <c r="AA806">
        <v>2025</v>
      </c>
      <c r="AB806" s="42">
        <v>1670132</v>
      </c>
      <c r="AC806" s="42">
        <v>1670132</v>
      </c>
    </row>
    <row r="807" spans="1:29">
      <c r="A807" t="s">
        <v>45</v>
      </c>
      <c r="B807" t="s">
        <v>46</v>
      </c>
      <c r="C807" t="s">
        <v>47</v>
      </c>
      <c r="D807" t="s">
        <v>682</v>
      </c>
      <c r="E807" t="s">
        <v>49</v>
      </c>
      <c r="F807" t="s">
        <v>50</v>
      </c>
      <c r="G807" t="s">
        <v>51</v>
      </c>
      <c r="H807" s="17" t="s">
        <v>52</v>
      </c>
      <c r="I807" t="s">
        <v>53</v>
      </c>
      <c r="J807" t="s">
        <v>54</v>
      </c>
      <c r="K807">
        <v>1</v>
      </c>
      <c r="L807" t="s">
        <v>55</v>
      </c>
      <c r="M807" t="s">
        <v>56</v>
      </c>
      <c r="N807" t="s">
        <v>57</v>
      </c>
      <c r="O807" s="18" t="s">
        <v>58</v>
      </c>
      <c r="P807" s="18" t="s">
        <v>132</v>
      </c>
      <c r="Q807" s="17" t="s">
        <v>133</v>
      </c>
      <c r="R807" s="18" t="s">
        <v>134</v>
      </c>
      <c r="S807" s="32">
        <v>775</v>
      </c>
      <c r="T807" s="19">
        <v>775</v>
      </c>
      <c r="U807" s="17" t="s">
        <v>62</v>
      </c>
      <c r="V807" s="17">
        <v>46008</v>
      </c>
      <c r="W807" s="18">
        <v>12</v>
      </c>
      <c r="X807" s="17">
        <v>46142</v>
      </c>
      <c r="Y807" s="17">
        <v>46020</v>
      </c>
      <c r="Z807" s="45">
        <v>12</v>
      </c>
      <c r="AA807">
        <v>2025</v>
      </c>
      <c r="AB807" s="42">
        <v>4612025</v>
      </c>
      <c r="AC807" s="42">
        <v>4612025</v>
      </c>
    </row>
    <row r="808" spans="1:29">
      <c r="A808" t="s">
        <v>45</v>
      </c>
      <c r="B808" t="s">
        <v>46</v>
      </c>
      <c r="C808" t="s">
        <v>47</v>
      </c>
      <c r="D808" t="s">
        <v>682</v>
      </c>
      <c r="E808" t="s">
        <v>49</v>
      </c>
      <c r="F808" t="s">
        <v>63</v>
      </c>
      <c r="G808" t="s">
        <v>51</v>
      </c>
      <c r="H808" s="17" t="s">
        <v>52</v>
      </c>
      <c r="I808" t="s">
        <v>53</v>
      </c>
      <c r="J808" t="s">
        <v>54</v>
      </c>
      <c r="K808">
        <v>1</v>
      </c>
      <c r="L808" t="s">
        <v>55</v>
      </c>
      <c r="M808" t="s">
        <v>56</v>
      </c>
      <c r="N808" t="s">
        <v>57</v>
      </c>
      <c r="O808" s="18" t="s">
        <v>58</v>
      </c>
      <c r="P808" s="18" t="s">
        <v>172</v>
      </c>
      <c r="Q808" s="17" t="s">
        <v>173</v>
      </c>
      <c r="R808" s="18" t="s">
        <v>174</v>
      </c>
      <c r="S808" s="32">
        <v>51</v>
      </c>
      <c r="T808" s="19">
        <v>51</v>
      </c>
      <c r="U808" s="17" t="s">
        <v>62</v>
      </c>
      <c r="V808" s="17">
        <v>46008</v>
      </c>
      <c r="W808" s="18">
        <v>12</v>
      </c>
      <c r="X808" s="17">
        <v>46142</v>
      </c>
      <c r="Y808" s="17">
        <v>46020</v>
      </c>
      <c r="Z808" s="45">
        <v>12</v>
      </c>
      <c r="AA808">
        <v>2025</v>
      </c>
      <c r="AB808" s="42">
        <v>2684946</v>
      </c>
      <c r="AC808" s="42">
        <v>2684946</v>
      </c>
    </row>
    <row r="809" spans="1:29">
      <c r="A809" t="s">
        <v>45</v>
      </c>
      <c r="B809" t="s">
        <v>46</v>
      </c>
      <c r="C809" t="s">
        <v>47</v>
      </c>
      <c r="D809" t="s">
        <v>683</v>
      </c>
      <c r="E809" t="s">
        <v>49</v>
      </c>
      <c r="F809" t="s">
        <v>50</v>
      </c>
      <c r="G809" t="s">
        <v>51</v>
      </c>
      <c r="H809" s="17" t="s">
        <v>52</v>
      </c>
      <c r="I809" t="s">
        <v>53</v>
      </c>
      <c r="J809" t="s">
        <v>54</v>
      </c>
      <c r="K809">
        <v>1</v>
      </c>
      <c r="L809" t="s">
        <v>55</v>
      </c>
      <c r="M809" t="s">
        <v>56</v>
      </c>
      <c r="N809" t="s">
        <v>57</v>
      </c>
      <c r="O809" s="18" t="s">
        <v>58</v>
      </c>
      <c r="P809" s="18" t="s">
        <v>59</v>
      </c>
      <c r="Q809" s="17" t="s">
        <v>60</v>
      </c>
      <c r="R809" s="18" t="s">
        <v>61</v>
      </c>
      <c r="S809" s="32">
        <v>140</v>
      </c>
      <c r="T809" s="19">
        <v>140</v>
      </c>
      <c r="U809" s="17" t="s">
        <v>62</v>
      </c>
      <c r="V809" s="17">
        <v>46010</v>
      </c>
      <c r="W809" s="18">
        <v>12</v>
      </c>
      <c r="X809" s="17">
        <v>46080</v>
      </c>
      <c r="Y809" s="17">
        <v>46022</v>
      </c>
      <c r="Z809" s="45">
        <v>12</v>
      </c>
      <c r="AA809">
        <v>2025</v>
      </c>
      <c r="AB809" s="42">
        <v>2331700</v>
      </c>
      <c r="AC809" s="42">
        <v>2331700</v>
      </c>
    </row>
    <row r="810" spans="1:29">
      <c r="A810" t="s">
        <v>45</v>
      </c>
      <c r="B810" t="s">
        <v>46</v>
      </c>
      <c r="C810" t="s">
        <v>47</v>
      </c>
      <c r="D810" t="s">
        <v>684</v>
      </c>
      <c r="E810" t="s">
        <v>49</v>
      </c>
      <c r="F810" t="s">
        <v>63</v>
      </c>
      <c r="G810" t="s">
        <v>51</v>
      </c>
      <c r="H810" s="17" t="s">
        <v>52</v>
      </c>
      <c r="I810" t="s">
        <v>53</v>
      </c>
      <c r="J810" t="s">
        <v>224</v>
      </c>
      <c r="K810">
        <v>1</v>
      </c>
      <c r="L810" t="s">
        <v>55</v>
      </c>
      <c r="M810" t="s">
        <v>56</v>
      </c>
      <c r="N810" t="s">
        <v>57</v>
      </c>
      <c r="O810" s="18" t="s">
        <v>58</v>
      </c>
      <c r="P810" s="18" t="s">
        <v>99</v>
      </c>
      <c r="Q810" s="17" t="s">
        <v>100</v>
      </c>
      <c r="R810" s="18" t="s">
        <v>101</v>
      </c>
      <c r="S810" s="32">
        <v>3668</v>
      </c>
      <c r="T810" s="19">
        <v>3668</v>
      </c>
      <c r="U810" s="17" t="s">
        <v>62</v>
      </c>
      <c r="V810" s="17">
        <v>45975</v>
      </c>
      <c r="W810" s="18">
        <v>11</v>
      </c>
      <c r="X810" s="17">
        <v>46081</v>
      </c>
      <c r="Y810" s="17">
        <v>46002</v>
      </c>
      <c r="Z810" s="45">
        <v>12</v>
      </c>
      <c r="AA810">
        <v>2025</v>
      </c>
      <c r="AB810" s="42">
        <v>506184</v>
      </c>
      <c r="AC810" s="42">
        <v>506184</v>
      </c>
    </row>
    <row r="811" spans="1:29">
      <c r="A811" t="s">
        <v>45</v>
      </c>
      <c r="B811" t="s">
        <v>46</v>
      </c>
      <c r="C811" t="s">
        <v>47</v>
      </c>
      <c r="D811" t="s">
        <v>645</v>
      </c>
      <c r="E811" t="s">
        <v>49</v>
      </c>
      <c r="F811" t="s">
        <v>50</v>
      </c>
      <c r="G811" t="s">
        <v>51</v>
      </c>
      <c r="H811" s="17" t="s">
        <v>58</v>
      </c>
      <c r="I811" t="s">
        <v>53</v>
      </c>
      <c r="J811" t="s">
        <v>54</v>
      </c>
      <c r="K811">
        <v>1</v>
      </c>
      <c r="L811" t="s">
        <v>55</v>
      </c>
      <c r="M811" t="s">
        <v>56</v>
      </c>
      <c r="N811" t="s">
        <v>57</v>
      </c>
      <c r="O811" s="18" t="s">
        <v>58</v>
      </c>
      <c r="P811" s="18" t="s">
        <v>137</v>
      </c>
      <c r="Q811" s="17" t="s">
        <v>492</v>
      </c>
      <c r="R811" s="18" t="s">
        <v>493</v>
      </c>
      <c r="S811" s="32">
        <v>6</v>
      </c>
      <c r="T811" s="19">
        <v>0</v>
      </c>
      <c r="U811" s="17" t="s">
        <v>62</v>
      </c>
      <c r="V811" s="17">
        <v>45910</v>
      </c>
      <c r="W811" s="18">
        <v>9</v>
      </c>
      <c r="X811" s="17">
        <v>46001</v>
      </c>
      <c r="Z811" s="45">
        <v>12</v>
      </c>
      <c r="AA811">
        <v>2025</v>
      </c>
      <c r="AB811" s="42">
        <v>183972</v>
      </c>
      <c r="AC811" s="42">
        <v>0</v>
      </c>
    </row>
    <row r="812" spans="1:29">
      <c r="A812" t="s">
        <v>45</v>
      </c>
      <c r="B812" t="s">
        <v>46</v>
      </c>
      <c r="C812" t="s">
        <v>47</v>
      </c>
      <c r="D812" t="s">
        <v>685</v>
      </c>
      <c r="E812" t="s">
        <v>115</v>
      </c>
      <c r="F812" t="s">
        <v>50</v>
      </c>
      <c r="G812" t="s">
        <v>116</v>
      </c>
      <c r="H812" s="17" t="s">
        <v>52</v>
      </c>
      <c r="I812" t="s">
        <v>53</v>
      </c>
      <c r="J812" t="s">
        <v>110</v>
      </c>
      <c r="K812">
        <v>1</v>
      </c>
      <c r="L812" t="s">
        <v>55</v>
      </c>
      <c r="M812" t="s">
        <v>56</v>
      </c>
      <c r="N812" t="s">
        <v>57</v>
      </c>
      <c r="O812" s="18" t="s">
        <v>58</v>
      </c>
      <c r="P812" s="18" t="s">
        <v>72</v>
      </c>
      <c r="Q812" s="17" t="s">
        <v>117</v>
      </c>
      <c r="R812" s="18" t="s">
        <v>393</v>
      </c>
      <c r="S812" s="32">
        <v>6</v>
      </c>
      <c r="T812" s="19">
        <v>6</v>
      </c>
      <c r="U812" s="17" t="s">
        <v>119</v>
      </c>
      <c r="V812" s="17">
        <v>45988</v>
      </c>
      <c r="W812" s="18">
        <v>11</v>
      </c>
      <c r="X812" s="17">
        <v>46001</v>
      </c>
      <c r="Y812" s="17">
        <v>45994</v>
      </c>
      <c r="Z812" s="45">
        <v>12</v>
      </c>
      <c r="AA812">
        <v>2025</v>
      </c>
      <c r="AB812" s="42">
        <v>2109000</v>
      </c>
      <c r="AC812" s="42">
        <v>2109000</v>
      </c>
    </row>
    <row r="813" spans="1:29">
      <c r="A813" t="s">
        <v>45</v>
      </c>
      <c r="B813" t="s">
        <v>46</v>
      </c>
      <c r="C813" t="s">
        <v>47</v>
      </c>
      <c r="D813" t="s">
        <v>686</v>
      </c>
      <c r="E813" t="s">
        <v>115</v>
      </c>
      <c r="F813" t="s">
        <v>50</v>
      </c>
      <c r="G813" t="s">
        <v>116</v>
      </c>
      <c r="H813" s="17" t="s">
        <v>52</v>
      </c>
      <c r="I813" t="s">
        <v>53</v>
      </c>
      <c r="J813" t="s">
        <v>121</v>
      </c>
      <c r="K813">
        <v>1</v>
      </c>
      <c r="L813" t="s">
        <v>55</v>
      </c>
      <c r="M813" t="s">
        <v>56</v>
      </c>
      <c r="N813" t="s">
        <v>57</v>
      </c>
      <c r="O813" s="18" t="s">
        <v>58</v>
      </c>
      <c r="P813" s="18" t="s">
        <v>72</v>
      </c>
      <c r="Q813" s="17" t="s">
        <v>147</v>
      </c>
      <c r="R813" s="18" t="s">
        <v>148</v>
      </c>
      <c r="S813" s="32">
        <v>1</v>
      </c>
      <c r="T813" s="19">
        <v>1</v>
      </c>
      <c r="U813" s="17" t="s">
        <v>119</v>
      </c>
      <c r="V813" s="17">
        <v>45989</v>
      </c>
      <c r="W813" s="18">
        <v>11</v>
      </c>
      <c r="X813" s="17">
        <v>46002</v>
      </c>
      <c r="Y813" s="17">
        <v>45995</v>
      </c>
      <c r="Z813" s="45">
        <v>12</v>
      </c>
      <c r="AA813">
        <v>2025</v>
      </c>
      <c r="AB813" s="42">
        <v>418720</v>
      </c>
      <c r="AC813" s="42">
        <v>418720</v>
      </c>
    </row>
    <row r="814" spans="1:29">
      <c r="A814" t="s">
        <v>45</v>
      </c>
      <c r="B814" t="s">
        <v>46</v>
      </c>
      <c r="C814" t="s">
        <v>47</v>
      </c>
      <c r="D814" t="s">
        <v>686</v>
      </c>
      <c r="E814" t="s">
        <v>115</v>
      </c>
      <c r="F814" t="s">
        <v>63</v>
      </c>
      <c r="G814" t="s">
        <v>116</v>
      </c>
      <c r="H814" s="17" t="s">
        <v>52</v>
      </c>
      <c r="I814" t="s">
        <v>53</v>
      </c>
      <c r="J814" t="s">
        <v>121</v>
      </c>
      <c r="K814">
        <v>1</v>
      </c>
      <c r="L814" t="s">
        <v>55</v>
      </c>
      <c r="M814" t="s">
        <v>56</v>
      </c>
      <c r="N814" t="s">
        <v>57</v>
      </c>
      <c r="O814" s="18" t="s">
        <v>58</v>
      </c>
      <c r="P814" s="18" t="s">
        <v>72</v>
      </c>
      <c r="Q814" s="17" t="s">
        <v>122</v>
      </c>
      <c r="R814" s="18" t="s">
        <v>425</v>
      </c>
      <c r="S814" s="32">
        <v>4</v>
      </c>
      <c r="T814" s="19">
        <v>4</v>
      </c>
      <c r="U814" s="17" t="s">
        <v>119</v>
      </c>
      <c r="V814" s="17">
        <v>45989</v>
      </c>
      <c r="W814" s="18">
        <v>11</v>
      </c>
      <c r="X814" s="17">
        <v>46002</v>
      </c>
      <c r="Y814" s="17">
        <v>45995</v>
      </c>
      <c r="Z814" s="45">
        <v>12</v>
      </c>
      <c r="AA814">
        <v>2025</v>
      </c>
      <c r="AB814" s="42">
        <v>1405320</v>
      </c>
      <c r="AC814" s="42">
        <v>1405320</v>
      </c>
    </row>
    <row r="815" spans="1:29">
      <c r="A815" t="s">
        <v>45</v>
      </c>
      <c r="B815" t="s">
        <v>46</v>
      </c>
      <c r="C815" t="s">
        <v>47</v>
      </c>
      <c r="D815" t="s">
        <v>687</v>
      </c>
      <c r="E815" t="s">
        <v>115</v>
      </c>
      <c r="F815" t="s">
        <v>50</v>
      </c>
      <c r="G815" t="s">
        <v>116</v>
      </c>
      <c r="H815" s="17" t="s">
        <v>52</v>
      </c>
      <c r="I815" t="s">
        <v>53</v>
      </c>
      <c r="J815" t="s">
        <v>190</v>
      </c>
      <c r="K815">
        <v>1</v>
      </c>
      <c r="L815" t="s">
        <v>55</v>
      </c>
      <c r="M815" t="s">
        <v>56</v>
      </c>
      <c r="N815" t="s">
        <v>57</v>
      </c>
      <c r="O815" s="18" t="s">
        <v>58</v>
      </c>
      <c r="P815" s="18" t="s">
        <v>72</v>
      </c>
      <c r="Q815" s="17" t="s">
        <v>122</v>
      </c>
      <c r="R815" s="18" t="s">
        <v>425</v>
      </c>
      <c r="S815" s="32">
        <v>2</v>
      </c>
      <c r="T815" s="19">
        <v>2</v>
      </c>
      <c r="U815" s="17" t="s">
        <v>119</v>
      </c>
      <c r="V815" s="17">
        <v>45989</v>
      </c>
      <c r="W815" s="18">
        <v>11</v>
      </c>
      <c r="X815" s="17">
        <v>46002</v>
      </c>
      <c r="Y815" s="17">
        <v>45995</v>
      </c>
      <c r="Z815" s="45">
        <v>12</v>
      </c>
      <c r="AA815">
        <v>2025</v>
      </c>
      <c r="AB815" s="42">
        <v>702660</v>
      </c>
      <c r="AC815" s="42">
        <v>702660</v>
      </c>
    </row>
    <row r="816" spans="1:29">
      <c r="A816" t="s">
        <v>45</v>
      </c>
      <c r="B816" t="s">
        <v>46</v>
      </c>
      <c r="C816" t="s">
        <v>47</v>
      </c>
      <c r="D816" t="s">
        <v>687</v>
      </c>
      <c r="E816" t="s">
        <v>115</v>
      </c>
      <c r="F816" t="s">
        <v>63</v>
      </c>
      <c r="G816" t="s">
        <v>116</v>
      </c>
      <c r="H816" s="17" t="s">
        <v>52</v>
      </c>
      <c r="I816" t="s">
        <v>53</v>
      </c>
      <c r="J816" t="s">
        <v>190</v>
      </c>
      <c r="K816">
        <v>1</v>
      </c>
      <c r="L816" t="s">
        <v>55</v>
      </c>
      <c r="M816" t="s">
        <v>56</v>
      </c>
      <c r="N816" t="s">
        <v>57</v>
      </c>
      <c r="O816" s="18" t="s">
        <v>58</v>
      </c>
      <c r="P816" s="18" t="s">
        <v>72</v>
      </c>
      <c r="Q816" s="17" t="s">
        <v>117</v>
      </c>
      <c r="R816" s="18" t="s">
        <v>393</v>
      </c>
      <c r="S816" s="32">
        <v>2</v>
      </c>
      <c r="T816" s="19">
        <v>2</v>
      </c>
      <c r="U816" s="17" t="s">
        <v>119</v>
      </c>
      <c r="V816" s="17">
        <v>45989</v>
      </c>
      <c r="W816" s="18">
        <v>11</v>
      </c>
      <c r="X816" s="17">
        <v>46002</v>
      </c>
      <c r="Y816" s="17">
        <v>45995</v>
      </c>
      <c r="Z816" s="45">
        <v>12</v>
      </c>
      <c r="AA816">
        <v>2025</v>
      </c>
      <c r="AB816" s="42">
        <v>703000</v>
      </c>
      <c r="AC816" s="42">
        <v>703000</v>
      </c>
    </row>
    <row r="817" spans="1:29">
      <c r="A817" t="s">
        <v>45</v>
      </c>
      <c r="B817" t="s">
        <v>46</v>
      </c>
      <c r="C817" t="s">
        <v>47</v>
      </c>
      <c r="D817" t="s">
        <v>688</v>
      </c>
      <c r="E817" t="s">
        <v>115</v>
      </c>
      <c r="F817" t="s">
        <v>50</v>
      </c>
      <c r="G817" t="s">
        <v>116</v>
      </c>
      <c r="H817" s="17" t="s">
        <v>52</v>
      </c>
      <c r="I817" t="s">
        <v>53</v>
      </c>
      <c r="J817" t="s">
        <v>125</v>
      </c>
      <c r="K817">
        <v>1</v>
      </c>
      <c r="L817" t="s">
        <v>55</v>
      </c>
      <c r="M817" t="s">
        <v>56</v>
      </c>
      <c r="N817" t="s">
        <v>57</v>
      </c>
      <c r="O817" s="18" t="s">
        <v>58</v>
      </c>
      <c r="P817" s="18" t="s">
        <v>72</v>
      </c>
      <c r="Q817" s="17" t="s">
        <v>122</v>
      </c>
      <c r="R817" s="18" t="s">
        <v>425</v>
      </c>
      <c r="S817" s="32">
        <v>4</v>
      </c>
      <c r="T817" s="19">
        <v>4</v>
      </c>
      <c r="U817" s="17" t="s">
        <v>119</v>
      </c>
      <c r="V817" s="17">
        <v>45989</v>
      </c>
      <c r="W817" s="18">
        <v>11</v>
      </c>
      <c r="X817" s="17">
        <v>46010</v>
      </c>
      <c r="Y817" s="17">
        <v>46013</v>
      </c>
      <c r="Z817" s="45">
        <v>12</v>
      </c>
      <c r="AA817">
        <v>2025</v>
      </c>
      <c r="AB817" s="42">
        <v>1405320</v>
      </c>
      <c r="AC817" s="42">
        <v>1405320</v>
      </c>
    </row>
    <row r="818" spans="1:29">
      <c r="A818" t="s">
        <v>45</v>
      </c>
      <c r="B818" t="s">
        <v>46</v>
      </c>
      <c r="C818" t="s">
        <v>47</v>
      </c>
      <c r="D818" t="s">
        <v>689</v>
      </c>
      <c r="E818" t="s">
        <v>49</v>
      </c>
      <c r="F818" t="s">
        <v>50</v>
      </c>
      <c r="G818" t="s">
        <v>51</v>
      </c>
      <c r="H818" s="17" t="s">
        <v>52</v>
      </c>
      <c r="I818" t="s">
        <v>53</v>
      </c>
      <c r="J818" t="s">
        <v>54</v>
      </c>
      <c r="K818">
        <v>1</v>
      </c>
      <c r="L818" t="s">
        <v>55</v>
      </c>
      <c r="M818" t="s">
        <v>56</v>
      </c>
      <c r="N818" t="s">
        <v>57</v>
      </c>
      <c r="O818" s="18" t="s">
        <v>58</v>
      </c>
      <c r="P818" s="18" t="s">
        <v>72</v>
      </c>
      <c r="Q818" s="17" t="s">
        <v>545</v>
      </c>
      <c r="R818" s="18" t="s">
        <v>546</v>
      </c>
      <c r="S818" s="32">
        <v>720</v>
      </c>
      <c r="T818" s="19">
        <v>720</v>
      </c>
      <c r="U818" s="17" t="s">
        <v>62</v>
      </c>
      <c r="V818" s="17">
        <v>45978</v>
      </c>
      <c r="W818" s="18">
        <v>11</v>
      </c>
      <c r="X818" s="17">
        <v>46053</v>
      </c>
      <c r="Y818" s="17">
        <v>46000</v>
      </c>
      <c r="Z818" s="45">
        <v>12</v>
      </c>
      <c r="AA818">
        <v>2025</v>
      </c>
      <c r="AB818" s="42">
        <v>8906400</v>
      </c>
      <c r="AC818" s="42">
        <v>8906400</v>
      </c>
    </row>
    <row r="819" spans="1:29">
      <c r="A819" t="s">
        <v>45</v>
      </c>
      <c r="B819" t="s">
        <v>46</v>
      </c>
      <c r="C819" t="s">
        <v>47</v>
      </c>
      <c r="D819" t="s">
        <v>690</v>
      </c>
      <c r="E819" t="s">
        <v>49</v>
      </c>
      <c r="F819" t="s">
        <v>50</v>
      </c>
      <c r="G819" t="s">
        <v>51</v>
      </c>
      <c r="H819" s="17" t="s">
        <v>52</v>
      </c>
      <c r="I819" t="s">
        <v>53</v>
      </c>
      <c r="J819" t="s">
        <v>54</v>
      </c>
      <c r="K819">
        <v>1</v>
      </c>
      <c r="L819" t="s">
        <v>55</v>
      </c>
      <c r="M819" t="s">
        <v>56</v>
      </c>
      <c r="N819" t="s">
        <v>57</v>
      </c>
      <c r="O819" s="18" t="s">
        <v>58</v>
      </c>
      <c r="P819" s="18" t="s">
        <v>86</v>
      </c>
      <c r="Q819" s="17" t="s">
        <v>289</v>
      </c>
      <c r="R819" s="18" t="s">
        <v>290</v>
      </c>
      <c r="S819" s="32">
        <v>54</v>
      </c>
      <c r="T819" s="19">
        <v>54</v>
      </c>
      <c r="U819" s="17" t="s">
        <v>62</v>
      </c>
      <c r="V819" s="17">
        <v>45988</v>
      </c>
      <c r="W819" s="18">
        <v>11</v>
      </c>
      <c r="X819" s="17">
        <v>46053</v>
      </c>
      <c r="Y819" s="17">
        <v>46000</v>
      </c>
      <c r="Z819" s="45">
        <v>12</v>
      </c>
      <c r="AA819">
        <v>2025</v>
      </c>
      <c r="AB819" s="42">
        <v>595026</v>
      </c>
      <c r="AC819" s="42">
        <v>595026</v>
      </c>
    </row>
    <row r="820" spans="1:29">
      <c r="A820" t="s">
        <v>45</v>
      </c>
      <c r="B820" t="s">
        <v>46</v>
      </c>
      <c r="C820" t="s">
        <v>47</v>
      </c>
      <c r="D820" t="s">
        <v>405</v>
      </c>
      <c r="E820" t="s">
        <v>49</v>
      </c>
      <c r="F820" t="s">
        <v>63</v>
      </c>
      <c r="G820" t="s">
        <v>51</v>
      </c>
      <c r="H820" s="17" t="s">
        <v>52</v>
      </c>
      <c r="I820" t="s">
        <v>53</v>
      </c>
      <c r="J820" t="s">
        <v>54</v>
      </c>
      <c r="K820">
        <v>1</v>
      </c>
      <c r="L820" t="s">
        <v>55</v>
      </c>
      <c r="M820" t="s">
        <v>56</v>
      </c>
      <c r="N820" t="s">
        <v>57</v>
      </c>
      <c r="O820" s="18" t="s">
        <v>58</v>
      </c>
      <c r="P820" s="18" t="s">
        <v>72</v>
      </c>
      <c r="Q820" s="17" t="s">
        <v>513</v>
      </c>
      <c r="R820" s="18" t="s">
        <v>514</v>
      </c>
      <c r="S820" s="32">
        <v>486</v>
      </c>
      <c r="T820" s="19">
        <v>446</v>
      </c>
      <c r="U820" s="17" t="s">
        <v>62</v>
      </c>
      <c r="V820" s="17">
        <v>45791</v>
      </c>
      <c r="W820" s="18">
        <v>5</v>
      </c>
      <c r="X820" s="17">
        <v>45883</v>
      </c>
      <c r="Y820" s="17">
        <v>46001</v>
      </c>
      <c r="Z820" s="45">
        <v>12</v>
      </c>
      <c r="AA820">
        <v>2025</v>
      </c>
      <c r="AB820" s="42">
        <v>2392578</v>
      </c>
      <c r="AC820" s="42">
        <v>2195658</v>
      </c>
    </row>
    <row r="821" spans="1:29">
      <c r="A821" t="s">
        <v>45</v>
      </c>
      <c r="B821" t="s">
        <v>46</v>
      </c>
      <c r="C821" t="s">
        <v>47</v>
      </c>
      <c r="D821" t="s">
        <v>405</v>
      </c>
      <c r="E821" t="s">
        <v>49</v>
      </c>
      <c r="F821" t="s">
        <v>67</v>
      </c>
      <c r="G821" t="s">
        <v>51</v>
      </c>
      <c r="H821" s="17" t="s">
        <v>52</v>
      </c>
      <c r="I821" t="s">
        <v>53</v>
      </c>
      <c r="J821" t="s">
        <v>54</v>
      </c>
      <c r="K821">
        <v>1</v>
      </c>
      <c r="L821" t="s">
        <v>55</v>
      </c>
      <c r="M821" t="s">
        <v>56</v>
      </c>
      <c r="N821" t="s">
        <v>57</v>
      </c>
      <c r="O821" s="18" t="s">
        <v>58</v>
      </c>
      <c r="P821" s="18" t="s">
        <v>72</v>
      </c>
      <c r="Q821" s="17" t="s">
        <v>193</v>
      </c>
      <c r="R821" s="18" t="s">
        <v>194</v>
      </c>
      <c r="S821" s="32">
        <v>2187</v>
      </c>
      <c r="T821" s="19">
        <v>2136</v>
      </c>
      <c r="U821" s="17" t="s">
        <v>62</v>
      </c>
      <c r="V821" s="17">
        <v>45791</v>
      </c>
      <c r="W821" s="18">
        <v>5</v>
      </c>
      <c r="X821" s="17">
        <v>45883</v>
      </c>
      <c r="Y821" s="17">
        <v>46017</v>
      </c>
      <c r="Z821" s="45">
        <v>12</v>
      </c>
      <c r="AA821">
        <v>2025</v>
      </c>
      <c r="AB821" s="42">
        <v>19245600</v>
      </c>
      <c r="AC821" s="42">
        <v>18796800</v>
      </c>
    </row>
    <row r="822" spans="1:29">
      <c r="A822" t="s">
        <v>45</v>
      </c>
      <c r="B822" t="s">
        <v>46</v>
      </c>
      <c r="C822" t="s">
        <v>47</v>
      </c>
      <c r="D822" t="s">
        <v>405</v>
      </c>
      <c r="E822" t="s">
        <v>49</v>
      </c>
      <c r="F822" t="s">
        <v>71</v>
      </c>
      <c r="G822" t="s">
        <v>51</v>
      </c>
      <c r="H822" s="17" t="s">
        <v>52</v>
      </c>
      <c r="I822" t="s">
        <v>53</v>
      </c>
      <c r="J822" t="s">
        <v>54</v>
      </c>
      <c r="K822">
        <v>1</v>
      </c>
      <c r="L822" t="s">
        <v>55</v>
      </c>
      <c r="M822" t="s">
        <v>56</v>
      </c>
      <c r="N822" t="s">
        <v>57</v>
      </c>
      <c r="O822" s="18" t="s">
        <v>58</v>
      </c>
      <c r="P822" s="18" t="s">
        <v>72</v>
      </c>
      <c r="Q822" s="17" t="s">
        <v>145</v>
      </c>
      <c r="R822" s="18" t="s">
        <v>146</v>
      </c>
      <c r="S822" s="32">
        <v>717</v>
      </c>
      <c r="T822" s="19">
        <v>717</v>
      </c>
      <c r="U822" s="17" t="s">
        <v>62</v>
      </c>
      <c r="V822" s="17">
        <v>45791</v>
      </c>
      <c r="W822" s="18">
        <v>5</v>
      </c>
      <c r="X822" s="17">
        <v>45883</v>
      </c>
      <c r="Y822" s="17">
        <v>46017</v>
      </c>
      <c r="Z822" s="45">
        <v>12</v>
      </c>
      <c r="AA822">
        <v>2025</v>
      </c>
      <c r="AB822" s="42">
        <v>5817021</v>
      </c>
      <c r="AC822" s="42">
        <v>5817021</v>
      </c>
    </row>
    <row r="823" spans="1:29">
      <c r="A823" t="s">
        <v>45</v>
      </c>
      <c r="B823" t="s">
        <v>46</v>
      </c>
      <c r="C823" t="s">
        <v>47</v>
      </c>
      <c r="D823" t="s">
        <v>691</v>
      </c>
      <c r="E823" t="s">
        <v>49</v>
      </c>
      <c r="F823" t="s">
        <v>67</v>
      </c>
      <c r="G823" t="s">
        <v>51</v>
      </c>
      <c r="H823" s="17" t="s">
        <v>52</v>
      </c>
      <c r="I823" t="s">
        <v>53</v>
      </c>
      <c r="J823" t="s">
        <v>54</v>
      </c>
      <c r="K823">
        <v>1</v>
      </c>
      <c r="L823" t="s">
        <v>55</v>
      </c>
      <c r="M823" t="s">
        <v>56</v>
      </c>
      <c r="N823" t="s">
        <v>57</v>
      </c>
      <c r="O823" s="18" t="s">
        <v>58</v>
      </c>
      <c r="P823" s="18" t="s">
        <v>68</v>
      </c>
      <c r="Q823" s="17" t="s">
        <v>225</v>
      </c>
      <c r="R823" s="18" t="s">
        <v>226</v>
      </c>
      <c r="S823" s="32">
        <v>11</v>
      </c>
      <c r="T823" s="19">
        <v>11</v>
      </c>
      <c r="U823" s="17" t="s">
        <v>227</v>
      </c>
      <c r="V823" s="17">
        <v>46000</v>
      </c>
      <c r="W823" s="18">
        <v>12</v>
      </c>
      <c r="X823" s="17">
        <v>46112</v>
      </c>
      <c r="Y823" s="17">
        <v>46010</v>
      </c>
      <c r="Z823" s="45">
        <v>12</v>
      </c>
      <c r="AA823">
        <v>2025</v>
      </c>
      <c r="AB823" s="42">
        <v>153164</v>
      </c>
      <c r="AC823" s="42">
        <v>153164</v>
      </c>
    </row>
    <row r="824" spans="1:29">
      <c r="A824" t="s">
        <v>45</v>
      </c>
      <c r="B824" t="s">
        <v>46</v>
      </c>
      <c r="C824" t="s">
        <v>47</v>
      </c>
      <c r="D824" t="s">
        <v>691</v>
      </c>
      <c r="E824" t="s">
        <v>49</v>
      </c>
      <c r="F824" t="s">
        <v>71</v>
      </c>
      <c r="G824" t="s">
        <v>51</v>
      </c>
      <c r="H824" s="17" t="s">
        <v>52</v>
      </c>
      <c r="I824" t="s">
        <v>53</v>
      </c>
      <c r="J824" t="s">
        <v>54</v>
      </c>
      <c r="K824">
        <v>1</v>
      </c>
      <c r="L824" t="s">
        <v>55</v>
      </c>
      <c r="M824" t="s">
        <v>56</v>
      </c>
      <c r="N824" t="s">
        <v>57</v>
      </c>
      <c r="O824" s="18" t="s">
        <v>58</v>
      </c>
      <c r="P824" s="18" t="s">
        <v>137</v>
      </c>
      <c r="Q824" s="17" t="s">
        <v>492</v>
      </c>
      <c r="R824" s="18" t="s">
        <v>493</v>
      </c>
      <c r="S824" s="32">
        <v>2</v>
      </c>
      <c r="T824" s="19">
        <v>2</v>
      </c>
      <c r="U824" s="17" t="s">
        <v>62</v>
      </c>
      <c r="V824" s="17">
        <v>46000</v>
      </c>
      <c r="W824" s="18">
        <v>12</v>
      </c>
      <c r="X824" s="17">
        <v>46112</v>
      </c>
      <c r="Y824" s="17">
        <v>46017</v>
      </c>
      <c r="Z824" s="45">
        <v>12</v>
      </c>
      <c r="AA824">
        <v>2025</v>
      </c>
      <c r="AB824" s="42">
        <v>74938</v>
      </c>
      <c r="AC824" s="42">
        <v>74938</v>
      </c>
    </row>
    <row r="825" spans="1:29">
      <c r="A825" t="s">
        <v>45</v>
      </c>
      <c r="B825" t="s">
        <v>46</v>
      </c>
      <c r="C825" t="s">
        <v>47</v>
      </c>
      <c r="D825" t="s">
        <v>691</v>
      </c>
      <c r="E825" t="s">
        <v>49</v>
      </c>
      <c r="F825" t="s">
        <v>75</v>
      </c>
      <c r="G825" t="s">
        <v>51</v>
      </c>
      <c r="H825" s="17" t="s">
        <v>52</v>
      </c>
      <c r="I825" t="s">
        <v>53</v>
      </c>
      <c r="J825" t="s">
        <v>54</v>
      </c>
      <c r="K825">
        <v>1</v>
      </c>
      <c r="L825" t="s">
        <v>55</v>
      </c>
      <c r="M825" t="s">
        <v>56</v>
      </c>
      <c r="N825" t="s">
        <v>57</v>
      </c>
      <c r="O825" s="18" t="s">
        <v>58</v>
      </c>
      <c r="P825" s="18" t="s">
        <v>137</v>
      </c>
      <c r="Q825" s="17" t="s">
        <v>138</v>
      </c>
      <c r="R825" s="18" t="s">
        <v>139</v>
      </c>
      <c r="S825" s="32">
        <v>10</v>
      </c>
      <c r="T825" s="19">
        <v>10</v>
      </c>
      <c r="U825" s="17" t="s">
        <v>62</v>
      </c>
      <c r="V825" s="17">
        <v>46000</v>
      </c>
      <c r="W825" s="18">
        <v>12</v>
      </c>
      <c r="X825" s="17">
        <v>46112</v>
      </c>
      <c r="Y825" s="17">
        <v>46017</v>
      </c>
      <c r="Z825" s="45">
        <v>12</v>
      </c>
      <c r="AA825">
        <v>2025</v>
      </c>
      <c r="AB825" s="42">
        <v>242350</v>
      </c>
      <c r="AC825" s="42">
        <v>242350</v>
      </c>
    </row>
    <row r="826" spans="1:29">
      <c r="A826" t="s">
        <v>45</v>
      </c>
      <c r="B826" t="s">
        <v>46</v>
      </c>
      <c r="C826" t="s">
        <v>47</v>
      </c>
      <c r="D826" t="s">
        <v>691</v>
      </c>
      <c r="E826" t="s">
        <v>49</v>
      </c>
      <c r="F826" t="s">
        <v>79</v>
      </c>
      <c r="G826" t="s">
        <v>51</v>
      </c>
      <c r="H826" s="17" t="s">
        <v>52</v>
      </c>
      <c r="I826" t="s">
        <v>53</v>
      </c>
      <c r="J826" t="s">
        <v>54</v>
      </c>
      <c r="K826">
        <v>1</v>
      </c>
      <c r="L826" t="s">
        <v>55</v>
      </c>
      <c r="M826" t="s">
        <v>56</v>
      </c>
      <c r="N826" t="s">
        <v>57</v>
      </c>
      <c r="O826" s="18" t="s">
        <v>58</v>
      </c>
      <c r="P826" s="18" t="s">
        <v>72</v>
      </c>
      <c r="Q826" s="17" t="s">
        <v>692</v>
      </c>
      <c r="R826" s="18" t="s">
        <v>693</v>
      </c>
      <c r="S826" s="32">
        <v>48</v>
      </c>
      <c r="T826" s="19">
        <v>48</v>
      </c>
      <c r="U826" s="17" t="s">
        <v>62</v>
      </c>
      <c r="V826" s="17">
        <v>46000</v>
      </c>
      <c r="W826" s="18">
        <v>12</v>
      </c>
      <c r="X826" s="17">
        <v>46112</v>
      </c>
      <c r="Y826" s="17">
        <v>46010</v>
      </c>
      <c r="Z826" s="45">
        <v>12</v>
      </c>
      <c r="AA826">
        <v>2025</v>
      </c>
      <c r="AB826" s="42">
        <v>804720</v>
      </c>
      <c r="AC826" s="42">
        <v>804720</v>
      </c>
    </row>
    <row r="827" spans="1:29">
      <c r="A827" t="s">
        <v>45</v>
      </c>
      <c r="B827" t="s">
        <v>46</v>
      </c>
      <c r="C827" t="s">
        <v>47</v>
      </c>
      <c r="D827" t="s">
        <v>691</v>
      </c>
      <c r="E827" t="s">
        <v>49</v>
      </c>
      <c r="F827" t="s">
        <v>98</v>
      </c>
      <c r="G827" t="s">
        <v>51</v>
      </c>
      <c r="H827" s="17" t="s">
        <v>52</v>
      </c>
      <c r="I827" t="s">
        <v>53</v>
      </c>
      <c r="J827" t="s">
        <v>54</v>
      </c>
      <c r="K827">
        <v>1</v>
      </c>
      <c r="L827" t="s">
        <v>55</v>
      </c>
      <c r="M827" t="s">
        <v>56</v>
      </c>
      <c r="N827" t="s">
        <v>57</v>
      </c>
      <c r="O827" s="18" t="s">
        <v>58</v>
      </c>
      <c r="P827" s="18" t="s">
        <v>72</v>
      </c>
      <c r="Q827" s="17" t="s">
        <v>545</v>
      </c>
      <c r="R827" s="18" t="s">
        <v>546</v>
      </c>
      <c r="S827" s="32">
        <v>189</v>
      </c>
      <c r="T827" s="19">
        <v>189</v>
      </c>
      <c r="U827" s="17" t="s">
        <v>62</v>
      </c>
      <c r="V827" s="17">
        <v>46000</v>
      </c>
      <c r="W827" s="18">
        <v>12</v>
      </c>
      <c r="X827" s="17">
        <v>46112</v>
      </c>
      <c r="Y827" s="17">
        <v>46010</v>
      </c>
      <c r="Z827" s="45">
        <v>12</v>
      </c>
      <c r="AA827">
        <v>2025</v>
      </c>
      <c r="AB827" s="42">
        <v>2158191</v>
      </c>
      <c r="AC827" s="42">
        <v>2158191</v>
      </c>
    </row>
    <row r="828" spans="1:29">
      <c r="A828" t="s">
        <v>45</v>
      </c>
      <c r="B828" t="s">
        <v>46</v>
      </c>
      <c r="C828" t="s">
        <v>47</v>
      </c>
      <c r="D828" t="s">
        <v>691</v>
      </c>
      <c r="E828" t="s">
        <v>49</v>
      </c>
      <c r="F828" t="s">
        <v>334</v>
      </c>
      <c r="G828" t="s">
        <v>51</v>
      </c>
      <c r="H828" s="17" t="s">
        <v>52</v>
      </c>
      <c r="I828" t="s">
        <v>53</v>
      </c>
      <c r="J828" t="s">
        <v>54</v>
      </c>
      <c r="K828">
        <v>1</v>
      </c>
      <c r="L828" t="s">
        <v>55</v>
      </c>
      <c r="M828" t="s">
        <v>56</v>
      </c>
      <c r="N828" t="s">
        <v>57</v>
      </c>
      <c r="O828" s="18" t="s">
        <v>58</v>
      </c>
      <c r="P828" s="18" t="s">
        <v>86</v>
      </c>
      <c r="Q828" s="17" t="s">
        <v>289</v>
      </c>
      <c r="R828" s="18" t="s">
        <v>290</v>
      </c>
      <c r="S828" s="32">
        <v>49</v>
      </c>
      <c r="T828" s="19">
        <v>49</v>
      </c>
      <c r="U828" s="17" t="s">
        <v>62</v>
      </c>
      <c r="V828" s="17">
        <v>46000</v>
      </c>
      <c r="W828" s="18">
        <v>12</v>
      </c>
      <c r="X828" s="17">
        <v>46112</v>
      </c>
      <c r="Y828" s="17">
        <v>46010</v>
      </c>
      <c r="Z828" s="45">
        <v>12</v>
      </c>
      <c r="AA828">
        <v>2025</v>
      </c>
      <c r="AB828" s="42">
        <v>611177</v>
      </c>
      <c r="AC828" s="42">
        <v>611177</v>
      </c>
    </row>
    <row r="829" spans="1:29">
      <c r="A829" t="s">
        <v>45</v>
      </c>
      <c r="B829" t="s">
        <v>46</v>
      </c>
      <c r="C829" t="s">
        <v>47</v>
      </c>
      <c r="D829" t="s">
        <v>694</v>
      </c>
      <c r="E829" t="s">
        <v>49</v>
      </c>
      <c r="F829" t="s">
        <v>50</v>
      </c>
      <c r="G829" t="s">
        <v>51</v>
      </c>
      <c r="H829" s="17" t="s">
        <v>52</v>
      </c>
      <c r="I829" t="s">
        <v>53</v>
      </c>
      <c r="J829" t="s">
        <v>54</v>
      </c>
      <c r="K829">
        <v>1</v>
      </c>
      <c r="L829" t="s">
        <v>55</v>
      </c>
      <c r="M829" t="s">
        <v>84</v>
      </c>
      <c r="N829" t="s">
        <v>85</v>
      </c>
      <c r="O829" s="18" t="s">
        <v>58</v>
      </c>
      <c r="P829" s="18" t="s">
        <v>99</v>
      </c>
      <c r="Q829" s="17" t="s">
        <v>624</v>
      </c>
      <c r="R829" s="18" t="s">
        <v>625</v>
      </c>
      <c r="S829" s="32">
        <v>50</v>
      </c>
      <c r="T829" s="19">
        <v>50</v>
      </c>
      <c r="U829" s="17" t="s">
        <v>62</v>
      </c>
      <c r="V829" s="17">
        <v>46000</v>
      </c>
      <c r="W829" s="18">
        <v>12</v>
      </c>
      <c r="X829" s="17">
        <v>46003</v>
      </c>
      <c r="Y829" s="17">
        <v>46006</v>
      </c>
      <c r="Z829" s="45">
        <v>12</v>
      </c>
      <c r="AA829">
        <v>2025</v>
      </c>
      <c r="AB829" s="42">
        <v>1548650</v>
      </c>
      <c r="AC829" s="42">
        <v>1548650</v>
      </c>
    </row>
    <row r="830" spans="1:29">
      <c r="A830" t="s">
        <v>45</v>
      </c>
      <c r="B830" t="s">
        <v>46</v>
      </c>
      <c r="C830" t="s">
        <v>47</v>
      </c>
      <c r="D830" t="s">
        <v>694</v>
      </c>
      <c r="E830" t="s">
        <v>49</v>
      </c>
      <c r="F830" t="s">
        <v>63</v>
      </c>
      <c r="G830" t="s">
        <v>51</v>
      </c>
      <c r="H830" s="17" t="s">
        <v>52</v>
      </c>
      <c r="I830" t="s">
        <v>53</v>
      </c>
      <c r="J830" t="s">
        <v>54</v>
      </c>
      <c r="K830">
        <v>1</v>
      </c>
      <c r="L830" t="s">
        <v>55</v>
      </c>
      <c r="M830" t="s">
        <v>84</v>
      </c>
      <c r="N830" t="s">
        <v>85</v>
      </c>
      <c r="O830" s="18" t="s">
        <v>58</v>
      </c>
      <c r="P830" s="18" t="s">
        <v>99</v>
      </c>
      <c r="Q830" s="17" t="s">
        <v>253</v>
      </c>
      <c r="R830" s="18" t="s">
        <v>254</v>
      </c>
      <c r="S830" s="32">
        <v>2</v>
      </c>
      <c r="T830" s="19">
        <v>2</v>
      </c>
      <c r="U830" s="17" t="s">
        <v>62</v>
      </c>
      <c r="V830" s="17">
        <v>46000</v>
      </c>
      <c r="W830" s="18">
        <v>12</v>
      </c>
      <c r="X830" s="17">
        <v>46003</v>
      </c>
      <c r="Y830" s="17">
        <v>46006</v>
      </c>
      <c r="Z830" s="45">
        <v>12</v>
      </c>
      <c r="AA830">
        <v>2025</v>
      </c>
      <c r="AB830" s="42">
        <v>284546</v>
      </c>
      <c r="AC830" s="42">
        <v>284546</v>
      </c>
    </row>
    <row r="831" spans="1:29">
      <c r="A831" t="s">
        <v>45</v>
      </c>
      <c r="B831" t="s">
        <v>46</v>
      </c>
      <c r="C831" t="s">
        <v>47</v>
      </c>
      <c r="D831" t="s">
        <v>694</v>
      </c>
      <c r="E831" t="s">
        <v>49</v>
      </c>
      <c r="F831" t="s">
        <v>67</v>
      </c>
      <c r="G831" t="s">
        <v>51</v>
      </c>
      <c r="H831" s="17" t="s">
        <v>52</v>
      </c>
      <c r="I831" t="s">
        <v>53</v>
      </c>
      <c r="J831" t="s">
        <v>54</v>
      </c>
      <c r="K831">
        <v>1</v>
      </c>
      <c r="L831" t="s">
        <v>55</v>
      </c>
      <c r="M831" t="s">
        <v>84</v>
      </c>
      <c r="N831" t="s">
        <v>85</v>
      </c>
      <c r="O831" s="18" t="s">
        <v>58</v>
      </c>
      <c r="P831" s="18" t="s">
        <v>64</v>
      </c>
      <c r="Q831" s="17" t="s">
        <v>92</v>
      </c>
      <c r="R831" s="18" t="s">
        <v>93</v>
      </c>
      <c r="S831" s="32">
        <v>5</v>
      </c>
      <c r="T831" s="19">
        <v>5</v>
      </c>
      <c r="U831" s="17" t="s">
        <v>62</v>
      </c>
      <c r="V831" s="17">
        <v>46000</v>
      </c>
      <c r="W831" s="18">
        <v>12</v>
      </c>
      <c r="X831" s="17">
        <v>46003</v>
      </c>
      <c r="Y831" s="17">
        <v>46006</v>
      </c>
      <c r="Z831" s="45">
        <v>12</v>
      </c>
      <c r="AA831">
        <v>2025</v>
      </c>
      <c r="AB831" s="42">
        <v>70410</v>
      </c>
      <c r="AC831" s="42">
        <v>70410</v>
      </c>
    </row>
    <row r="832" spans="1:29">
      <c r="A832" t="s">
        <v>45</v>
      </c>
      <c r="B832" t="s">
        <v>46</v>
      </c>
      <c r="C832" t="s">
        <v>47</v>
      </c>
      <c r="D832" t="s">
        <v>694</v>
      </c>
      <c r="E832" t="s">
        <v>49</v>
      </c>
      <c r="F832" t="s">
        <v>71</v>
      </c>
      <c r="G832" t="s">
        <v>51</v>
      </c>
      <c r="H832" s="17" t="s">
        <v>52</v>
      </c>
      <c r="I832" t="s">
        <v>53</v>
      </c>
      <c r="J832" t="s">
        <v>54</v>
      </c>
      <c r="K832">
        <v>1</v>
      </c>
      <c r="L832" t="s">
        <v>55</v>
      </c>
      <c r="M832" t="s">
        <v>84</v>
      </c>
      <c r="N832" t="s">
        <v>85</v>
      </c>
      <c r="O832" s="18" t="s">
        <v>58</v>
      </c>
      <c r="P832" s="18" t="s">
        <v>59</v>
      </c>
      <c r="Q832" s="17" t="s">
        <v>575</v>
      </c>
      <c r="R832" s="18" t="s">
        <v>576</v>
      </c>
      <c r="S832" s="32">
        <v>4</v>
      </c>
      <c r="T832" s="19">
        <v>4</v>
      </c>
      <c r="U832" s="17" t="s">
        <v>62</v>
      </c>
      <c r="V832" s="17">
        <v>46000</v>
      </c>
      <c r="W832" s="18">
        <v>12</v>
      </c>
      <c r="X832" s="17">
        <v>46003</v>
      </c>
      <c r="Y832" s="17">
        <v>46006</v>
      </c>
      <c r="Z832" s="45">
        <v>12</v>
      </c>
      <c r="AA832">
        <v>2025</v>
      </c>
      <c r="AB832" s="42">
        <v>65288</v>
      </c>
      <c r="AC832" s="42">
        <v>65288</v>
      </c>
    </row>
    <row r="833" spans="1:29">
      <c r="A833" t="s">
        <v>45</v>
      </c>
      <c r="B833" t="s">
        <v>46</v>
      </c>
      <c r="C833" t="s">
        <v>47</v>
      </c>
      <c r="D833" t="s">
        <v>694</v>
      </c>
      <c r="E833" t="s">
        <v>49</v>
      </c>
      <c r="F833" t="s">
        <v>75</v>
      </c>
      <c r="G833" t="s">
        <v>51</v>
      </c>
      <c r="H833" s="17" t="s">
        <v>52</v>
      </c>
      <c r="I833" t="s">
        <v>53</v>
      </c>
      <c r="J833" t="s">
        <v>54</v>
      </c>
      <c r="K833">
        <v>1</v>
      </c>
      <c r="L833" t="s">
        <v>55</v>
      </c>
      <c r="M833" t="s">
        <v>84</v>
      </c>
      <c r="N833" t="s">
        <v>85</v>
      </c>
      <c r="O833" s="18" t="s">
        <v>58</v>
      </c>
      <c r="P833" s="18" t="s">
        <v>94</v>
      </c>
      <c r="Q833" s="17" t="s">
        <v>441</v>
      </c>
      <c r="R833" s="18" t="s">
        <v>442</v>
      </c>
      <c r="S833" s="32">
        <v>9</v>
      </c>
      <c r="T833" s="19">
        <v>9</v>
      </c>
      <c r="U833" s="17" t="s">
        <v>62</v>
      </c>
      <c r="V833" s="17">
        <v>46000</v>
      </c>
      <c r="W833" s="18">
        <v>12</v>
      </c>
      <c r="X833" s="17">
        <v>46003</v>
      </c>
      <c r="Y833" s="17">
        <v>46006</v>
      </c>
      <c r="Z833" s="45">
        <v>12</v>
      </c>
      <c r="AA833">
        <v>2025</v>
      </c>
      <c r="AB833" s="42">
        <v>99477</v>
      </c>
      <c r="AC833" s="42">
        <v>99477</v>
      </c>
    </row>
    <row r="834" spans="1:29">
      <c r="A834" t="s">
        <v>45</v>
      </c>
      <c r="B834" t="s">
        <v>46</v>
      </c>
      <c r="C834" t="s">
        <v>47</v>
      </c>
      <c r="D834" t="s">
        <v>695</v>
      </c>
      <c r="E834" t="s">
        <v>49</v>
      </c>
      <c r="F834" t="s">
        <v>50</v>
      </c>
      <c r="G834" t="s">
        <v>51</v>
      </c>
      <c r="H834" s="17" t="s">
        <v>52</v>
      </c>
      <c r="I834" t="s">
        <v>53</v>
      </c>
      <c r="J834" t="s">
        <v>54</v>
      </c>
      <c r="K834">
        <v>1</v>
      </c>
      <c r="L834" t="s">
        <v>55</v>
      </c>
      <c r="M834" t="s">
        <v>56</v>
      </c>
      <c r="N834" t="s">
        <v>57</v>
      </c>
      <c r="O834" s="18" t="s">
        <v>58</v>
      </c>
      <c r="P834" s="18" t="s">
        <v>86</v>
      </c>
      <c r="Q834" s="17" t="s">
        <v>295</v>
      </c>
      <c r="R834" s="18" t="s">
        <v>296</v>
      </c>
      <c r="S834" s="32">
        <v>3</v>
      </c>
      <c r="T834" s="19">
        <v>3</v>
      </c>
      <c r="U834" s="17" t="s">
        <v>62</v>
      </c>
      <c r="V834" s="17">
        <v>46001</v>
      </c>
      <c r="W834" s="18">
        <v>12</v>
      </c>
      <c r="X834" s="17">
        <v>46367</v>
      </c>
      <c r="Y834" s="17">
        <v>46020</v>
      </c>
      <c r="Z834" s="45">
        <v>12</v>
      </c>
      <c r="AA834">
        <v>2025</v>
      </c>
      <c r="AB834" s="42">
        <v>241032</v>
      </c>
      <c r="AC834" s="42">
        <v>241032</v>
      </c>
    </row>
    <row r="835" spans="1:29">
      <c r="A835" t="s">
        <v>45</v>
      </c>
      <c r="B835" t="s">
        <v>46</v>
      </c>
      <c r="C835" t="s">
        <v>47</v>
      </c>
      <c r="D835" t="s">
        <v>695</v>
      </c>
      <c r="E835" t="s">
        <v>49</v>
      </c>
      <c r="F835" t="s">
        <v>63</v>
      </c>
      <c r="G835" t="s">
        <v>51</v>
      </c>
      <c r="H835" s="17" t="s">
        <v>52</v>
      </c>
      <c r="I835" t="s">
        <v>53</v>
      </c>
      <c r="J835" t="s">
        <v>54</v>
      </c>
      <c r="K835">
        <v>1</v>
      </c>
      <c r="L835" t="s">
        <v>55</v>
      </c>
      <c r="M835" t="s">
        <v>56</v>
      </c>
      <c r="N835" t="s">
        <v>57</v>
      </c>
      <c r="O835" s="18" t="s">
        <v>58</v>
      </c>
      <c r="P835" s="18" t="s">
        <v>297</v>
      </c>
      <c r="Q835" s="17" t="s">
        <v>359</v>
      </c>
      <c r="R835" s="18" t="s">
        <v>360</v>
      </c>
      <c r="S835" s="32">
        <v>1</v>
      </c>
      <c r="T835" s="19">
        <v>1</v>
      </c>
      <c r="U835" s="17" t="s">
        <v>62</v>
      </c>
      <c r="V835" s="17">
        <v>46001</v>
      </c>
      <c r="W835" s="18">
        <v>12</v>
      </c>
      <c r="X835" s="17">
        <v>46367</v>
      </c>
      <c r="Y835" s="17">
        <v>46020</v>
      </c>
      <c r="Z835" s="45">
        <v>12</v>
      </c>
      <c r="AA835">
        <v>2025</v>
      </c>
      <c r="AB835" s="42">
        <v>59546</v>
      </c>
      <c r="AC835" s="42">
        <v>59546</v>
      </c>
    </row>
    <row r="836" spans="1:29">
      <c r="A836" t="s">
        <v>45</v>
      </c>
      <c r="B836" t="s">
        <v>46</v>
      </c>
      <c r="C836" t="s">
        <v>47</v>
      </c>
      <c r="D836" t="s">
        <v>695</v>
      </c>
      <c r="E836" t="s">
        <v>49</v>
      </c>
      <c r="F836" t="s">
        <v>67</v>
      </c>
      <c r="G836" t="s">
        <v>51</v>
      </c>
      <c r="H836" s="17" t="s">
        <v>52</v>
      </c>
      <c r="I836" t="s">
        <v>53</v>
      </c>
      <c r="J836" t="s">
        <v>54</v>
      </c>
      <c r="K836">
        <v>1</v>
      </c>
      <c r="L836" t="s">
        <v>55</v>
      </c>
      <c r="M836" t="s">
        <v>56</v>
      </c>
      <c r="N836" t="s">
        <v>57</v>
      </c>
      <c r="O836" s="18" t="s">
        <v>58</v>
      </c>
      <c r="P836" s="18" t="s">
        <v>297</v>
      </c>
      <c r="Q836" s="17" t="s">
        <v>302</v>
      </c>
      <c r="R836" s="18" t="s">
        <v>303</v>
      </c>
      <c r="S836" s="32">
        <v>1</v>
      </c>
      <c r="T836" s="19">
        <v>1</v>
      </c>
      <c r="U836" s="17" t="s">
        <v>62</v>
      </c>
      <c r="V836" s="17">
        <v>46001</v>
      </c>
      <c r="W836" s="18">
        <v>12</v>
      </c>
      <c r="X836" s="17">
        <v>46367</v>
      </c>
      <c r="Y836" s="17">
        <v>46020</v>
      </c>
      <c r="Z836" s="45">
        <v>12</v>
      </c>
      <c r="AA836">
        <v>2025</v>
      </c>
      <c r="AB836" s="42">
        <v>97587</v>
      </c>
      <c r="AC836" s="42">
        <v>97587</v>
      </c>
    </row>
    <row r="837" spans="1:29">
      <c r="A837" t="s">
        <v>45</v>
      </c>
      <c r="B837" t="s">
        <v>46</v>
      </c>
      <c r="C837" t="s">
        <v>47</v>
      </c>
      <c r="D837" t="s">
        <v>696</v>
      </c>
      <c r="E837" t="s">
        <v>49</v>
      </c>
      <c r="F837" t="s">
        <v>50</v>
      </c>
      <c r="G837" t="s">
        <v>51</v>
      </c>
      <c r="H837" s="17" t="s">
        <v>52</v>
      </c>
      <c r="I837" t="s">
        <v>53</v>
      </c>
      <c r="J837" t="s">
        <v>54</v>
      </c>
      <c r="K837">
        <v>1</v>
      </c>
      <c r="L837" t="s">
        <v>55</v>
      </c>
      <c r="M837" t="s">
        <v>56</v>
      </c>
      <c r="N837" t="s">
        <v>57</v>
      </c>
      <c r="O837" s="18" t="s">
        <v>58</v>
      </c>
      <c r="P837" s="18" t="s">
        <v>76</v>
      </c>
      <c r="Q837" s="17" t="s">
        <v>697</v>
      </c>
      <c r="R837" s="18" t="s">
        <v>698</v>
      </c>
      <c r="S837" s="32">
        <v>255</v>
      </c>
      <c r="T837" s="19">
        <v>255</v>
      </c>
      <c r="U837" s="17" t="s">
        <v>62</v>
      </c>
      <c r="V837" s="17">
        <v>46002</v>
      </c>
      <c r="W837" s="18">
        <v>12</v>
      </c>
      <c r="X837" s="17">
        <v>46234</v>
      </c>
      <c r="Y837" s="17">
        <v>46007</v>
      </c>
      <c r="Z837" s="45">
        <v>12</v>
      </c>
      <c r="AA837">
        <v>2025</v>
      </c>
      <c r="AB837" s="42">
        <v>3258645</v>
      </c>
      <c r="AC837" s="42">
        <v>3258645</v>
      </c>
    </row>
    <row r="838" spans="1:29">
      <c r="A838" t="s">
        <v>45</v>
      </c>
      <c r="B838" t="s">
        <v>46</v>
      </c>
      <c r="C838" t="s">
        <v>47</v>
      </c>
      <c r="D838" t="s">
        <v>699</v>
      </c>
      <c r="E838" t="s">
        <v>49</v>
      </c>
      <c r="F838" t="s">
        <v>50</v>
      </c>
      <c r="G838" t="s">
        <v>51</v>
      </c>
      <c r="H838" s="17" t="s">
        <v>52</v>
      </c>
      <c r="I838" t="s">
        <v>53</v>
      </c>
      <c r="J838" t="s">
        <v>54</v>
      </c>
      <c r="K838">
        <v>1</v>
      </c>
      <c r="L838" t="s">
        <v>55</v>
      </c>
      <c r="M838" t="s">
        <v>56</v>
      </c>
      <c r="N838" t="s">
        <v>57</v>
      </c>
      <c r="O838" s="18" t="s">
        <v>58</v>
      </c>
      <c r="P838" s="18" t="s">
        <v>72</v>
      </c>
      <c r="Q838" s="17" t="s">
        <v>151</v>
      </c>
      <c r="R838" s="18" t="s">
        <v>152</v>
      </c>
      <c r="S838" s="32">
        <v>40</v>
      </c>
      <c r="T838" s="19">
        <v>40</v>
      </c>
      <c r="U838" s="17" t="s">
        <v>62</v>
      </c>
      <c r="V838" s="17">
        <v>46006</v>
      </c>
      <c r="W838" s="18">
        <v>12</v>
      </c>
      <c r="X838" s="17">
        <v>46080</v>
      </c>
      <c r="Y838" s="17">
        <v>46021</v>
      </c>
      <c r="Z838" s="45">
        <v>12</v>
      </c>
      <c r="AA838">
        <v>2025</v>
      </c>
      <c r="AB838" s="42">
        <v>1180040</v>
      </c>
      <c r="AC838" s="42">
        <v>1180040</v>
      </c>
    </row>
    <row r="839" spans="1:29">
      <c r="A839" t="s">
        <v>45</v>
      </c>
      <c r="B839" t="s">
        <v>46</v>
      </c>
      <c r="C839" t="s">
        <v>47</v>
      </c>
      <c r="D839" t="s">
        <v>700</v>
      </c>
      <c r="E839" t="s">
        <v>115</v>
      </c>
      <c r="F839" t="s">
        <v>50</v>
      </c>
      <c r="G839" t="s">
        <v>116</v>
      </c>
      <c r="H839" s="17" t="s">
        <v>52</v>
      </c>
      <c r="I839" t="s">
        <v>53</v>
      </c>
      <c r="J839" t="s">
        <v>110</v>
      </c>
      <c r="K839">
        <v>1</v>
      </c>
      <c r="L839" t="s">
        <v>55</v>
      </c>
      <c r="M839" t="s">
        <v>56</v>
      </c>
      <c r="N839" t="s">
        <v>57</v>
      </c>
      <c r="O839" s="18" t="s">
        <v>58</v>
      </c>
      <c r="P839" s="18" t="s">
        <v>72</v>
      </c>
      <c r="Q839" s="17" t="s">
        <v>122</v>
      </c>
      <c r="R839" s="18" t="s">
        <v>425</v>
      </c>
      <c r="S839" s="32">
        <v>4</v>
      </c>
      <c r="T839" s="19">
        <v>4</v>
      </c>
      <c r="U839" s="17" t="s">
        <v>119</v>
      </c>
      <c r="V839" s="17">
        <v>45996</v>
      </c>
      <c r="W839" s="18">
        <v>12</v>
      </c>
      <c r="X839" s="17">
        <v>46009</v>
      </c>
      <c r="Y839" s="17">
        <v>46002</v>
      </c>
      <c r="Z839" s="45">
        <v>12</v>
      </c>
      <c r="AA839">
        <v>2025</v>
      </c>
      <c r="AB839" s="42">
        <v>1405320</v>
      </c>
      <c r="AC839" s="42">
        <v>1405320</v>
      </c>
    </row>
    <row r="840" spans="1:29">
      <c r="A840" t="s">
        <v>45</v>
      </c>
      <c r="B840" t="s">
        <v>46</v>
      </c>
      <c r="C840" t="s">
        <v>47</v>
      </c>
      <c r="D840" t="s">
        <v>700</v>
      </c>
      <c r="E840" t="s">
        <v>115</v>
      </c>
      <c r="F840" t="s">
        <v>63</v>
      </c>
      <c r="G840" t="s">
        <v>116</v>
      </c>
      <c r="H840" s="17" t="s">
        <v>52</v>
      </c>
      <c r="I840" t="s">
        <v>53</v>
      </c>
      <c r="J840" t="s">
        <v>110</v>
      </c>
      <c r="K840">
        <v>1</v>
      </c>
      <c r="L840" t="s">
        <v>55</v>
      </c>
      <c r="M840" t="s">
        <v>56</v>
      </c>
      <c r="N840" t="s">
        <v>57</v>
      </c>
      <c r="O840" s="18" t="s">
        <v>58</v>
      </c>
      <c r="P840" s="18" t="s">
        <v>72</v>
      </c>
      <c r="Q840" s="17" t="s">
        <v>117</v>
      </c>
      <c r="R840" s="18" t="s">
        <v>393</v>
      </c>
      <c r="S840" s="32">
        <v>2</v>
      </c>
      <c r="T840" s="19">
        <v>2</v>
      </c>
      <c r="U840" s="17" t="s">
        <v>119</v>
      </c>
      <c r="V840" s="17">
        <v>45996</v>
      </c>
      <c r="W840" s="18">
        <v>12</v>
      </c>
      <c r="X840" s="17">
        <v>46009</v>
      </c>
      <c r="Y840" s="17">
        <v>46002</v>
      </c>
      <c r="Z840" s="45">
        <v>12</v>
      </c>
      <c r="AA840">
        <v>2025</v>
      </c>
      <c r="AB840" s="42">
        <v>703000</v>
      </c>
      <c r="AC840" s="42">
        <v>703000</v>
      </c>
    </row>
    <row r="841" spans="1:29">
      <c r="A841" t="s">
        <v>45</v>
      </c>
      <c r="B841" t="s">
        <v>46</v>
      </c>
      <c r="C841" t="s">
        <v>47</v>
      </c>
      <c r="D841" t="s">
        <v>701</v>
      </c>
      <c r="E841" t="s">
        <v>115</v>
      </c>
      <c r="F841" t="s">
        <v>50</v>
      </c>
      <c r="G841" t="s">
        <v>116</v>
      </c>
      <c r="H841" s="17" t="s">
        <v>52</v>
      </c>
      <c r="I841" t="s">
        <v>53</v>
      </c>
      <c r="J841" t="s">
        <v>110</v>
      </c>
      <c r="K841">
        <v>1</v>
      </c>
      <c r="L841" t="s">
        <v>55</v>
      </c>
      <c r="M841" t="s">
        <v>56</v>
      </c>
      <c r="N841" t="s">
        <v>57</v>
      </c>
      <c r="O841" s="18" t="s">
        <v>58</v>
      </c>
      <c r="P841" s="18" t="s">
        <v>72</v>
      </c>
      <c r="Q841" s="17" t="s">
        <v>122</v>
      </c>
      <c r="R841" s="18" t="s">
        <v>425</v>
      </c>
      <c r="S841" s="32">
        <v>4</v>
      </c>
      <c r="T841" s="19">
        <v>4</v>
      </c>
      <c r="U841" s="17" t="s">
        <v>119</v>
      </c>
      <c r="V841" s="17">
        <v>46003</v>
      </c>
      <c r="W841" s="18">
        <v>12</v>
      </c>
      <c r="X841" s="17">
        <v>46015</v>
      </c>
      <c r="Y841" s="17">
        <v>46008</v>
      </c>
      <c r="Z841" s="45">
        <v>12</v>
      </c>
      <c r="AA841">
        <v>2025</v>
      </c>
      <c r="AB841" s="42">
        <v>1405320</v>
      </c>
      <c r="AC841" s="42">
        <v>1405320</v>
      </c>
    </row>
    <row r="842" spans="1:29">
      <c r="A842" t="s">
        <v>45</v>
      </c>
      <c r="B842" t="s">
        <v>46</v>
      </c>
      <c r="C842" t="s">
        <v>47</v>
      </c>
      <c r="D842" t="s">
        <v>701</v>
      </c>
      <c r="E842" t="s">
        <v>115</v>
      </c>
      <c r="F842" t="s">
        <v>63</v>
      </c>
      <c r="G842" t="s">
        <v>116</v>
      </c>
      <c r="H842" s="17" t="s">
        <v>52</v>
      </c>
      <c r="I842" t="s">
        <v>53</v>
      </c>
      <c r="J842" t="s">
        <v>110</v>
      </c>
      <c r="K842">
        <v>1</v>
      </c>
      <c r="L842" t="s">
        <v>55</v>
      </c>
      <c r="M842" t="s">
        <v>56</v>
      </c>
      <c r="N842" t="s">
        <v>57</v>
      </c>
      <c r="O842" s="18" t="s">
        <v>58</v>
      </c>
      <c r="P842" s="18" t="s">
        <v>72</v>
      </c>
      <c r="Q842" s="17" t="s">
        <v>117</v>
      </c>
      <c r="R842" s="18" t="s">
        <v>393</v>
      </c>
      <c r="S842" s="32">
        <v>4</v>
      </c>
      <c r="T842" s="19">
        <v>4</v>
      </c>
      <c r="U842" s="17" t="s">
        <v>119</v>
      </c>
      <c r="V842" s="17">
        <v>46003</v>
      </c>
      <c r="W842" s="18">
        <v>12</v>
      </c>
      <c r="X842" s="17">
        <v>46015</v>
      </c>
      <c r="Y842" s="17">
        <v>46008</v>
      </c>
      <c r="Z842" s="45">
        <v>12</v>
      </c>
      <c r="AA842">
        <v>2025</v>
      </c>
      <c r="AB842" s="42">
        <v>1406000</v>
      </c>
      <c r="AC842" s="42">
        <v>1406000</v>
      </c>
    </row>
    <row r="843" spans="1:29">
      <c r="A843" t="s">
        <v>45</v>
      </c>
      <c r="B843" t="s">
        <v>46</v>
      </c>
      <c r="C843" t="s">
        <v>47</v>
      </c>
      <c r="D843" t="s">
        <v>702</v>
      </c>
      <c r="E843" t="s">
        <v>115</v>
      </c>
      <c r="F843" t="s">
        <v>50</v>
      </c>
      <c r="G843" t="s">
        <v>116</v>
      </c>
      <c r="H843" s="17" t="s">
        <v>52</v>
      </c>
      <c r="I843" t="s">
        <v>53</v>
      </c>
      <c r="J843" t="s">
        <v>121</v>
      </c>
      <c r="K843">
        <v>1</v>
      </c>
      <c r="L843" t="s">
        <v>55</v>
      </c>
      <c r="M843" t="s">
        <v>56</v>
      </c>
      <c r="N843" t="s">
        <v>57</v>
      </c>
      <c r="O843" s="18" t="s">
        <v>58</v>
      </c>
      <c r="P843" s="18" t="s">
        <v>72</v>
      </c>
      <c r="Q843" s="17" t="s">
        <v>147</v>
      </c>
      <c r="R843" s="18" t="s">
        <v>148</v>
      </c>
      <c r="S843" s="32">
        <v>2</v>
      </c>
      <c r="T843" s="19">
        <v>2</v>
      </c>
      <c r="U843" s="17" t="s">
        <v>119</v>
      </c>
      <c r="V843" s="17">
        <v>46003</v>
      </c>
      <c r="W843" s="18">
        <v>12</v>
      </c>
      <c r="X843" s="17">
        <v>46015</v>
      </c>
      <c r="Y843" s="17">
        <v>46008</v>
      </c>
      <c r="Z843" s="45">
        <v>12</v>
      </c>
      <c r="AA843">
        <v>2025</v>
      </c>
      <c r="AB843" s="42">
        <v>837440</v>
      </c>
      <c r="AC843" s="42">
        <v>837440</v>
      </c>
    </row>
    <row r="844" spans="1:29">
      <c r="A844" t="s">
        <v>45</v>
      </c>
      <c r="B844" t="s">
        <v>46</v>
      </c>
      <c r="C844" t="s">
        <v>47</v>
      </c>
      <c r="D844" t="s">
        <v>702</v>
      </c>
      <c r="E844" t="s">
        <v>115</v>
      </c>
      <c r="F844" t="s">
        <v>63</v>
      </c>
      <c r="G844" t="s">
        <v>116</v>
      </c>
      <c r="H844" s="17" t="s">
        <v>52</v>
      </c>
      <c r="I844" t="s">
        <v>53</v>
      </c>
      <c r="J844" t="s">
        <v>121</v>
      </c>
      <c r="K844">
        <v>1</v>
      </c>
      <c r="L844" t="s">
        <v>55</v>
      </c>
      <c r="M844" t="s">
        <v>56</v>
      </c>
      <c r="N844" t="s">
        <v>57</v>
      </c>
      <c r="O844" s="18" t="s">
        <v>58</v>
      </c>
      <c r="P844" s="18" t="s">
        <v>72</v>
      </c>
      <c r="Q844" s="17" t="s">
        <v>247</v>
      </c>
      <c r="R844" s="18" t="s">
        <v>570</v>
      </c>
      <c r="S844" s="32">
        <v>1</v>
      </c>
      <c r="T844" s="19">
        <v>1</v>
      </c>
      <c r="U844" s="17" t="s">
        <v>119</v>
      </c>
      <c r="V844" s="17">
        <v>46003</v>
      </c>
      <c r="W844" s="18">
        <v>12</v>
      </c>
      <c r="X844" s="17">
        <v>46015</v>
      </c>
      <c r="Y844" s="17">
        <v>46008</v>
      </c>
      <c r="Z844" s="45">
        <v>12</v>
      </c>
      <c r="AA844">
        <v>2025</v>
      </c>
      <c r="AB844" s="42">
        <v>517860</v>
      </c>
      <c r="AC844" s="42">
        <v>517860</v>
      </c>
    </row>
    <row r="845" spans="1:29">
      <c r="A845" t="s">
        <v>45</v>
      </c>
      <c r="B845" t="s">
        <v>46</v>
      </c>
      <c r="C845" t="s">
        <v>47</v>
      </c>
      <c r="D845" t="s">
        <v>702</v>
      </c>
      <c r="E845" t="s">
        <v>115</v>
      </c>
      <c r="F845" t="s">
        <v>67</v>
      </c>
      <c r="G845" t="s">
        <v>116</v>
      </c>
      <c r="H845" s="17" t="s">
        <v>52</v>
      </c>
      <c r="I845" t="s">
        <v>53</v>
      </c>
      <c r="J845" t="s">
        <v>121</v>
      </c>
      <c r="K845">
        <v>1</v>
      </c>
      <c r="L845" t="s">
        <v>55</v>
      </c>
      <c r="M845" t="s">
        <v>56</v>
      </c>
      <c r="N845" t="s">
        <v>57</v>
      </c>
      <c r="O845" s="18" t="s">
        <v>58</v>
      </c>
      <c r="P845" s="18" t="s">
        <v>72</v>
      </c>
      <c r="Q845" s="17" t="s">
        <v>145</v>
      </c>
      <c r="R845" s="18" t="s">
        <v>411</v>
      </c>
      <c r="S845" s="32">
        <v>1</v>
      </c>
      <c r="T845" s="19">
        <v>1</v>
      </c>
      <c r="U845" s="17" t="s">
        <v>119</v>
      </c>
      <c r="V845" s="17">
        <v>46003</v>
      </c>
      <c r="W845" s="18">
        <v>12</v>
      </c>
      <c r="X845" s="17">
        <v>46015</v>
      </c>
      <c r="Y845" s="17">
        <v>46008</v>
      </c>
      <c r="Z845" s="45">
        <v>12</v>
      </c>
      <c r="AA845">
        <v>2025</v>
      </c>
      <c r="AB845" s="42">
        <v>732480</v>
      </c>
      <c r="AC845" s="42">
        <v>732480</v>
      </c>
    </row>
    <row r="846" spans="1:29">
      <c r="A846" t="s">
        <v>45</v>
      </c>
      <c r="B846" t="s">
        <v>46</v>
      </c>
      <c r="C846" t="s">
        <v>47</v>
      </c>
      <c r="D846" t="s">
        <v>702</v>
      </c>
      <c r="E846" t="s">
        <v>115</v>
      </c>
      <c r="F846" t="s">
        <v>71</v>
      </c>
      <c r="G846" t="s">
        <v>116</v>
      </c>
      <c r="H846" s="17" t="s">
        <v>52</v>
      </c>
      <c r="I846" t="s">
        <v>53</v>
      </c>
      <c r="J846" t="s">
        <v>121</v>
      </c>
      <c r="K846">
        <v>1</v>
      </c>
      <c r="L846" t="s">
        <v>55</v>
      </c>
      <c r="M846" t="s">
        <v>56</v>
      </c>
      <c r="N846" t="s">
        <v>57</v>
      </c>
      <c r="O846" s="18" t="s">
        <v>58</v>
      </c>
      <c r="P846" s="18" t="s">
        <v>72</v>
      </c>
      <c r="Q846" s="17" t="s">
        <v>122</v>
      </c>
      <c r="R846" s="18" t="s">
        <v>425</v>
      </c>
      <c r="S846" s="32">
        <v>4</v>
      </c>
      <c r="T846" s="19">
        <v>4</v>
      </c>
      <c r="U846" s="17" t="s">
        <v>119</v>
      </c>
      <c r="V846" s="17">
        <v>46003</v>
      </c>
      <c r="W846" s="18">
        <v>12</v>
      </c>
      <c r="X846" s="17">
        <v>46015</v>
      </c>
      <c r="Y846" s="17">
        <v>46008</v>
      </c>
      <c r="Z846" s="45">
        <v>12</v>
      </c>
      <c r="AA846">
        <v>2025</v>
      </c>
      <c r="AB846" s="42">
        <v>1405320</v>
      </c>
      <c r="AC846" s="42">
        <v>1405320</v>
      </c>
    </row>
    <row r="847" spans="1:29">
      <c r="A847" t="s">
        <v>45</v>
      </c>
      <c r="B847" t="s">
        <v>46</v>
      </c>
      <c r="C847" t="s">
        <v>47</v>
      </c>
      <c r="D847" t="s">
        <v>703</v>
      </c>
      <c r="E847" t="s">
        <v>49</v>
      </c>
      <c r="F847" t="s">
        <v>50</v>
      </c>
      <c r="G847" t="s">
        <v>51</v>
      </c>
      <c r="H847" s="17" t="s">
        <v>52</v>
      </c>
      <c r="I847" t="s">
        <v>53</v>
      </c>
      <c r="J847" t="s">
        <v>104</v>
      </c>
      <c r="K847">
        <v>1</v>
      </c>
      <c r="L847" t="s">
        <v>55</v>
      </c>
      <c r="M847" t="s">
        <v>56</v>
      </c>
      <c r="N847" t="s">
        <v>57</v>
      </c>
      <c r="O847" s="18" t="s">
        <v>58</v>
      </c>
      <c r="P847" s="18" t="s">
        <v>549</v>
      </c>
      <c r="Q847" s="17" t="s">
        <v>562</v>
      </c>
      <c r="R847" s="18" t="s">
        <v>563</v>
      </c>
      <c r="S847" s="32">
        <v>30</v>
      </c>
      <c r="T847" s="19">
        <v>30</v>
      </c>
      <c r="U847" s="17" t="s">
        <v>62</v>
      </c>
      <c r="V847" s="17">
        <v>45993</v>
      </c>
      <c r="W847" s="18">
        <v>12</v>
      </c>
      <c r="X847" s="17">
        <v>45993</v>
      </c>
      <c r="Y847" s="17">
        <v>46002</v>
      </c>
      <c r="Z847" s="45">
        <v>12</v>
      </c>
      <c r="AA847">
        <v>2025</v>
      </c>
      <c r="AB847" s="42">
        <v>3261450</v>
      </c>
      <c r="AC847" s="42">
        <v>3261450</v>
      </c>
    </row>
    <row r="848" spans="1:29">
      <c r="A848" t="s">
        <v>45</v>
      </c>
      <c r="B848" t="s">
        <v>46</v>
      </c>
      <c r="C848" t="s">
        <v>47</v>
      </c>
      <c r="D848" t="s">
        <v>703</v>
      </c>
      <c r="E848" t="s">
        <v>49</v>
      </c>
      <c r="F848" t="s">
        <v>63</v>
      </c>
      <c r="G848" t="s">
        <v>51</v>
      </c>
      <c r="H848" s="17" t="s">
        <v>52</v>
      </c>
      <c r="I848" t="s">
        <v>53</v>
      </c>
      <c r="J848" t="s">
        <v>104</v>
      </c>
      <c r="K848">
        <v>1</v>
      </c>
      <c r="L848" t="s">
        <v>55</v>
      </c>
      <c r="M848" t="s">
        <v>56</v>
      </c>
      <c r="N848" t="s">
        <v>57</v>
      </c>
      <c r="O848" s="18" t="s">
        <v>58</v>
      </c>
      <c r="P848" s="18" t="s">
        <v>132</v>
      </c>
      <c r="Q848" s="17" t="s">
        <v>564</v>
      </c>
      <c r="R848" s="18" t="s">
        <v>565</v>
      </c>
      <c r="S848" s="32">
        <v>4</v>
      </c>
      <c r="T848" s="19">
        <v>4</v>
      </c>
      <c r="U848" s="17" t="s">
        <v>62</v>
      </c>
      <c r="V848" s="17">
        <v>45993</v>
      </c>
      <c r="W848" s="18">
        <v>12</v>
      </c>
      <c r="X848" s="17">
        <v>45993</v>
      </c>
      <c r="Y848" s="17">
        <v>46002</v>
      </c>
      <c r="Z848" s="45">
        <v>12</v>
      </c>
      <c r="AA848">
        <v>2025</v>
      </c>
      <c r="AB848" s="42">
        <v>121820</v>
      </c>
      <c r="AC848" s="42">
        <v>121820</v>
      </c>
    </row>
    <row r="849" spans="1:29">
      <c r="A849" t="s">
        <v>45</v>
      </c>
      <c r="B849" t="s">
        <v>46</v>
      </c>
      <c r="C849" t="s">
        <v>47</v>
      </c>
      <c r="D849" t="s">
        <v>703</v>
      </c>
      <c r="E849" t="s">
        <v>49</v>
      </c>
      <c r="F849" t="s">
        <v>67</v>
      </c>
      <c r="G849" t="s">
        <v>51</v>
      </c>
      <c r="H849" s="17" t="s">
        <v>52</v>
      </c>
      <c r="I849" t="s">
        <v>53</v>
      </c>
      <c r="J849" t="s">
        <v>104</v>
      </c>
      <c r="K849">
        <v>1</v>
      </c>
      <c r="L849" t="s">
        <v>55</v>
      </c>
      <c r="M849" t="s">
        <v>56</v>
      </c>
      <c r="N849" t="s">
        <v>57</v>
      </c>
      <c r="O849" s="18" t="s">
        <v>58</v>
      </c>
      <c r="P849" s="18" t="s">
        <v>99</v>
      </c>
      <c r="Q849" s="17" t="s">
        <v>100</v>
      </c>
      <c r="R849" s="18" t="s">
        <v>101</v>
      </c>
      <c r="S849" s="32">
        <v>1</v>
      </c>
      <c r="T849" s="19">
        <v>1</v>
      </c>
      <c r="U849" s="17" t="s">
        <v>62</v>
      </c>
      <c r="V849" s="17">
        <v>45993</v>
      </c>
      <c r="W849" s="18">
        <v>12</v>
      </c>
      <c r="X849" s="17">
        <v>45993</v>
      </c>
      <c r="Y849" s="17">
        <v>46002</v>
      </c>
      <c r="Z849" s="45">
        <v>12</v>
      </c>
      <c r="AA849">
        <v>2025</v>
      </c>
      <c r="AB849" s="42">
        <v>58000</v>
      </c>
      <c r="AC849" s="42">
        <v>58000</v>
      </c>
    </row>
    <row r="850" spans="1:29">
      <c r="A850" t="s">
        <v>45</v>
      </c>
      <c r="B850" t="s">
        <v>46</v>
      </c>
      <c r="C850" t="s">
        <v>47</v>
      </c>
      <c r="D850" t="s">
        <v>704</v>
      </c>
      <c r="E850" t="s">
        <v>49</v>
      </c>
      <c r="F850" t="s">
        <v>50</v>
      </c>
      <c r="G850" t="s">
        <v>51</v>
      </c>
      <c r="H850" s="17" t="s">
        <v>52</v>
      </c>
      <c r="I850" t="s">
        <v>53</v>
      </c>
      <c r="J850" t="s">
        <v>224</v>
      </c>
      <c r="K850">
        <v>1</v>
      </c>
      <c r="L850" t="s">
        <v>55</v>
      </c>
      <c r="M850" t="s">
        <v>56</v>
      </c>
      <c r="N850" t="s">
        <v>57</v>
      </c>
      <c r="O850" s="18" t="s">
        <v>58</v>
      </c>
      <c r="P850" s="18" t="s">
        <v>72</v>
      </c>
      <c r="Q850" s="17" t="s">
        <v>221</v>
      </c>
      <c r="R850" s="18" t="s">
        <v>222</v>
      </c>
      <c r="S850" s="32">
        <v>300</v>
      </c>
      <c r="T850" s="19">
        <v>300</v>
      </c>
      <c r="U850" s="17" t="s">
        <v>62</v>
      </c>
      <c r="V850" s="17">
        <v>45993</v>
      </c>
      <c r="W850" s="18">
        <v>12</v>
      </c>
      <c r="X850" s="17">
        <v>45994</v>
      </c>
      <c r="Y850" s="17">
        <v>45993</v>
      </c>
      <c r="Z850" s="45">
        <v>12</v>
      </c>
      <c r="AA850">
        <v>2025</v>
      </c>
      <c r="AB850" s="42">
        <v>2692500</v>
      </c>
      <c r="AC850" s="42">
        <v>2692500</v>
      </c>
    </row>
    <row r="851" spans="1:29">
      <c r="A851" t="s">
        <v>45</v>
      </c>
      <c r="B851" t="s">
        <v>46</v>
      </c>
      <c r="C851" t="s">
        <v>47</v>
      </c>
      <c r="D851" t="s">
        <v>704</v>
      </c>
      <c r="E851" t="s">
        <v>49</v>
      </c>
      <c r="F851" t="s">
        <v>63</v>
      </c>
      <c r="G851" t="s">
        <v>51</v>
      </c>
      <c r="H851" s="17" t="s">
        <v>52</v>
      </c>
      <c r="I851" t="s">
        <v>53</v>
      </c>
      <c r="J851" t="s">
        <v>224</v>
      </c>
      <c r="K851">
        <v>1</v>
      </c>
      <c r="L851" t="s">
        <v>55</v>
      </c>
      <c r="M851" t="s">
        <v>56</v>
      </c>
      <c r="N851" t="s">
        <v>57</v>
      </c>
      <c r="O851" s="18" t="s">
        <v>58</v>
      </c>
      <c r="P851" s="18" t="s">
        <v>99</v>
      </c>
      <c r="Q851" s="17" t="s">
        <v>100</v>
      </c>
      <c r="R851" s="18" t="s">
        <v>101</v>
      </c>
      <c r="S851" s="32">
        <v>300</v>
      </c>
      <c r="T851" s="19">
        <v>300</v>
      </c>
      <c r="U851" s="17" t="s">
        <v>62</v>
      </c>
      <c r="V851" s="17">
        <v>45993</v>
      </c>
      <c r="W851" s="18">
        <v>12</v>
      </c>
      <c r="X851" s="17">
        <v>45994</v>
      </c>
      <c r="Y851" s="17">
        <v>45993</v>
      </c>
      <c r="Z851" s="45">
        <v>12</v>
      </c>
      <c r="AA851">
        <v>2025</v>
      </c>
      <c r="AB851" s="42">
        <v>51900</v>
      </c>
      <c r="AC851" s="42">
        <v>51900</v>
      </c>
    </row>
    <row r="852" spans="1:29">
      <c r="A852" t="s">
        <v>45</v>
      </c>
      <c r="B852" t="s">
        <v>46</v>
      </c>
      <c r="C852" t="s">
        <v>47</v>
      </c>
      <c r="D852" t="s">
        <v>705</v>
      </c>
      <c r="E852" t="s">
        <v>49</v>
      </c>
      <c r="F852" t="s">
        <v>50</v>
      </c>
      <c r="G852" t="s">
        <v>51</v>
      </c>
      <c r="H852" s="17" t="s">
        <v>52</v>
      </c>
      <c r="I852" t="s">
        <v>53</v>
      </c>
      <c r="J852" t="s">
        <v>224</v>
      </c>
      <c r="K852">
        <v>1</v>
      </c>
      <c r="L852" t="s">
        <v>55</v>
      </c>
      <c r="M852" t="s">
        <v>56</v>
      </c>
      <c r="N852" t="s">
        <v>57</v>
      </c>
      <c r="O852" s="18" t="s">
        <v>58</v>
      </c>
      <c r="P852" s="18" t="s">
        <v>59</v>
      </c>
      <c r="Q852" s="17" t="s">
        <v>60</v>
      </c>
      <c r="R852" s="18" t="s">
        <v>61</v>
      </c>
      <c r="S852" s="32">
        <v>93</v>
      </c>
      <c r="T852" s="19">
        <v>93</v>
      </c>
      <c r="U852" s="17" t="s">
        <v>62</v>
      </c>
      <c r="V852" s="17">
        <v>45993</v>
      </c>
      <c r="W852" s="18">
        <v>12</v>
      </c>
      <c r="X852" s="17">
        <v>45994</v>
      </c>
      <c r="Y852" s="17">
        <v>45993</v>
      </c>
      <c r="Z852" s="45">
        <v>12</v>
      </c>
      <c r="AA852">
        <v>2025</v>
      </c>
      <c r="AB852" s="42">
        <v>1381236</v>
      </c>
      <c r="AC852" s="42">
        <v>1381236</v>
      </c>
    </row>
    <row r="853" spans="1:29">
      <c r="A853" t="s">
        <v>45</v>
      </c>
      <c r="B853" t="s">
        <v>46</v>
      </c>
      <c r="C853" t="s">
        <v>47</v>
      </c>
      <c r="D853" t="s">
        <v>705</v>
      </c>
      <c r="E853" t="s">
        <v>49</v>
      </c>
      <c r="F853" t="s">
        <v>63</v>
      </c>
      <c r="G853" t="s">
        <v>51</v>
      </c>
      <c r="H853" s="17" t="s">
        <v>52</v>
      </c>
      <c r="I853" t="s">
        <v>53</v>
      </c>
      <c r="J853" t="s">
        <v>224</v>
      </c>
      <c r="K853">
        <v>1</v>
      </c>
      <c r="L853" t="s">
        <v>55</v>
      </c>
      <c r="M853" t="s">
        <v>56</v>
      </c>
      <c r="N853" t="s">
        <v>57</v>
      </c>
      <c r="O853" s="18" t="s">
        <v>58</v>
      </c>
      <c r="P853" s="18" t="s">
        <v>99</v>
      </c>
      <c r="Q853" s="17" t="s">
        <v>100</v>
      </c>
      <c r="R853" s="18" t="s">
        <v>101</v>
      </c>
      <c r="S853" s="32">
        <v>93</v>
      </c>
      <c r="T853" s="19">
        <v>93</v>
      </c>
      <c r="U853" s="17" t="s">
        <v>62</v>
      </c>
      <c r="V853" s="17">
        <v>45993</v>
      </c>
      <c r="W853" s="18">
        <v>12</v>
      </c>
      <c r="X853" s="17">
        <v>45994</v>
      </c>
      <c r="Y853" s="17">
        <v>45993</v>
      </c>
      <c r="Z853" s="45">
        <v>12</v>
      </c>
      <c r="AA853">
        <v>2025</v>
      </c>
      <c r="AB853" s="42">
        <v>9300</v>
      </c>
      <c r="AC853" s="42">
        <v>9300</v>
      </c>
    </row>
    <row r="854" spans="1:29">
      <c r="A854" t="s">
        <v>45</v>
      </c>
      <c r="B854" t="s">
        <v>46</v>
      </c>
      <c r="C854" t="s">
        <v>47</v>
      </c>
      <c r="D854" t="s">
        <v>706</v>
      </c>
      <c r="E854" t="s">
        <v>49</v>
      </c>
      <c r="F854" t="s">
        <v>50</v>
      </c>
      <c r="G854" t="s">
        <v>51</v>
      </c>
      <c r="H854" s="17" t="s">
        <v>52</v>
      </c>
      <c r="I854" t="s">
        <v>53</v>
      </c>
      <c r="J854" t="s">
        <v>54</v>
      </c>
      <c r="K854">
        <v>1</v>
      </c>
      <c r="L854" t="s">
        <v>55</v>
      </c>
      <c r="M854" t="s">
        <v>56</v>
      </c>
      <c r="N854" t="s">
        <v>57</v>
      </c>
      <c r="O854" s="18" t="s">
        <v>58</v>
      </c>
      <c r="P854" s="18" t="s">
        <v>68</v>
      </c>
      <c r="Q854" s="17" t="s">
        <v>69</v>
      </c>
      <c r="R854" s="18" t="s">
        <v>70</v>
      </c>
      <c r="S854" s="32">
        <v>11</v>
      </c>
      <c r="T854" s="19">
        <v>11</v>
      </c>
      <c r="U854" s="17" t="s">
        <v>62</v>
      </c>
      <c r="V854" s="17">
        <v>45994</v>
      </c>
      <c r="W854" s="18">
        <v>12</v>
      </c>
      <c r="X854" s="17">
        <v>46080</v>
      </c>
      <c r="Y854" s="17">
        <v>46010</v>
      </c>
      <c r="Z854" s="45">
        <v>12</v>
      </c>
      <c r="AA854">
        <v>2025</v>
      </c>
      <c r="AB854" s="42">
        <v>836990</v>
      </c>
      <c r="AC854" s="42">
        <v>836990</v>
      </c>
    </row>
    <row r="855" spans="1:29">
      <c r="A855" t="s">
        <v>45</v>
      </c>
      <c r="B855" t="s">
        <v>46</v>
      </c>
      <c r="C855" t="s">
        <v>47</v>
      </c>
      <c r="D855" t="s">
        <v>707</v>
      </c>
      <c r="E855" t="s">
        <v>49</v>
      </c>
      <c r="F855" t="s">
        <v>50</v>
      </c>
      <c r="G855" t="s">
        <v>51</v>
      </c>
      <c r="H855" s="17" t="s">
        <v>52</v>
      </c>
      <c r="I855" t="s">
        <v>53</v>
      </c>
      <c r="J855" t="s">
        <v>54</v>
      </c>
      <c r="K855">
        <v>1</v>
      </c>
      <c r="L855" t="s">
        <v>55</v>
      </c>
      <c r="M855" t="s">
        <v>56</v>
      </c>
      <c r="N855" t="s">
        <v>57</v>
      </c>
      <c r="O855" s="18" t="s">
        <v>58</v>
      </c>
      <c r="P855" s="18" t="s">
        <v>172</v>
      </c>
      <c r="Q855" s="17" t="s">
        <v>173</v>
      </c>
      <c r="R855" s="18" t="s">
        <v>174</v>
      </c>
      <c r="S855" s="32">
        <v>6</v>
      </c>
      <c r="T855" s="19">
        <v>6</v>
      </c>
      <c r="U855" s="17" t="s">
        <v>62</v>
      </c>
      <c r="V855" s="17">
        <v>45994</v>
      </c>
      <c r="W855" s="18">
        <v>12</v>
      </c>
      <c r="X855" s="17">
        <v>45994</v>
      </c>
      <c r="Y855" s="17">
        <v>46007</v>
      </c>
      <c r="Z855" s="45">
        <v>12</v>
      </c>
      <c r="AA855">
        <v>2025</v>
      </c>
      <c r="AB855" s="42">
        <v>282054</v>
      </c>
      <c r="AC855" s="42">
        <v>282054</v>
      </c>
    </row>
    <row r="856" spans="1:29">
      <c r="A856" t="s">
        <v>45</v>
      </c>
      <c r="B856" t="s">
        <v>46</v>
      </c>
      <c r="C856" t="s">
        <v>47</v>
      </c>
      <c r="D856" t="s">
        <v>708</v>
      </c>
      <c r="E856" t="s">
        <v>49</v>
      </c>
      <c r="F856" t="s">
        <v>50</v>
      </c>
      <c r="G856" t="s">
        <v>51</v>
      </c>
      <c r="H856" s="17" t="s">
        <v>52</v>
      </c>
      <c r="I856" t="s">
        <v>53</v>
      </c>
      <c r="J856" t="s">
        <v>54</v>
      </c>
      <c r="K856">
        <v>1</v>
      </c>
      <c r="L856" t="s">
        <v>55</v>
      </c>
      <c r="M856" t="s">
        <v>56</v>
      </c>
      <c r="N856" t="s">
        <v>57</v>
      </c>
      <c r="O856" s="18" t="s">
        <v>58</v>
      </c>
      <c r="P856" s="18" t="s">
        <v>72</v>
      </c>
      <c r="Q856" s="17" t="s">
        <v>151</v>
      </c>
      <c r="R856" s="18" t="s">
        <v>152</v>
      </c>
      <c r="S856" s="32">
        <v>466</v>
      </c>
      <c r="T856" s="19">
        <v>280</v>
      </c>
      <c r="U856" s="17" t="s">
        <v>62</v>
      </c>
      <c r="V856" s="17">
        <v>46006</v>
      </c>
      <c r="W856" s="18">
        <v>12</v>
      </c>
      <c r="X856" s="17">
        <v>46112</v>
      </c>
      <c r="Y856" s="17">
        <v>46034</v>
      </c>
      <c r="Z856" s="45">
        <v>1</v>
      </c>
      <c r="AA856">
        <v>2026</v>
      </c>
      <c r="AB856" s="42">
        <v>13747000</v>
      </c>
      <c r="AC856" s="42">
        <v>8260000</v>
      </c>
    </row>
    <row r="857" spans="1:29">
      <c r="A857" t="s">
        <v>45</v>
      </c>
      <c r="B857" t="s">
        <v>46</v>
      </c>
      <c r="C857" t="s">
        <v>47</v>
      </c>
      <c r="D857" t="s">
        <v>708</v>
      </c>
      <c r="E857" t="s">
        <v>49</v>
      </c>
      <c r="F857" t="s">
        <v>63</v>
      </c>
      <c r="G857" t="s">
        <v>51</v>
      </c>
      <c r="H857" s="17" t="s">
        <v>52</v>
      </c>
      <c r="I857" t="s">
        <v>53</v>
      </c>
      <c r="J857" t="s">
        <v>54</v>
      </c>
      <c r="K857">
        <v>1</v>
      </c>
      <c r="L857" t="s">
        <v>55</v>
      </c>
      <c r="M857" t="s">
        <v>56</v>
      </c>
      <c r="N857" t="s">
        <v>57</v>
      </c>
      <c r="O857" s="18" t="s">
        <v>58</v>
      </c>
      <c r="P857" s="18" t="s">
        <v>86</v>
      </c>
      <c r="Q857" s="17" t="s">
        <v>289</v>
      </c>
      <c r="R857" s="18" t="s">
        <v>290</v>
      </c>
      <c r="S857" s="32">
        <v>31</v>
      </c>
      <c r="T857" s="19">
        <v>31</v>
      </c>
      <c r="U857" s="17" t="s">
        <v>62</v>
      </c>
      <c r="V857" s="17">
        <v>46006</v>
      </c>
      <c r="W857" s="18">
        <v>12</v>
      </c>
      <c r="X857" s="17">
        <v>46112</v>
      </c>
      <c r="Y857" s="17">
        <v>46034</v>
      </c>
      <c r="Z857" s="45">
        <v>1</v>
      </c>
      <c r="AA857">
        <v>2026</v>
      </c>
      <c r="AB857" s="42">
        <v>341589</v>
      </c>
      <c r="AC857" s="42">
        <v>341589</v>
      </c>
    </row>
    <row r="858" spans="1:29">
      <c r="A858" t="s">
        <v>45</v>
      </c>
      <c r="B858" t="s">
        <v>46</v>
      </c>
      <c r="C858" t="s">
        <v>47</v>
      </c>
      <c r="D858" t="s">
        <v>709</v>
      </c>
      <c r="E858" t="s">
        <v>49</v>
      </c>
      <c r="F858" t="s">
        <v>50</v>
      </c>
      <c r="G858" t="s">
        <v>51</v>
      </c>
      <c r="H858" s="17" t="s">
        <v>52</v>
      </c>
      <c r="I858" t="s">
        <v>53</v>
      </c>
      <c r="J858" t="s">
        <v>54</v>
      </c>
      <c r="K858">
        <v>1</v>
      </c>
      <c r="L858" t="s">
        <v>55</v>
      </c>
      <c r="M858" t="s">
        <v>56</v>
      </c>
      <c r="N858" t="s">
        <v>57</v>
      </c>
      <c r="O858" s="18" t="s">
        <v>58</v>
      </c>
      <c r="P858" s="18" t="s">
        <v>383</v>
      </c>
      <c r="Q858" s="17" t="s">
        <v>710</v>
      </c>
      <c r="R858" s="18" t="s">
        <v>711</v>
      </c>
      <c r="S858" s="32">
        <v>930</v>
      </c>
      <c r="T858" s="19">
        <v>930</v>
      </c>
      <c r="U858" s="17" t="s">
        <v>62</v>
      </c>
      <c r="V858" s="17">
        <v>45973</v>
      </c>
      <c r="W858" s="18">
        <v>11</v>
      </c>
      <c r="X858" s="17">
        <v>46053</v>
      </c>
      <c r="Y858" s="17">
        <v>46028</v>
      </c>
      <c r="Z858" s="45">
        <v>1</v>
      </c>
      <c r="AA858">
        <v>2026</v>
      </c>
      <c r="AB858" s="42">
        <v>4300320</v>
      </c>
      <c r="AC858" s="42">
        <v>4300320</v>
      </c>
    </row>
    <row r="859" spans="1:29">
      <c r="A859" t="s">
        <v>45</v>
      </c>
      <c r="B859" t="s">
        <v>46</v>
      </c>
      <c r="C859" t="s">
        <v>47</v>
      </c>
      <c r="D859" t="s">
        <v>709</v>
      </c>
      <c r="E859" t="s">
        <v>49</v>
      </c>
      <c r="F859" t="s">
        <v>63</v>
      </c>
      <c r="G859" t="s">
        <v>51</v>
      </c>
      <c r="H859" s="17" t="s">
        <v>52</v>
      </c>
      <c r="I859" t="s">
        <v>53</v>
      </c>
      <c r="J859" t="s">
        <v>54</v>
      </c>
      <c r="K859">
        <v>1</v>
      </c>
      <c r="L859" t="s">
        <v>55</v>
      </c>
      <c r="M859" t="s">
        <v>56</v>
      </c>
      <c r="N859" t="s">
        <v>57</v>
      </c>
      <c r="O859" s="18" t="s">
        <v>58</v>
      </c>
      <c r="P859" s="18" t="s">
        <v>383</v>
      </c>
      <c r="Q859" s="17" t="s">
        <v>712</v>
      </c>
      <c r="R859" s="18" t="s">
        <v>713</v>
      </c>
      <c r="S859" s="32">
        <v>24</v>
      </c>
      <c r="T859" s="19">
        <v>24</v>
      </c>
      <c r="U859" s="17" t="s">
        <v>62</v>
      </c>
      <c r="V859" s="17">
        <v>45973</v>
      </c>
      <c r="W859" s="18">
        <v>11</v>
      </c>
      <c r="X859" s="17">
        <v>46053</v>
      </c>
      <c r="Y859" s="17">
        <v>46028</v>
      </c>
      <c r="Z859" s="45">
        <v>1</v>
      </c>
      <c r="AA859">
        <v>2026</v>
      </c>
      <c r="AB859" s="42">
        <v>1289208</v>
      </c>
      <c r="AC859" s="42">
        <v>1289208</v>
      </c>
    </row>
    <row r="860" spans="1:29">
      <c r="A860" t="s">
        <v>45</v>
      </c>
      <c r="B860" t="s">
        <v>46</v>
      </c>
      <c r="C860" t="s">
        <v>47</v>
      </c>
      <c r="D860" t="s">
        <v>709</v>
      </c>
      <c r="E860" t="s">
        <v>49</v>
      </c>
      <c r="F860" t="s">
        <v>67</v>
      </c>
      <c r="G860" t="s">
        <v>51</v>
      </c>
      <c r="H860" s="17" t="s">
        <v>52</v>
      </c>
      <c r="I860" t="s">
        <v>53</v>
      </c>
      <c r="J860" t="s">
        <v>54</v>
      </c>
      <c r="K860">
        <v>1</v>
      </c>
      <c r="L860" t="s">
        <v>55</v>
      </c>
      <c r="M860" t="s">
        <v>56</v>
      </c>
      <c r="N860" t="s">
        <v>57</v>
      </c>
      <c r="O860" s="18" t="s">
        <v>58</v>
      </c>
      <c r="P860" s="18" t="s">
        <v>383</v>
      </c>
      <c r="Q860" s="17" t="s">
        <v>714</v>
      </c>
      <c r="R860" s="18" t="s">
        <v>715</v>
      </c>
      <c r="S860" s="32">
        <v>32</v>
      </c>
      <c r="T860" s="19">
        <v>32</v>
      </c>
      <c r="U860" s="17" t="s">
        <v>62</v>
      </c>
      <c r="V860" s="17">
        <v>45973</v>
      </c>
      <c r="W860" s="18">
        <v>11</v>
      </c>
      <c r="X860" s="17">
        <v>46053</v>
      </c>
      <c r="Y860" s="17">
        <v>46028</v>
      </c>
      <c r="Z860" s="45">
        <v>1</v>
      </c>
      <c r="AA860">
        <v>2026</v>
      </c>
      <c r="AB860" s="42">
        <v>1987520</v>
      </c>
      <c r="AC860" s="42">
        <v>1987520</v>
      </c>
    </row>
    <row r="861" spans="1:29">
      <c r="A861" t="s">
        <v>45</v>
      </c>
      <c r="B861" t="s">
        <v>46</v>
      </c>
      <c r="C861" t="s">
        <v>47</v>
      </c>
      <c r="D861" t="s">
        <v>709</v>
      </c>
      <c r="E861" t="s">
        <v>49</v>
      </c>
      <c r="F861" t="s">
        <v>71</v>
      </c>
      <c r="G861" t="s">
        <v>51</v>
      </c>
      <c r="H861" s="17" t="s">
        <v>52</v>
      </c>
      <c r="I861" t="s">
        <v>53</v>
      </c>
      <c r="J861" t="s">
        <v>54</v>
      </c>
      <c r="K861">
        <v>1</v>
      </c>
      <c r="L861" t="s">
        <v>55</v>
      </c>
      <c r="M861" t="s">
        <v>56</v>
      </c>
      <c r="N861" t="s">
        <v>57</v>
      </c>
      <c r="O861" s="18" t="s">
        <v>58</v>
      </c>
      <c r="P861" s="18" t="s">
        <v>716</v>
      </c>
      <c r="Q861" s="17" t="s">
        <v>717</v>
      </c>
      <c r="R861" s="18" t="s">
        <v>718</v>
      </c>
      <c r="S861" s="32">
        <v>121</v>
      </c>
      <c r="T861" s="19">
        <v>121</v>
      </c>
      <c r="U861" s="17" t="s">
        <v>62</v>
      </c>
      <c r="V861" s="17">
        <v>45973</v>
      </c>
      <c r="W861" s="18">
        <v>11</v>
      </c>
      <c r="X861" s="17">
        <v>46053</v>
      </c>
      <c r="Y861" s="17">
        <v>46028</v>
      </c>
      <c r="Z861" s="45">
        <v>1</v>
      </c>
      <c r="AA861">
        <v>2026</v>
      </c>
      <c r="AB861" s="42">
        <v>369534</v>
      </c>
      <c r="AC861" s="42">
        <v>369534</v>
      </c>
    </row>
    <row r="862" spans="1:29">
      <c r="A862" t="s">
        <v>45</v>
      </c>
      <c r="B862" t="s">
        <v>46</v>
      </c>
      <c r="C862" t="s">
        <v>47</v>
      </c>
      <c r="D862" t="s">
        <v>709</v>
      </c>
      <c r="E862" t="s">
        <v>49</v>
      </c>
      <c r="F862" t="s">
        <v>75</v>
      </c>
      <c r="G862" t="s">
        <v>51</v>
      </c>
      <c r="H862" s="17" t="s">
        <v>52</v>
      </c>
      <c r="I862" t="s">
        <v>53</v>
      </c>
      <c r="J862" t="s">
        <v>54</v>
      </c>
      <c r="K862">
        <v>1</v>
      </c>
      <c r="L862" t="s">
        <v>55</v>
      </c>
      <c r="M862" t="s">
        <v>56</v>
      </c>
      <c r="N862" t="s">
        <v>57</v>
      </c>
      <c r="O862" s="18" t="s">
        <v>58</v>
      </c>
      <c r="P862" s="18" t="s">
        <v>383</v>
      </c>
      <c r="Q862" s="17" t="s">
        <v>719</v>
      </c>
      <c r="R862" s="18" t="s">
        <v>720</v>
      </c>
      <c r="S862" s="32">
        <v>11</v>
      </c>
      <c r="T862" s="19">
        <v>11</v>
      </c>
      <c r="U862" s="17" t="s">
        <v>62</v>
      </c>
      <c r="V862" s="17">
        <v>45973</v>
      </c>
      <c r="W862" s="18">
        <v>11</v>
      </c>
      <c r="X862" s="17">
        <v>46053</v>
      </c>
      <c r="Y862" s="17">
        <v>46028</v>
      </c>
      <c r="Z862" s="45">
        <v>1</v>
      </c>
      <c r="AA862">
        <v>2026</v>
      </c>
      <c r="AB862" s="42">
        <v>129261</v>
      </c>
      <c r="AC862" s="42">
        <v>129261</v>
      </c>
    </row>
    <row r="863" spans="1:29">
      <c r="A863" t="s">
        <v>45</v>
      </c>
      <c r="B863" t="s">
        <v>46</v>
      </c>
      <c r="C863" t="s">
        <v>47</v>
      </c>
      <c r="D863" t="s">
        <v>721</v>
      </c>
      <c r="E863" t="s">
        <v>49</v>
      </c>
      <c r="F863" t="s">
        <v>67</v>
      </c>
      <c r="G863" t="s">
        <v>51</v>
      </c>
      <c r="H863" s="17" t="s">
        <v>52</v>
      </c>
      <c r="I863" t="s">
        <v>53</v>
      </c>
      <c r="J863" t="s">
        <v>54</v>
      </c>
      <c r="K863">
        <v>1</v>
      </c>
      <c r="L863" t="s">
        <v>55</v>
      </c>
      <c r="M863" t="s">
        <v>56</v>
      </c>
      <c r="N863" t="s">
        <v>57</v>
      </c>
      <c r="O863" s="18" t="s">
        <v>58</v>
      </c>
      <c r="P863" s="18" t="s">
        <v>132</v>
      </c>
      <c r="Q863" s="17" t="s">
        <v>291</v>
      </c>
      <c r="R863" s="18" t="s">
        <v>292</v>
      </c>
      <c r="S863" s="32">
        <v>523</v>
      </c>
      <c r="T863" s="19">
        <v>100</v>
      </c>
      <c r="U863" s="17" t="s">
        <v>62</v>
      </c>
      <c r="V863" s="17">
        <v>46013</v>
      </c>
      <c r="W863" s="18">
        <v>12</v>
      </c>
      <c r="X863" s="17">
        <v>46142</v>
      </c>
      <c r="Y863" s="17">
        <v>46037</v>
      </c>
      <c r="Z863" s="45">
        <v>1</v>
      </c>
      <c r="AA863">
        <v>2026</v>
      </c>
      <c r="AB863" s="42">
        <v>4808462</v>
      </c>
      <c r="AC863" s="42">
        <v>919400</v>
      </c>
    </row>
    <row r="864" spans="1:29">
      <c r="A864" t="s">
        <v>45</v>
      </c>
      <c r="B864" t="s">
        <v>46</v>
      </c>
      <c r="C864" t="s">
        <v>47</v>
      </c>
      <c r="D864" t="s">
        <v>721</v>
      </c>
      <c r="E864" t="s">
        <v>49</v>
      </c>
      <c r="F864" t="s">
        <v>71</v>
      </c>
      <c r="G864" t="s">
        <v>51</v>
      </c>
      <c r="H864" s="17" t="s">
        <v>52</v>
      </c>
      <c r="I864" t="s">
        <v>53</v>
      </c>
      <c r="J864" t="s">
        <v>54</v>
      </c>
      <c r="K864">
        <v>1</v>
      </c>
      <c r="L864" t="s">
        <v>55</v>
      </c>
      <c r="M864" t="s">
        <v>56</v>
      </c>
      <c r="N864" t="s">
        <v>57</v>
      </c>
      <c r="O864" s="18" t="s">
        <v>58</v>
      </c>
      <c r="P864" s="18" t="s">
        <v>72</v>
      </c>
      <c r="Q864" s="17" t="s">
        <v>73</v>
      </c>
      <c r="R864" s="18" t="s">
        <v>74</v>
      </c>
      <c r="S864" s="32">
        <v>402</v>
      </c>
      <c r="T864" s="19">
        <v>280</v>
      </c>
      <c r="U864" s="17" t="s">
        <v>62</v>
      </c>
      <c r="V864" s="17">
        <v>46013</v>
      </c>
      <c r="W864" s="18">
        <v>12</v>
      </c>
      <c r="X864" s="17">
        <v>46142</v>
      </c>
      <c r="Y864" s="17">
        <v>46037</v>
      </c>
      <c r="Z864" s="45">
        <v>1</v>
      </c>
      <c r="AA864">
        <v>2026</v>
      </c>
      <c r="AB864" s="42">
        <v>6119244</v>
      </c>
      <c r="AC864" s="42">
        <v>4262160</v>
      </c>
    </row>
    <row r="865" spans="1:29">
      <c r="A865" t="s">
        <v>45</v>
      </c>
      <c r="B865" t="s">
        <v>46</v>
      </c>
      <c r="C865" t="s">
        <v>47</v>
      </c>
      <c r="D865" t="s">
        <v>722</v>
      </c>
      <c r="E865" t="s">
        <v>49</v>
      </c>
      <c r="F865" t="s">
        <v>50</v>
      </c>
      <c r="G865" t="s">
        <v>51</v>
      </c>
      <c r="H865" s="17" t="s">
        <v>52</v>
      </c>
      <c r="I865" t="s">
        <v>53</v>
      </c>
      <c r="J865" t="s">
        <v>167</v>
      </c>
      <c r="K865">
        <v>1</v>
      </c>
      <c r="L865" t="s">
        <v>55</v>
      </c>
      <c r="M865" t="s">
        <v>56</v>
      </c>
      <c r="N865" t="s">
        <v>57</v>
      </c>
      <c r="O865" s="18" t="s">
        <v>58</v>
      </c>
      <c r="P865" s="18" t="s">
        <v>72</v>
      </c>
      <c r="Q865" s="17" t="s">
        <v>692</v>
      </c>
      <c r="R865" s="18" t="s">
        <v>693</v>
      </c>
      <c r="S865" s="32">
        <v>37</v>
      </c>
      <c r="T865" s="19">
        <v>37</v>
      </c>
      <c r="U865" s="17" t="s">
        <v>62</v>
      </c>
      <c r="V865" s="17">
        <v>46017</v>
      </c>
      <c r="W865" s="18">
        <v>12</v>
      </c>
      <c r="X865" s="17">
        <v>46029</v>
      </c>
      <c r="Y865" s="17">
        <v>46027</v>
      </c>
      <c r="Z865" s="45">
        <v>1</v>
      </c>
      <c r="AA865">
        <v>2026</v>
      </c>
      <c r="AB865" s="42">
        <v>701927</v>
      </c>
      <c r="AC865" s="42">
        <v>701927</v>
      </c>
    </row>
    <row r="866" spans="1:29">
      <c r="A866" t="s">
        <v>45</v>
      </c>
      <c r="B866" t="s">
        <v>46</v>
      </c>
      <c r="C866" t="s">
        <v>47</v>
      </c>
      <c r="D866" t="s">
        <v>722</v>
      </c>
      <c r="E866" t="s">
        <v>49</v>
      </c>
      <c r="F866" t="s">
        <v>63</v>
      </c>
      <c r="G866" t="s">
        <v>51</v>
      </c>
      <c r="H866" s="17" t="s">
        <v>52</v>
      </c>
      <c r="I866" t="s">
        <v>53</v>
      </c>
      <c r="J866" t="s">
        <v>167</v>
      </c>
      <c r="K866">
        <v>1</v>
      </c>
      <c r="L866" t="s">
        <v>55</v>
      </c>
      <c r="M866" t="s">
        <v>56</v>
      </c>
      <c r="N866" t="s">
        <v>57</v>
      </c>
      <c r="O866" s="18" t="s">
        <v>58</v>
      </c>
      <c r="P866" s="18" t="s">
        <v>72</v>
      </c>
      <c r="Q866" s="17" t="s">
        <v>723</v>
      </c>
      <c r="R866" s="18" t="s">
        <v>724</v>
      </c>
      <c r="S866" s="32">
        <v>145</v>
      </c>
      <c r="T866" s="19">
        <v>145</v>
      </c>
      <c r="U866" s="17" t="s">
        <v>62</v>
      </c>
      <c r="V866" s="17">
        <v>46017</v>
      </c>
      <c r="W866" s="18">
        <v>12</v>
      </c>
      <c r="X866" s="17">
        <v>46029</v>
      </c>
      <c r="Y866" s="17">
        <v>46027</v>
      </c>
      <c r="Z866" s="45">
        <v>1</v>
      </c>
      <c r="AA866">
        <v>2026</v>
      </c>
      <c r="AB866" s="42">
        <v>4119160</v>
      </c>
      <c r="AC866" s="42">
        <v>4119160</v>
      </c>
    </row>
    <row r="867" spans="1:29">
      <c r="A867" t="s">
        <v>45</v>
      </c>
      <c r="B867" t="s">
        <v>46</v>
      </c>
      <c r="C867" t="s">
        <v>47</v>
      </c>
      <c r="D867" t="s">
        <v>682</v>
      </c>
      <c r="E867" t="s">
        <v>49</v>
      </c>
      <c r="F867" t="s">
        <v>67</v>
      </c>
      <c r="G867" t="s">
        <v>51</v>
      </c>
      <c r="H867" s="17" t="s">
        <v>52</v>
      </c>
      <c r="I867" t="s">
        <v>53</v>
      </c>
      <c r="J867" t="s">
        <v>54</v>
      </c>
      <c r="K867">
        <v>1</v>
      </c>
      <c r="L867" t="s">
        <v>55</v>
      </c>
      <c r="M867" t="s">
        <v>56</v>
      </c>
      <c r="N867" t="s">
        <v>57</v>
      </c>
      <c r="O867" s="18" t="s">
        <v>58</v>
      </c>
      <c r="P867" s="18" t="s">
        <v>99</v>
      </c>
      <c r="Q867" s="17" t="s">
        <v>100</v>
      </c>
      <c r="R867" s="18" t="s">
        <v>101</v>
      </c>
      <c r="S867" s="32">
        <v>2</v>
      </c>
      <c r="T867" s="19">
        <v>2</v>
      </c>
      <c r="U867" s="17" t="s">
        <v>62</v>
      </c>
      <c r="V867" s="17">
        <v>46008</v>
      </c>
      <c r="W867" s="18">
        <v>12</v>
      </c>
      <c r="X867" s="17">
        <v>46142</v>
      </c>
      <c r="Y867" s="17">
        <v>46036</v>
      </c>
      <c r="Z867" s="45">
        <v>1</v>
      </c>
      <c r="AA867">
        <v>2026</v>
      </c>
      <c r="AB867" s="42">
        <v>130000</v>
      </c>
      <c r="AC867" s="42">
        <v>130000</v>
      </c>
    </row>
    <row r="868" spans="1:29">
      <c r="A868" t="s">
        <v>45</v>
      </c>
      <c r="B868" t="s">
        <v>46</v>
      </c>
      <c r="C868" t="s">
        <v>47</v>
      </c>
      <c r="D868" t="s">
        <v>674</v>
      </c>
      <c r="E868" t="s">
        <v>49</v>
      </c>
      <c r="F868" t="s">
        <v>79</v>
      </c>
      <c r="G868" t="s">
        <v>51</v>
      </c>
      <c r="H868" s="17" t="s">
        <v>52</v>
      </c>
      <c r="I868" t="s">
        <v>53</v>
      </c>
      <c r="J868" t="s">
        <v>54</v>
      </c>
      <c r="K868">
        <v>1</v>
      </c>
      <c r="L868" t="s">
        <v>55</v>
      </c>
      <c r="M868" t="s">
        <v>56</v>
      </c>
      <c r="N868" t="s">
        <v>57</v>
      </c>
      <c r="O868" s="18" t="s">
        <v>58</v>
      </c>
      <c r="P868" s="18" t="s">
        <v>72</v>
      </c>
      <c r="Q868" s="17" t="s">
        <v>725</v>
      </c>
      <c r="R868" s="18" t="s">
        <v>726</v>
      </c>
      <c r="S868" s="32">
        <v>344</v>
      </c>
      <c r="T868" s="19">
        <v>344</v>
      </c>
      <c r="U868" s="17" t="s">
        <v>62</v>
      </c>
      <c r="V868" s="17">
        <v>46008</v>
      </c>
      <c r="W868" s="18">
        <v>12</v>
      </c>
      <c r="X868" s="17">
        <v>46072</v>
      </c>
      <c r="Y868" s="17">
        <v>46036</v>
      </c>
      <c r="Z868" s="45">
        <v>1</v>
      </c>
      <c r="AA868">
        <v>2026</v>
      </c>
      <c r="AB868" s="42">
        <v>1414528</v>
      </c>
      <c r="AC868" s="42">
        <v>1414528</v>
      </c>
    </row>
    <row r="869" spans="1:29">
      <c r="A869" t="s">
        <v>45</v>
      </c>
      <c r="B869" t="s">
        <v>46</v>
      </c>
      <c r="C869" t="s">
        <v>47</v>
      </c>
      <c r="D869" t="s">
        <v>674</v>
      </c>
      <c r="E869" t="s">
        <v>49</v>
      </c>
      <c r="F869" t="s">
        <v>98</v>
      </c>
      <c r="G869" t="s">
        <v>51</v>
      </c>
      <c r="H869" s="17" t="s">
        <v>52</v>
      </c>
      <c r="I869" t="s">
        <v>53</v>
      </c>
      <c r="J869" t="s">
        <v>54</v>
      </c>
      <c r="K869">
        <v>1</v>
      </c>
      <c r="L869" t="s">
        <v>55</v>
      </c>
      <c r="M869" t="s">
        <v>56</v>
      </c>
      <c r="N869" t="s">
        <v>57</v>
      </c>
      <c r="O869" s="18" t="s">
        <v>58</v>
      </c>
      <c r="P869" s="18" t="s">
        <v>137</v>
      </c>
      <c r="Q869" s="17" t="s">
        <v>138</v>
      </c>
      <c r="R869" s="18" t="s">
        <v>139</v>
      </c>
      <c r="S869" s="32">
        <v>469</v>
      </c>
      <c r="T869" s="19">
        <v>390</v>
      </c>
      <c r="U869" s="17" t="s">
        <v>62</v>
      </c>
      <c r="V869" s="17">
        <v>46008</v>
      </c>
      <c r="W869" s="18">
        <v>12</v>
      </c>
      <c r="X869" s="17">
        <v>46072</v>
      </c>
      <c r="Y869" s="17">
        <v>46052</v>
      </c>
      <c r="Z869" s="45">
        <v>1</v>
      </c>
      <c r="AA869">
        <v>2026</v>
      </c>
      <c r="AB869" s="42">
        <v>11655119</v>
      </c>
      <c r="AC869" s="42">
        <v>9691890</v>
      </c>
    </row>
    <row r="870" spans="1:29">
      <c r="A870" t="s">
        <v>45</v>
      </c>
      <c r="B870" t="s">
        <v>46</v>
      </c>
      <c r="C870" t="s">
        <v>47</v>
      </c>
      <c r="D870" t="s">
        <v>727</v>
      </c>
      <c r="E870" t="s">
        <v>49</v>
      </c>
      <c r="F870" t="s">
        <v>63</v>
      </c>
      <c r="G870" t="s">
        <v>51</v>
      </c>
      <c r="H870" s="17" t="s">
        <v>52</v>
      </c>
      <c r="I870" t="s">
        <v>53</v>
      </c>
      <c r="J870" t="s">
        <v>54</v>
      </c>
      <c r="K870">
        <v>1</v>
      </c>
      <c r="L870" t="s">
        <v>55</v>
      </c>
      <c r="M870" t="s">
        <v>56</v>
      </c>
      <c r="N870" t="s">
        <v>57</v>
      </c>
      <c r="O870" s="18" t="s">
        <v>58</v>
      </c>
      <c r="P870" s="18" t="s">
        <v>86</v>
      </c>
      <c r="Q870" s="17" t="s">
        <v>111</v>
      </c>
      <c r="R870" s="18" t="s">
        <v>112</v>
      </c>
      <c r="S870" s="32">
        <v>432</v>
      </c>
      <c r="T870" s="19">
        <v>307</v>
      </c>
      <c r="U870" s="17" t="s">
        <v>113</v>
      </c>
      <c r="V870" s="17">
        <v>45960</v>
      </c>
      <c r="W870" s="18">
        <v>10</v>
      </c>
      <c r="X870" s="17">
        <v>46053</v>
      </c>
      <c r="Y870" s="17">
        <v>46034</v>
      </c>
      <c r="Z870" s="45">
        <v>1</v>
      </c>
      <c r="AA870">
        <v>2026</v>
      </c>
      <c r="AB870" s="42">
        <v>8957520</v>
      </c>
      <c r="AC870" s="42">
        <v>6365645</v>
      </c>
    </row>
    <row r="871" spans="1:29">
      <c r="A871" t="s">
        <v>45</v>
      </c>
      <c r="B871" t="s">
        <v>46</v>
      </c>
      <c r="C871" t="s">
        <v>47</v>
      </c>
      <c r="D871" t="s">
        <v>728</v>
      </c>
      <c r="E871" t="s">
        <v>49</v>
      </c>
      <c r="F871" t="s">
        <v>50</v>
      </c>
      <c r="G871" t="s">
        <v>51</v>
      </c>
      <c r="H871" s="17" t="s">
        <v>58</v>
      </c>
      <c r="I871" t="s">
        <v>53</v>
      </c>
      <c r="J871" t="s">
        <v>54</v>
      </c>
      <c r="K871">
        <v>1</v>
      </c>
      <c r="L871" t="s">
        <v>55</v>
      </c>
      <c r="M871" t="s">
        <v>56</v>
      </c>
      <c r="N871" t="s">
        <v>57</v>
      </c>
      <c r="O871" s="18" t="s">
        <v>58</v>
      </c>
      <c r="P871" s="18" t="s">
        <v>72</v>
      </c>
      <c r="Q871" s="17" t="s">
        <v>177</v>
      </c>
      <c r="R871" s="18" t="s">
        <v>178</v>
      </c>
      <c r="S871" s="32">
        <v>36</v>
      </c>
      <c r="T871" s="19">
        <v>0</v>
      </c>
      <c r="U871" s="17" t="s">
        <v>62</v>
      </c>
      <c r="V871" s="17">
        <v>45940</v>
      </c>
      <c r="W871" s="18">
        <v>10</v>
      </c>
      <c r="X871" s="17">
        <v>46053</v>
      </c>
      <c r="Z871" s="45">
        <v>1</v>
      </c>
      <c r="AA871">
        <v>2026</v>
      </c>
      <c r="AB871" s="42">
        <v>547992</v>
      </c>
      <c r="AC871" s="42">
        <v>0</v>
      </c>
    </row>
    <row r="872" spans="1:29">
      <c r="A872" t="s">
        <v>45</v>
      </c>
      <c r="B872" t="s">
        <v>46</v>
      </c>
      <c r="C872" t="s">
        <v>47</v>
      </c>
      <c r="D872" t="s">
        <v>728</v>
      </c>
      <c r="E872" t="s">
        <v>49</v>
      </c>
      <c r="F872" t="s">
        <v>63</v>
      </c>
      <c r="G872" t="s">
        <v>51</v>
      </c>
      <c r="H872" s="17" t="s">
        <v>58</v>
      </c>
      <c r="I872" t="s">
        <v>53</v>
      </c>
      <c r="J872" t="s">
        <v>54</v>
      </c>
      <c r="K872">
        <v>1</v>
      </c>
      <c r="L872" t="s">
        <v>55</v>
      </c>
      <c r="M872" t="s">
        <v>56</v>
      </c>
      <c r="N872" t="s">
        <v>57</v>
      </c>
      <c r="O872" s="18" t="s">
        <v>58</v>
      </c>
      <c r="P872" s="18" t="s">
        <v>72</v>
      </c>
      <c r="Q872" s="17" t="s">
        <v>145</v>
      </c>
      <c r="R872" s="18" t="s">
        <v>411</v>
      </c>
      <c r="S872" s="32">
        <v>31</v>
      </c>
      <c r="T872" s="19">
        <v>0</v>
      </c>
      <c r="U872" s="17" t="s">
        <v>62</v>
      </c>
      <c r="V872" s="17">
        <v>45940</v>
      </c>
      <c r="W872" s="18">
        <v>10</v>
      </c>
      <c r="X872" s="17">
        <v>46053</v>
      </c>
      <c r="Z872" s="45">
        <v>1</v>
      </c>
      <c r="AA872">
        <v>2026</v>
      </c>
      <c r="AB872" s="42">
        <v>251503</v>
      </c>
      <c r="AC872" s="42">
        <v>0</v>
      </c>
    </row>
    <row r="873" spans="1:29">
      <c r="A873" t="s">
        <v>45</v>
      </c>
      <c r="B873" t="s">
        <v>46</v>
      </c>
      <c r="C873" t="s">
        <v>47</v>
      </c>
      <c r="D873" t="s">
        <v>728</v>
      </c>
      <c r="E873" t="s">
        <v>49</v>
      </c>
      <c r="F873" t="s">
        <v>67</v>
      </c>
      <c r="G873" t="s">
        <v>51</v>
      </c>
      <c r="H873" s="17" t="s">
        <v>58</v>
      </c>
      <c r="I873" t="s">
        <v>53</v>
      </c>
      <c r="J873" t="s">
        <v>54</v>
      </c>
      <c r="K873">
        <v>1</v>
      </c>
      <c r="L873" t="s">
        <v>55</v>
      </c>
      <c r="M873" t="s">
        <v>56</v>
      </c>
      <c r="N873" t="s">
        <v>57</v>
      </c>
      <c r="O873" s="18" t="s">
        <v>58</v>
      </c>
      <c r="P873" s="18" t="s">
        <v>72</v>
      </c>
      <c r="Q873" s="17" t="s">
        <v>122</v>
      </c>
      <c r="R873" s="18" t="s">
        <v>425</v>
      </c>
      <c r="S873" s="32">
        <v>6</v>
      </c>
      <c r="T873" s="19">
        <v>0</v>
      </c>
      <c r="U873" s="17" t="s">
        <v>62</v>
      </c>
      <c r="V873" s="17">
        <v>45940</v>
      </c>
      <c r="W873" s="18">
        <v>10</v>
      </c>
      <c r="X873" s="17">
        <v>46053</v>
      </c>
      <c r="Z873" s="45">
        <v>1</v>
      </c>
      <c r="AA873">
        <v>2026</v>
      </c>
      <c r="AB873" s="42">
        <v>22560</v>
      </c>
      <c r="AC873" s="42">
        <v>0</v>
      </c>
    </row>
    <row r="874" spans="1:29">
      <c r="A874" t="s">
        <v>45</v>
      </c>
      <c r="B874" t="s">
        <v>46</v>
      </c>
      <c r="C874" t="s">
        <v>47</v>
      </c>
      <c r="D874" t="s">
        <v>728</v>
      </c>
      <c r="E874" t="s">
        <v>49</v>
      </c>
      <c r="F874" t="s">
        <v>71</v>
      </c>
      <c r="G874" t="s">
        <v>51</v>
      </c>
      <c r="H874" s="17" t="s">
        <v>58</v>
      </c>
      <c r="I874" t="s">
        <v>53</v>
      </c>
      <c r="J874" t="s">
        <v>54</v>
      </c>
      <c r="K874">
        <v>1</v>
      </c>
      <c r="L874" t="s">
        <v>55</v>
      </c>
      <c r="M874" t="s">
        <v>56</v>
      </c>
      <c r="N874" t="s">
        <v>57</v>
      </c>
      <c r="O874" s="18" t="s">
        <v>58</v>
      </c>
      <c r="P874" s="18" t="s">
        <v>72</v>
      </c>
      <c r="Q874" s="17" t="s">
        <v>729</v>
      </c>
      <c r="R874" s="18" t="s">
        <v>730</v>
      </c>
      <c r="S874" s="32">
        <v>53</v>
      </c>
      <c r="T874" s="19">
        <v>0</v>
      </c>
      <c r="U874" s="17" t="s">
        <v>113</v>
      </c>
      <c r="V874" s="17">
        <v>45940</v>
      </c>
      <c r="W874" s="18">
        <v>10</v>
      </c>
      <c r="X874" s="17">
        <v>46053</v>
      </c>
      <c r="Z874" s="45">
        <v>1</v>
      </c>
      <c r="AA874">
        <v>2026</v>
      </c>
      <c r="AB874" s="42">
        <v>296482</v>
      </c>
      <c r="AC874" s="42">
        <v>0</v>
      </c>
    </row>
    <row r="875" spans="1:29">
      <c r="A875" t="s">
        <v>45</v>
      </c>
      <c r="B875" t="s">
        <v>46</v>
      </c>
      <c r="C875" t="s">
        <v>47</v>
      </c>
      <c r="D875" t="s">
        <v>728</v>
      </c>
      <c r="E875" t="s">
        <v>49</v>
      </c>
      <c r="F875" t="s">
        <v>75</v>
      </c>
      <c r="G875" t="s">
        <v>51</v>
      </c>
      <c r="H875" s="17" t="s">
        <v>58</v>
      </c>
      <c r="I875" t="s">
        <v>53</v>
      </c>
      <c r="J875" t="s">
        <v>54</v>
      </c>
      <c r="K875">
        <v>1</v>
      </c>
      <c r="L875" t="s">
        <v>55</v>
      </c>
      <c r="M875" t="s">
        <v>56</v>
      </c>
      <c r="N875" t="s">
        <v>57</v>
      </c>
      <c r="O875" s="18" t="s">
        <v>58</v>
      </c>
      <c r="P875" s="18" t="s">
        <v>99</v>
      </c>
      <c r="Q875" s="17" t="s">
        <v>100</v>
      </c>
      <c r="R875" s="18" t="s">
        <v>101</v>
      </c>
      <c r="S875" s="32">
        <v>1</v>
      </c>
      <c r="T875" s="19">
        <v>0</v>
      </c>
      <c r="U875" s="17" t="s">
        <v>62</v>
      </c>
      <c r="V875" s="17">
        <v>45940</v>
      </c>
      <c r="W875" s="18">
        <v>10</v>
      </c>
      <c r="X875" s="17">
        <v>46053</v>
      </c>
      <c r="Z875" s="45">
        <v>1</v>
      </c>
      <c r="AA875">
        <v>2026</v>
      </c>
      <c r="AB875" s="42">
        <v>58000</v>
      </c>
      <c r="AC875" s="42">
        <v>0</v>
      </c>
    </row>
    <row r="876" spans="1:29">
      <c r="A876" t="s">
        <v>45</v>
      </c>
      <c r="B876" t="s">
        <v>46</v>
      </c>
      <c r="C876" t="s">
        <v>47</v>
      </c>
      <c r="D876" t="s">
        <v>731</v>
      </c>
      <c r="E876" t="s">
        <v>115</v>
      </c>
      <c r="F876" t="s">
        <v>50</v>
      </c>
      <c r="G876" t="s">
        <v>116</v>
      </c>
      <c r="H876" s="17" t="s">
        <v>52</v>
      </c>
      <c r="I876" t="s">
        <v>53</v>
      </c>
      <c r="J876" t="s">
        <v>190</v>
      </c>
      <c r="K876">
        <v>1</v>
      </c>
      <c r="L876" t="s">
        <v>55</v>
      </c>
      <c r="M876" t="s">
        <v>56</v>
      </c>
      <c r="N876" t="s">
        <v>57</v>
      </c>
      <c r="O876" s="18" t="s">
        <v>58</v>
      </c>
      <c r="P876" s="18" t="s">
        <v>72</v>
      </c>
      <c r="Q876" s="17" t="s">
        <v>122</v>
      </c>
      <c r="R876" s="18" t="s">
        <v>425</v>
      </c>
      <c r="S876" s="32">
        <v>6</v>
      </c>
      <c r="T876" s="19">
        <v>6</v>
      </c>
      <c r="U876" s="17" t="s">
        <v>119</v>
      </c>
      <c r="V876" s="17">
        <v>46021</v>
      </c>
      <c r="W876" s="18">
        <v>12</v>
      </c>
      <c r="X876" s="17">
        <v>46034</v>
      </c>
      <c r="Y876" s="17">
        <v>46034</v>
      </c>
      <c r="Z876" s="45">
        <v>1</v>
      </c>
      <c r="AA876">
        <v>2026</v>
      </c>
      <c r="AB876" s="42">
        <v>2107980</v>
      </c>
      <c r="AC876" s="42">
        <v>2107980</v>
      </c>
    </row>
    <row r="877" spans="1:29">
      <c r="A877" t="s">
        <v>45</v>
      </c>
      <c r="B877" t="s">
        <v>46</v>
      </c>
      <c r="C877" t="s">
        <v>47</v>
      </c>
      <c r="D877" t="s">
        <v>732</v>
      </c>
      <c r="E877" t="s">
        <v>115</v>
      </c>
      <c r="F877" t="s">
        <v>50</v>
      </c>
      <c r="G877" t="s">
        <v>116</v>
      </c>
      <c r="H877" s="17" t="s">
        <v>58</v>
      </c>
      <c r="I877" t="s">
        <v>53</v>
      </c>
      <c r="J877" t="s">
        <v>150</v>
      </c>
      <c r="K877">
        <v>1</v>
      </c>
      <c r="L877" t="s">
        <v>55</v>
      </c>
      <c r="M877" t="s">
        <v>56</v>
      </c>
      <c r="N877" t="s">
        <v>57</v>
      </c>
      <c r="O877" s="18" t="s">
        <v>58</v>
      </c>
      <c r="P877" s="18" t="s">
        <v>76</v>
      </c>
      <c r="Q877" s="17" t="s">
        <v>77</v>
      </c>
      <c r="R877" s="18" t="s">
        <v>78</v>
      </c>
      <c r="S877" s="32">
        <v>200</v>
      </c>
      <c r="T877" s="19">
        <v>0</v>
      </c>
      <c r="U877" s="17" t="s">
        <v>62</v>
      </c>
      <c r="V877" s="17">
        <v>46022</v>
      </c>
      <c r="W877" s="18">
        <v>12</v>
      </c>
      <c r="X877" s="17">
        <v>46035</v>
      </c>
      <c r="Z877" s="45">
        <v>1</v>
      </c>
      <c r="AA877">
        <v>2026</v>
      </c>
      <c r="AB877" s="42">
        <v>1739200</v>
      </c>
      <c r="AC877" s="42">
        <v>0</v>
      </c>
    </row>
    <row r="878" spans="1:29">
      <c r="A878" t="s">
        <v>45</v>
      </c>
      <c r="B878" t="s">
        <v>46</v>
      </c>
      <c r="C878" t="s">
        <v>47</v>
      </c>
      <c r="D878" t="s">
        <v>733</v>
      </c>
      <c r="E878" t="s">
        <v>115</v>
      </c>
      <c r="F878" t="s">
        <v>50</v>
      </c>
      <c r="G878" t="s">
        <v>116</v>
      </c>
      <c r="H878" s="17" t="s">
        <v>52</v>
      </c>
      <c r="I878" t="s">
        <v>53</v>
      </c>
      <c r="J878" t="s">
        <v>121</v>
      </c>
      <c r="K878">
        <v>1</v>
      </c>
      <c r="L878" t="s">
        <v>55</v>
      </c>
      <c r="M878" t="s">
        <v>56</v>
      </c>
      <c r="N878" t="s">
        <v>57</v>
      </c>
      <c r="O878" s="18" t="s">
        <v>58</v>
      </c>
      <c r="P878" s="18" t="s">
        <v>72</v>
      </c>
      <c r="Q878" s="17" t="s">
        <v>122</v>
      </c>
      <c r="R878" s="18" t="s">
        <v>425</v>
      </c>
      <c r="S878" s="32">
        <v>6</v>
      </c>
      <c r="T878" s="19">
        <v>6</v>
      </c>
      <c r="U878" s="17" t="s">
        <v>119</v>
      </c>
      <c r="V878" s="17">
        <v>46022</v>
      </c>
      <c r="W878" s="18">
        <v>12</v>
      </c>
      <c r="X878" s="17">
        <v>46035</v>
      </c>
      <c r="Y878" s="17">
        <v>46030</v>
      </c>
      <c r="Z878" s="45">
        <v>1</v>
      </c>
      <c r="AA878">
        <v>2026</v>
      </c>
      <c r="AB878" s="42">
        <v>2107980</v>
      </c>
      <c r="AC878" s="42">
        <v>2107980</v>
      </c>
    </row>
    <row r="879" spans="1:29">
      <c r="A879" t="s">
        <v>45</v>
      </c>
      <c r="B879" t="s">
        <v>46</v>
      </c>
      <c r="C879" t="s">
        <v>47</v>
      </c>
      <c r="D879" t="s">
        <v>734</v>
      </c>
      <c r="E879" t="s">
        <v>115</v>
      </c>
      <c r="F879" t="s">
        <v>50</v>
      </c>
      <c r="G879" t="s">
        <v>116</v>
      </c>
      <c r="H879" s="17" t="s">
        <v>52</v>
      </c>
      <c r="I879" t="s">
        <v>53</v>
      </c>
      <c r="J879" t="s">
        <v>125</v>
      </c>
      <c r="K879">
        <v>1</v>
      </c>
      <c r="L879" t="s">
        <v>55</v>
      </c>
      <c r="M879" t="s">
        <v>56</v>
      </c>
      <c r="N879" t="s">
        <v>57</v>
      </c>
      <c r="O879" s="18" t="s">
        <v>58</v>
      </c>
      <c r="P879" s="18" t="s">
        <v>72</v>
      </c>
      <c r="Q879" s="17" t="s">
        <v>122</v>
      </c>
      <c r="R879" s="18" t="s">
        <v>425</v>
      </c>
      <c r="S879" s="32">
        <v>2</v>
      </c>
      <c r="T879" s="19">
        <v>2</v>
      </c>
      <c r="U879" s="17" t="s">
        <v>119</v>
      </c>
      <c r="V879" s="17">
        <v>46022</v>
      </c>
      <c r="W879" s="18">
        <v>12</v>
      </c>
      <c r="X879" s="17">
        <v>46035</v>
      </c>
      <c r="Y879" s="17">
        <v>46030</v>
      </c>
      <c r="Z879" s="45">
        <v>1</v>
      </c>
      <c r="AA879">
        <v>2026</v>
      </c>
      <c r="AB879" s="42">
        <v>702660</v>
      </c>
      <c r="AC879" s="42">
        <v>702660</v>
      </c>
    </row>
    <row r="880" spans="1:29">
      <c r="A880" t="s">
        <v>45</v>
      </c>
      <c r="B880" t="s">
        <v>46</v>
      </c>
      <c r="C880" t="s">
        <v>47</v>
      </c>
      <c r="D880" t="s">
        <v>734</v>
      </c>
      <c r="E880" t="s">
        <v>115</v>
      </c>
      <c r="F880" t="s">
        <v>63</v>
      </c>
      <c r="G880" t="s">
        <v>116</v>
      </c>
      <c r="H880" s="17" t="s">
        <v>52</v>
      </c>
      <c r="I880" t="s">
        <v>53</v>
      </c>
      <c r="J880" t="s">
        <v>125</v>
      </c>
      <c r="K880">
        <v>1</v>
      </c>
      <c r="L880" t="s">
        <v>55</v>
      </c>
      <c r="M880" t="s">
        <v>56</v>
      </c>
      <c r="N880" t="s">
        <v>57</v>
      </c>
      <c r="O880" s="18" t="s">
        <v>58</v>
      </c>
      <c r="P880" s="18" t="s">
        <v>72</v>
      </c>
      <c r="Q880" s="17" t="s">
        <v>117</v>
      </c>
      <c r="R880" s="18" t="s">
        <v>393</v>
      </c>
      <c r="S880" s="32">
        <v>2</v>
      </c>
      <c r="T880" s="19">
        <v>2</v>
      </c>
      <c r="U880" s="17" t="s">
        <v>119</v>
      </c>
      <c r="V880" s="17">
        <v>46022</v>
      </c>
      <c r="W880" s="18">
        <v>12</v>
      </c>
      <c r="X880" s="17">
        <v>46035</v>
      </c>
      <c r="Y880" s="17">
        <v>46030</v>
      </c>
      <c r="Z880" s="45">
        <v>1</v>
      </c>
      <c r="AA880">
        <v>2026</v>
      </c>
      <c r="AB880" s="42">
        <v>703000</v>
      </c>
      <c r="AC880" s="42">
        <v>703000</v>
      </c>
    </row>
    <row r="881" spans="1:29">
      <c r="A881" t="s">
        <v>45</v>
      </c>
      <c r="B881" t="s">
        <v>46</v>
      </c>
      <c r="C881" t="s">
        <v>47</v>
      </c>
      <c r="D881" t="s">
        <v>735</v>
      </c>
      <c r="E881" t="s">
        <v>49</v>
      </c>
      <c r="F881" t="s">
        <v>50</v>
      </c>
      <c r="G881" t="s">
        <v>51</v>
      </c>
      <c r="H881" s="17" t="s">
        <v>58</v>
      </c>
      <c r="I881" t="s">
        <v>53</v>
      </c>
      <c r="J881" t="s">
        <v>54</v>
      </c>
      <c r="K881">
        <v>1</v>
      </c>
      <c r="L881" t="s">
        <v>55</v>
      </c>
      <c r="M881" t="s">
        <v>56</v>
      </c>
      <c r="N881" t="s">
        <v>57</v>
      </c>
      <c r="O881" s="18" t="s">
        <v>58</v>
      </c>
      <c r="P881" s="18" t="s">
        <v>383</v>
      </c>
      <c r="Q881" s="17" t="s">
        <v>710</v>
      </c>
      <c r="R881" s="18" t="s">
        <v>711</v>
      </c>
      <c r="S881" s="32">
        <v>930</v>
      </c>
      <c r="T881" s="19">
        <v>0</v>
      </c>
      <c r="U881" s="17" t="s">
        <v>62</v>
      </c>
      <c r="V881" s="17">
        <v>45960</v>
      </c>
      <c r="W881" s="18">
        <v>10</v>
      </c>
      <c r="X881" s="17">
        <v>46053</v>
      </c>
      <c r="Z881" s="45">
        <v>1</v>
      </c>
      <c r="AA881">
        <v>2026</v>
      </c>
      <c r="AB881" s="42">
        <v>1089030</v>
      </c>
      <c r="AC881" s="42">
        <v>0</v>
      </c>
    </row>
    <row r="882" spans="1:29">
      <c r="A882" t="s">
        <v>45</v>
      </c>
      <c r="B882" t="s">
        <v>46</v>
      </c>
      <c r="C882" t="s">
        <v>47</v>
      </c>
      <c r="D882" t="s">
        <v>735</v>
      </c>
      <c r="E882" t="s">
        <v>49</v>
      </c>
      <c r="F882" t="s">
        <v>63</v>
      </c>
      <c r="G882" t="s">
        <v>51</v>
      </c>
      <c r="H882" s="17" t="s">
        <v>58</v>
      </c>
      <c r="I882" t="s">
        <v>53</v>
      </c>
      <c r="J882" t="s">
        <v>54</v>
      </c>
      <c r="K882">
        <v>1</v>
      </c>
      <c r="L882" t="s">
        <v>55</v>
      </c>
      <c r="M882" t="s">
        <v>56</v>
      </c>
      <c r="N882" t="s">
        <v>57</v>
      </c>
      <c r="O882" s="18" t="s">
        <v>58</v>
      </c>
      <c r="P882" s="18" t="s">
        <v>383</v>
      </c>
      <c r="Q882" s="17" t="s">
        <v>712</v>
      </c>
      <c r="R882" s="18" t="s">
        <v>713</v>
      </c>
      <c r="S882" s="32">
        <v>24</v>
      </c>
      <c r="T882" s="19">
        <v>0</v>
      </c>
      <c r="U882" s="17" t="s">
        <v>62</v>
      </c>
      <c r="V882" s="17">
        <v>45960</v>
      </c>
      <c r="W882" s="18">
        <v>10</v>
      </c>
      <c r="X882" s="17">
        <v>46053</v>
      </c>
      <c r="Z882" s="45">
        <v>1</v>
      </c>
      <c r="AA882">
        <v>2026</v>
      </c>
      <c r="AB882" s="42">
        <v>1305120</v>
      </c>
      <c r="AC882" s="42">
        <v>0</v>
      </c>
    </row>
    <row r="883" spans="1:29">
      <c r="A883" t="s">
        <v>45</v>
      </c>
      <c r="B883" t="s">
        <v>46</v>
      </c>
      <c r="C883" t="s">
        <v>47</v>
      </c>
      <c r="D883" t="s">
        <v>735</v>
      </c>
      <c r="E883" t="s">
        <v>49</v>
      </c>
      <c r="F883" t="s">
        <v>67</v>
      </c>
      <c r="G883" t="s">
        <v>51</v>
      </c>
      <c r="H883" s="17" t="s">
        <v>58</v>
      </c>
      <c r="I883" t="s">
        <v>53</v>
      </c>
      <c r="J883" t="s">
        <v>54</v>
      </c>
      <c r="K883">
        <v>1</v>
      </c>
      <c r="L883" t="s">
        <v>55</v>
      </c>
      <c r="M883" t="s">
        <v>56</v>
      </c>
      <c r="N883" t="s">
        <v>57</v>
      </c>
      <c r="O883" s="18" t="s">
        <v>58</v>
      </c>
      <c r="P883" s="18" t="s">
        <v>383</v>
      </c>
      <c r="Q883" s="17" t="s">
        <v>714</v>
      </c>
      <c r="R883" s="18" t="s">
        <v>715</v>
      </c>
      <c r="S883" s="32">
        <v>32</v>
      </c>
      <c r="T883" s="19">
        <v>0</v>
      </c>
      <c r="U883" s="17" t="s">
        <v>62</v>
      </c>
      <c r="V883" s="17">
        <v>45960</v>
      </c>
      <c r="W883" s="18">
        <v>10</v>
      </c>
      <c r="X883" s="17">
        <v>46053</v>
      </c>
      <c r="Z883" s="45">
        <v>1</v>
      </c>
      <c r="AA883">
        <v>2026</v>
      </c>
      <c r="AB883" s="42">
        <v>2012064</v>
      </c>
      <c r="AC883" s="42">
        <v>0</v>
      </c>
    </row>
    <row r="884" spans="1:29">
      <c r="A884" t="s">
        <v>45</v>
      </c>
      <c r="B884" t="s">
        <v>46</v>
      </c>
      <c r="C884" t="s">
        <v>47</v>
      </c>
      <c r="D884" t="s">
        <v>735</v>
      </c>
      <c r="E884" t="s">
        <v>49</v>
      </c>
      <c r="F884" t="s">
        <v>71</v>
      </c>
      <c r="G884" t="s">
        <v>51</v>
      </c>
      <c r="H884" s="17" t="s">
        <v>58</v>
      </c>
      <c r="I884" t="s">
        <v>53</v>
      </c>
      <c r="J884" t="s">
        <v>54</v>
      </c>
      <c r="K884">
        <v>1</v>
      </c>
      <c r="L884" t="s">
        <v>55</v>
      </c>
      <c r="M884" t="s">
        <v>56</v>
      </c>
      <c r="N884" t="s">
        <v>57</v>
      </c>
      <c r="O884" s="18" t="s">
        <v>58</v>
      </c>
      <c r="P884" s="18" t="s">
        <v>716</v>
      </c>
      <c r="Q884" s="17" t="s">
        <v>717</v>
      </c>
      <c r="R884" s="18" t="s">
        <v>718</v>
      </c>
      <c r="S884" s="32">
        <v>121</v>
      </c>
      <c r="T884" s="19">
        <v>0</v>
      </c>
      <c r="U884" s="17" t="s">
        <v>62</v>
      </c>
      <c r="V884" s="17">
        <v>45960</v>
      </c>
      <c r="W884" s="18">
        <v>10</v>
      </c>
      <c r="X884" s="17">
        <v>46053</v>
      </c>
      <c r="Z884" s="45">
        <v>1</v>
      </c>
      <c r="AA884">
        <v>2026</v>
      </c>
      <c r="AB884" s="42">
        <v>124630</v>
      </c>
      <c r="AC884" s="42">
        <v>0</v>
      </c>
    </row>
    <row r="885" spans="1:29">
      <c r="A885" t="s">
        <v>45</v>
      </c>
      <c r="B885" t="s">
        <v>46</v>
      </c>
      <c r="C885" t="s">
        <v>47</v>
      </c>
      <c r="D885" t="s">
        <v>735</v>
      </c>
      <c r="E885" t="s">
        <v>49</v>
      </c>
      <c r="F885" t="s">
        <v>75</v>
      </c>
      <c r="G885" t="s">
        <v>51</v>
      </c>
      <c r="H885" s="17" t="s">
        <v>58</v>
      </c>
      <c r="I885" t="s">
        <v>53</v>
      </c>
      <c r="J885" t="s">
        <v>54</v>
      </c>
      <c r="K885">
        <v>1</v>
      </c>
      <c r="L885" t="s">
        <v>55</v>
      </c>
      <c r="M885" t="s">
        <v>56</v>
      </c>
      <c r="N885" t="s">
        <v>57</v>
      </c>
      <c r="O885" s="18" t="s">
        <v>58</v>
      </c>
      <c r="P885" s="18" t="s">
        <v>383</v>
      </c>
      <c r="Q885" s="17" t="s">
        <v>719</v>
      </c>
      <c r="R885" s="18" t="s">
        <v>720</v>
      </c>
      <c r="S885" s="32">
        <v>11</v>
      </c>
      <c r="T885" s="19">
        <v>0</v>
      </c>
      <c r="U885" s="17" t="s">
        <v>62</v>
      </c>
      <c r="V885" s="17">
        <v>45960</v>
      </c>
      <c r="W885" s="18">
        <v>10</v>
      </c>
      <c r="X885" s="17">
        <v>46053</v>
      </c>
      <c r="Z885" s="45">
        <v>1</v>
      </c>
      <c r="AA885">
        <v>2026</v>
      </c>
      <c r="AB885" s="42">
        <v>130856</v>
      </c>
      <c r="AC885" s="42">
        <v>0</v>
      </c>
    </row>
    <row r="886" spans="1:29">
      <c r="A886" t="s">
        <v>45</v>
      </c>
      <c r="B886" t="s">
        <v>46</v>
      </c>
      <c r="C886" t="s">
        <v>47</v>
      </c>
      <c r="D886" t="s">
        <v>721</v>
      </c>
      <c r="E886" t="s">
        <v>49</v>
      </c>
      <c r="F886" t="s">
        <v>79</v>
      </c>
      <c r="G886" t="s">
        <v>51</v>
      </c>
      <c r="H886" s="17" t="s">
        <v>52</v>
      </c>
      <c r="I886" t="s">
        <v>53</v>
      </c>
      <c r="J886" t="s">
        <v>54</v>
      </c>
      <c r="K886">
        <v>1</v>
      </c>
      <c r="L886" t="s">
        <v>55</v>
      </c>
      <c r="M886" t="s">
        <v>56</v>
      </c>
      <c r="N886" t="s">
        <v>57</v>
      </c>
      <c r="O886" s="18" t="s">
        <v>58</v>
      </c>
      <c r="P886" s="18" t="s">
        <v>99</v>
      </c>
      <c r="Q886" s="17" t="s">
        <v>100</v>
      </c>
      <c r="R886" s="18" t="s">
        <v>101</v>
      </c>
      <c r="S886" s="32">
        <v>7</v>
      </c>
      <c r="T886" s="19">
        <v>7</v>
      </c>
      <c r="U886" s="17" t="s">
        <v>62</v>
      </c>
      <c r="V886" s="17">
        <v>46013</v>
      </c>
      <c r="W886" s="18">
        <v>12</v>
      </c>
      <c r="X886" s="17">
        <v>46142</v>
      </c>
      <c r="Y886" s="17">
        <v>46058</v>
      </c>
      <c r="Z886" s="45">
        <v>2</v>
      </c>
      <c r="AA886">
        <v>2026</v>
      </c>
      <c r="AB886" s="42">
        <v>2170000</v>
      </c>
      <c r="AC886" s="42">
        <v>2170000</v>
      </c>
    </row>
    <row r="887" spans="1:29">
      <c r="A887" t="s">
        <v>45</v>
      </c>
      <c r="B887" t="s">
        <v>46</v>
      </c>
      <c r="C887" t="s">
        <v>47</v>
      </c>
      <c r="D887" t="s">
        <v>721</v>
      </c>
      <c r="E887" t="s">
        <v>49</v>
      </c>
      <c r="F887" t="s">
        <v>75</v>
      </c>
      <c r="G887" t="s">
        <v>51</v>
      </c>
      <c r="H887" s="17" t="s">
        <v>52</v>
      </c>
      <c r="I887" t="s">
        <v>53</v>
      </c>
      <c r="J887" t="s">
        <v>54</v>
      </c>
      <c r="K887">
        <v>1</v>
      </c>
      <c r="L887" t="s">
        <v>55</v>
      </c>
      <c r="M887" t="s">
        <v>56</v>
      </c>
      <c r="N887" t="s">
        <v>57</v>
      </c>
      <c r="O887" s="18" t="s">
        <v>58</v>
      </c>
      <c r="P887" s="18" t="s">
        <v>72</v>
      </c>
      <c r="Q887" s="17" t="s">
        <v>122</v>
      </c>
      <c r="R887" s="18" t="s">
        <v>425</v>
      </c>
      <c r="S887" s="32">
        <v>7464</v>
      </c>
      <c r="T887" s="19">
        <v>3570</v>
      </c>
      <c r="U887" s="17" t="s">
        <v>62</v>
      </c>
      <c r="V887" s="17">
        <v>46013</v>
      </c>
      <c r="W887" s="18">
        <v>12</v>
      </c>
      <c r="X887" s="17">
        <v>46142</v>
      </c>
      <c r="Y887" s="17">
        <v>46099</v>
      </c>
      <c r="Z887" s="45">
        <v>3</v>
      </c>
      <c r="AA887">
        <v>2026</v>
      </c>
      <c r="AB887" s="42">
        <v>28064640</v>
      </c>
      <c r="AC887" s="42">
        <v>13423200</v>
      </c>
    </row>
    <row r="888" spans="1:29">
      <c r="A888" t="s">
        <v>45</v>
      </c>
      <c r="B888" t="s">
        <v>46</v>
      </c>
      <c r="C888" t="s">
        <v>47</v>
      </c>
      <c r="D888" t="s">
        <v>721</v>
      </c>
      <c r="E888" t="s">
        <v>49</v>
      </c>
      <c r="F888" t="s">
        <v>50</v>
      </c>
      <c r="G888" t="s">
        <v>51</v>
      </c>
      <c r="H888" s="17" t="s">
        <v>52</v>
      </c>
      <c r="I888" t="s">
        <v>53</v>
      </c>
      <c r="J888" t="s">
        <v>54</v>
      </c>
      <c r="K888">
        <v>1</v>
      </c>
      <c r="L888" t="s">
        <v>55</v>
      </c>
      <c r="M888" t="s">
        <v>56</v>
      </c>
      <c r="N888" t="s">
        <v>57</v>
      </c>
      <c r="O888" s="18" t="s">
        <v>58</v>
      </c>
      <c r="P888" s="18" t="s">
        <v>72</v>
      </c>
      <c r="Q888" s="17" t="s">
        <v>145</v>
      </c>
      <c r="R888" s="18" t="s">
        <v>411</v>
      </c>
      <c r="S888" s="32">
        <v>301</v>
      </c>
      <c r="T888" s="19">
        <v>150</v>
      </c>
      <c r="U888" s="17" t="s">
        <v>62</v>
      </c>
      <c r="V888" s="17">
        <v>46013</v>
      </c>
      <c r="W888" s="18">
        <v>12</v>
      </c>
      <c r="X888" s="17">
        <v>46142</v>
      </c>
      <c r="Y888" s="17">
        <v>46093</v>
      </c>
      <c r="Z888" s="45">
        <v>3</v>
      </c>
      <c r="AA888">
        <v>2026</v>
      </c>
      <c r="AB888" s="42">
        <v>2442013</v>
      </c>
      <c r="AC888" s="42">
        <v>1216950</v>
      </c>
    </row>
    <row r="889" spans="1:29">
      <c r="A889" t="s">
        <v>45</v>
      </c>
      <c r="B889" t="s">
        <v>46</v>
      </c>
      <c r="C889" t="s">
        <v>47</v>
      </c>
      <c r="D889" t="s">
        <v>721</v>
      </c>
      <c r="E889" t="s">
        <v>49</v>
      </c>
      <c r="F889" t="s">
        <v>63</v>
      </c>
      <c r="G889" t="s">
        <v>51</v>
      </c>
      <c r="H889" s="17" t="s">
        <v>52</v>
      </c>
      <c r="I889" t="s">
        <v>53</v>
      </c>
      <c r="J889" t="s">
        <v>54</v>
      </c>
      <c r="K889">
        <v>1</v>
      </c>
      <c r="L889" t="s">
        <v>55</v>
      </c>
      <c r="M889" t="s">
        <v>56</v>
      </c>
      <c r="N889" t="s">
        <v>57</v>
      </c>
      <c r="O889" s="18" t="s">
        <v>58</v>
      </c>
      <c r="P889" s="18" t="s">
        <v>72</v>
      </c>
      <c r="Q889" s="17" t="s">
        <v>193</v>
      </c>
      <c r="R889" s="18" t="s">
        <v>194</v>
      </c>
      <c r="S889" s="32">
        <v>1713</v>
      </c>
      <c r="T889" s="19">
        <v>860</v>
      </c>
      <c r="U889" s="17" t="s">
        <v>62</v>
      </c>
      <c r="V889" s="17">
        <v>46013</v>
      </c>
      <c r="W889" s="18">
        <v>12</v>
      </c>
      <c r="X889" s="17">
        <v>46142</v>
      </c>
      <c r="Y889" s="17">
        <v>46093</v>
      </c>
      <c r="Z889" s="45">
        <v>3</v>
      </c>
      <c r="AA889">
        <v>2026</v>
      </c>
      <c r="AB889" s="42">
        <v>15074400</v>
      </c>
      <c r="AC889" s="42">
        <v>7568000</v>
      </c>
    </row>
    <row r="890" spans="1:29">
      <c r="A890" t="s">
        <v>45</v>
      </c>
      <c r="B890" t="s">
        <v>46</v>
      </c>
      <c r="C890" t="s">
        <v>47</v>
      </c>
      <c r="D890" t="s">
        <v>674</v>
      </c>
      <c r="E890" t="s">
        <v>49</v>
      </c>
      <c r="F890" t="s">
        <v>75</v>
      </c>
      <c r="G890" t="s">
        <v>51</v>
      </c>
      <c r="H890" s="17" t="s">
        <v>52</v>
      </c>
      <c r="I890" t="s">
        <v>53</v>
      </c>
      <c r="J890" t="s">
        <v>54</v>
      </c>
      <c r="K890">
        <v>1</v>
      </c>
      <c r="L890" t="s">
        <v>55</v>
      </c>
      <c r="M890" t="s">
        <v>56</v>
      </c>
      <c r="N890" t="s">
        <v>57</v>
      </c>
      <c r="O890" s="18" t="s">
        <v>58</v>
      </c>
      <c r="P890" s="18" t="s">
        <v>99</v>
      </c>
      <c r="Q890" s="17" t="s">
        <v>100</v>
      </c>
      <c r="R890" s="18" t="s">
        <v>101</v>
      </c>
      <c r="S890" s="32">
        <v>18</v>
      </c>
      <c r="T890" s="19">
        <v>18</v>
      </c>
      <c r="U890" s="17" t="s">
        <v>62</v>
      </c>
      <c r="V890" s="17">
        <v>46008</v>
      </c>
      <c r="W890" s="18">
        <v>12</v>
      </c>
      <c r="X890" s="17">
        <v>46072</v>
      </c>
      <c r="Y890" s="17">
        <v>46085</v>
      </c>
      <c r="Z890" s="45">
        <v>3</v>
      </c>
      <c r="AA890">
        <v>2026</v>
      </c>
      <c r="AB890" s="42">
        <v>1620000</v>
      </c>
      <c r="AC890" s="42">
        <v>1620000</v>
      </c>
    </row>
    <row r="891" spans="1:29">
      <c r="A891" t="s">
        <v>45</v>
      </c>
      <c r="B891" t="s">
        <v>46</v>
      </c>
      <c r="C891" t="s">
        <v>47</v>
      </c>
      <c r="D891" t="s">
        <v>727</v>
      </c>
      <c r="E891" t="s">
        <v>49</v>
      </c>
      <c r="F891" t="s">
        <v>50</v>
      </c>
      <c r="G891" t="s">
        <v>51</v>
      </c>
      <c r="H891" s="17" t="s">
        <v>52</v>
      </c>
      <c r="I891" t="s">
        <v>53</v>
      </c>
      <c r="J891" t="s">
        <v>54</v>
      </c>
      <c r="K891">
        <v>1</v>
      </c>
      <c r="L891" t="s">
        <v>55</v>
      </c>
      <c r="M891" t="s">
        <v>56</v>
      </c>
      <c r="N891" t="s">
        <v>57</v>
      </c>
      <c r="O891" s="18" t="s">
        <v>58</v>
      </c>
      <c r="P891" s="18" t="s">
        <v>86</v>
      </c>
      <c r="Q891" s="17" t="s">
        <v>111</v>
      </c>
      <c r="R891" s="18" t="s">
        <v>112</v>
      </c>
      <c r="S891" s="32">
        <v>864</v>
      </c>
      <c r="T891" s="19">
        <v>180</v>
      </c>
      <c r="U891" s="17" t="s">
        <v>113</v>
      </c>
      <c r="V891" s="17">
        <v>45960</v>
      </c>
      <c r="W891" s="18">
        <v>10</v>
      </c>
      <c r="X891" s="17">
        <v>46053</v>
      </c>
      <c r="Y891" s="17">
        <v>46087</v>
      </c>
      <c r="Z891" s="45">
        <v>3</v>
      </c>
      <c r="AA891">
        <v>2026</v>
      </c>
      <c r="AB891" s="42">
        <v>17915040</v>
      </c>
      <c r="AC891" s="42">
        <v>3732300</v>
      </c>
    </row>
    <row r="892" spans="1:29">
      <c r="A892" t="s">
        <v>45</v>
      </c>
      <c r="B892" t="s">
        <v>46</v>
      </c>
      <c r="C892" t="s">
        <v>47</v>
      </c>
      <c r="D892" t="s">
        <v>668</v>
      </c>
      <c r="E892" t="s">
        <v>49</v>
      </c>
      <c r="F892" t="s">
        <v>334</v>
      </c>
      <c r="G892" t="s">
        <v>51</v>
      </c>
      <c r="H892" s="17" t="s">
        <v>52</v>
      </c>
      <c r="I892" t="s">
        <v>53</v>
      </c>
      <c r="J892" t="s">
        <v>54</v>
      </c>
      <c r="K892">
        <v>1</v>
      </c>
      <c r="L892" t="s">
        <v>55</v>
      </c>
      <c r="M892" t="s">
        <v>56</v>
      </c>
      <c r="N892" t="s">
        <v>57</v>
      </c>
      <c r="O892" s="18" t="s">
        <v>58</v>
      </c>
      <c r="P892" s="18" t="s">
        <v>99</v>
      </c>
      <c r="Q892" s="17" t="s">
        <v>100</v>
      </c>
      <c r="R892" s="18" t="s">
        <v>101</v>
      </c>
      <c r="S892" s="32">
        <v>212</v>
      </c>
      <c r="T892" s="19">
        <v>212</v>
      </c>
      <c r="U892" s="17" t="s">
        <v>62</v>
      </c>
      <c r="V892" s="17">
        <v>45958</v>
      </c>
      <c r="W892" s="18">
        <v>10</v>
      </c>
      <c r="X892" s="17">
        <v>46112</v>
      </c>
      <c r="Y892" s="17">
        <v>46108</v>
      </c>
      <c r="Z892" s="45">
        <v>3</v>
      </c>
      <c r="AA892">
        <v>2026</v>
      </c>
      <c r="AB892" s="42">
        <v>46004</v>
      </c>
      <c r="AC892" s="42">
        <v>46004</v>
      </c>
    </row>
    <row r="893" spans="1:29">
      <c r="A893" t="s">
        <v>45</v>
      </c>
      <c r="B893" t="s">
        <v>46</v>
      </c>
      <c r="C893" t="s">
        <v>47</v>
      </c>
      <c r="D893" t="s">
        <v>674</v>
      </c>
      <c r="E893" t="s">
        <v>49</v>
      </c>
      <c r="F893" t="s">
        <v>67</v>
      </c>
      <c r="G893" t="s">
        <v>51</v>
      </c>
      <c r="H893" s="17" t="s">
        <v>52</v>
      </c>
      <c r="I893" t="s">
        <v>53</v>
      </c>
      <c r="J893" t="s">
        <v>54</v>
      </c>
      <c r="K893">
        <v>1</v>
      </c>
      <c r="L893" t="s">
        <v>55</v>
      </c>
      <c r="M893" t="s">
        <v>56</v>
      </c>
      <c r="N893" t="s">
        <v>57</v>
      </c>
      <c r="O893" s="18" t="s">
        <v>58</v>
      </c>
      <c r="P893" s="18" t="s">
        <v>72</v>
      </c>
      <c r="Q893" s="17" t="s">
        <v>647</v>
      </c>
      <c r="R893" s="18" t="s">
        <v>648</v>
      </c>
      <c r="S893" s="32">
        <v>4925</v>
      </c>
      <c r="T893" s="19">
        <v>4400</v>
      </c>
      <c r="U893" s="17" t="s">
        <v>62</v>
      </c>
      <c r="V893" s="17">
        <v>46008</v>
      </c>
      <c r="W893" s="18">
        <v>12</v>
      </c>
      <c r="X893" s="17">
        <v>46072</v>
      </c>
      <c r="Y893" s="17">
        <v>46085</v>
      </c>
      <c r="Z893" s="45">
        <v>3</v>
      </c>
      <c r="AA893">
        <v>2026</v>
      </c>
      <c r="AB893" s="42">
        <v>30052350</v>
      </c>
      <c r="AC893" s="42">
        <v>26848800</v>
      </c>
    </row>
    <row r="894" spans="1:29">
      <c r="A894" t="s">
        <v>45</v>
      </c>
      <c r="B894" t="s">
        <v>46</v>
      </c>
      <c r="C894" t="s">
        <v>47</v>
      </c>
      <c r="D894" t="s">
        <v>668</v>
      </c>
      <c r="E894" t="s">
        <v>49</v>
      </c>
      <c r="F894" t="s">
        <v>336</v>
      </c>
      <c r="G894" t="s">
        <v>51</v>
      </c>
      <c r="H894" s="17" t="s">
        <v>52</v>
      </c>
      <c r="I894" t="s">
        <v>53</v>
      </c>
      <c r="J894" t="s">
        <v>54</v>
      </c>
      <c r="K894">
        <v>1</v>
      </c>
      <c r="L894" t="s">
        <v>55</v>
      </c>
      <c r="M894" t="s">
        <v>56</v>
      </c>
      <c r="N894" t="s">
        <v>57</v>
      </c>
      <c r="O894" s="18" t="s">
        <v>58</v>
      </c>
      <c r="P894" s="18" t="s">
        <v>99</v>
      </c>
      <c r="Q894" s="17" t="s">
        <v>100</v>
      </c>
      <c r="R894" s="18" t="s">
        <v>101</v>
      </c>
      <c r="S894" s="32">
        <v>1032</v>
      </c>
      <c r="T894" s="19">
        <v>1032</v>
      </c>
      <c r="U894" s="17" t="s">
        <v>62</v>
      </c>
      <c r="V894" s="17">
        <v>45958</v>
      </c>
      <c r="W894" s="18">
        <v>10</v>
      </c>
      <c r="X894" s="17">
        <v>46112</v>
      </c>
      <c r="Y894" s="17">
        <v>46108</v>
      </c>
      <c r="Z894" s="45">
        <v>3</v>
      </c>
      <c r="AA894">
        <v>2026</v>
      </c>
      <c r="AB894" s="42">
        <v>221880</v>
      </c>
      <c r="AC894" s="42">
        <v>221880</v>
      </c>
    </row>
    <row r="895" spans="1:29">
      <c r="A895" t="s">
        <v>45</v>
      </c>
      <c r="B895" t="s">
        <v>46</v>
      </c>
      <c r="C895" t="s">
        <v>47</v>
      </c>
      <c r="D895" t="s">
        <v>668</v>
      </c>
      <c r="E895" t="s">
        <v>49</v>
      </c>
      <c r="F895" t="s">
        <v>439</v>
      </c>
      <c r="G895" t="s">
        <v>51</v>
      </c>
      <c r="H895" s="17" t="s">
        <v>52</v>
      </c>
      <c r="I895" t="s">
        <v>53</v>
      </c>
      <c r="J895" t="s">
        <v>54</v>
      </c>
      <c r="K895">
        <v>1</v>
      </c>
      <c r="L895" t="s">
        <v>55</v>
      </c>
      <c r="M895" t="s">
        <v>56</v>
      </c>
      <c r="N895" t="s">
        <v>57</v>
      </c>
      <c r="O895" s="18" t="s">
        <v>58</v>
      </c>
      <c r="P895" s="18" t="s">
        <v>72</v>
      </c>
      <c r="Q895" s="17" t="s">
        <v>193</v>
      </c>
      <c r="R895" s="18" t="s">
        <v>194</v>
      </c>
      <c r="S895" s="32">
        <v>385</v>
      </c>
      <c r="T895" s="19">
        <v>385</v>
      </c>
      <c r="U895" s="17" t="s">
        <v>62</v>
      </c>
      <c r="V895" s="17">
        <v>45958</v>
      </c>
      <c r="W895" s="18">
        <v>10</v>
      </c>
      <c r="X895" s="17">
        <v>46112</v>
      </c>
      <c r="Y895" s="17">
        <v>46108</v>
      </c>
      <c r="Z895" s="45">
        <v>3</v>
      </c>
      <c r="AA895">
        <v>2026</v>
      </c>
      <c r="AB895" s="42">
        <v>3388000</v>
      </c>
      <c r="AC895" s="42">
        <v>3388000</v>
      </c>
    </row>
    <row r="896" spans="1:29">
      <c r="A896" t="s">
        <v>45</v>
      </c>
      <c r="B896" t="s">
        <v>46</v>
      </c>
      <c r="C896" t="s">
        <v>47</v>
      </c>
      <c r="D896" t="s">
        <v>668</v>
      </c>
      <c r="E896" t="s">
        <v>49</v>
      </c>
      <c r="F896" t="s">
        <v>515</v>
      </c>
      <c r="G896" t="s">
        <v>51</v>
      </c>
      <c r="H896" s="17" t="s">
        <v>52</v>
      </c>
      <c r="I896" t="s">
        <v>53</v>
      </c>
      <c r="J896" t="s">
        <v>54</v>
      </c>
      <c r="K896">
        <v>1</v>
      </c>
      <c r="L896" t="s">
        <v>55</v>
      </c>
      <c r="M896" t="s">
        <v>56</v>
      </c>
      <c r="N896" t="s">
        <v>57</v>
      </c>
      <c r="O896" s="18" t="s">
        <v>58</v>
      </c>
      <c r="P896" s="18" t="s">
        <v>72</v>
      </c>
      <c r="Q896" s="17" t="s">
        <v>122</v>
      </c>
      <c r="R896" s="18" t="s">
        <v>425</v>
      </c>
      <c r="S896" s="32">
        <v>3493</v>
      </c>
      <c r="T896" s="19">
        <v>3493</v>
      </c>
      <c r="U896" s="17" t="s">
        <v>62</v>
      </c>
      <c r="V896" s="17">
        <v>45958</v>
      </c>
      <c r="W896" s="18">
        <v>10</v>
      </c>
      <c r="X896" s="17">
        <v>46112</v>
      </c>
      <c r="Y896" s="17">
        <v>46087</v>
      </c>
      <c r="Z896" s="45">
        <v>3</v>
      </c>
      <c r="AA896">
        <v>2026</v>
      </c>
      <c r="AB896" s="42">
        <v>13133680</v>
      </c>
      <c r="AC896" s="42">
        <v>13133680</v>
      </c>
    </row>
    <row r="897" spans="1:29">
      <c r="A897" t="s">
        <v>45</v>
      </c>
      <c r="B897" t="s">
        <v>46</v>
      </c>
      <c r="C897" t="s">
        <v>47</v>
      </c>
      <c r="D897" t="s">
        <v>606</v>
      </c>
      <c r="E897" t="s">
        <v>49</v>
      </c>
      <c r="F897" t="s">
        <v>67</v>
      </c>
      <c r="G897" t="s">
        <v>51</v>
      </c>
      <c r="H897" s="17" t="s">
        <v>52</v>
      </c>
      <c r="I897" t="s">
        <v>53</v>
      </c>
      <c r="J897" t="s">
        <v>224</v>
      </c>
      <c r="K897">
        <v>1</v>
      </c>
      <c r="L897" t="s">
        <v>55</v>
      </c>
      <c r="M897" t="s">
        <v>56</v>
      </c>
      <c r="N897" t="s">
        <v>57</v>
      </c>
      <c r="O897" s="18" t="s">
        <v>58</v>
      </c>
      <c r="P897" s="18" t="s">
        <v>59</v>
      </c>
      <c r="Q897" s="17" t="s">
        <v>60</v>
      </c>
      <c r="R897" s="18" t="s">
        <v>61</v>
      </c>
      <c r="S897" s="32">
        <v>450</v>
      </c>
      <c r="T897" s="19">
        <v>246</v>
      </c>
      <c r="U897" s="17" t="s">
        <v>62</v>
      </c>
      <c r="V897" s="17">
        <v>45924</v>
      </c>
      <c r="W897" s="18">
        <v>9</v>
      </c>
      <c r="X897" s="17">
        <v>45992</v>
      </c>
      <c r="Y897" s="17">
        <v>46099</v>
      </c>
      <c r="Z897" s="45">
        <v>3</v>
      </c>
      <c r="AA897">
        <v>2026</v>
      </c>
      <c r="AB897" s="42">
        <v>6683400</v>
      </c>
      <c r="AC897" s="42">
        <v>3653592</v>
      </c>
    </row>
    <row r="898" spans="1:29">
      <c r="A898" t="s">
        <v>45</v>
      </c>
      <c r="B898" t="s">
        <v>46</v>
      </c>
      <c r="C898" t="s">
        <v>47</v>
      </c>
      <c r="D898" t="s">
        <v>487</v>
      </c>
      <c r="E898" t="s">
        <v>49</v>
      </c>
      <c r="F898" t="s">
        <v>71</v>
      </c>
      <c r="G898" t="s">
        <v>51</v>
      </c>
      <c r="H898" s="17" t="s">
        <v>52</v>
      </c>
      <c r="I898" t="s">
        <v>53</v>
      </c>
      <c r="J898" t="s">
        <v>54</v>
      </c>
      <c r="K898">
        <v>1</v>
      </c>
      <c r="L898" t="s">
        <v>55</v>
      </c>
      <c r="M898" t="s">
        <v>56</v>
      </c>
      <c r="N898" t="s">
        <v>57</v>
      </c>
      <c r="O898" s="18" t="s">
        <v>58</v>
      </c>
      <c r="P898" s="18" t="s">
        <v>72</v>
      </c>
      <c r="Q898" s="17" t="s">
        <v>545</v>
      </c>
      <c r="R898" s="18" t="s">
        <v>546</v>
      </c>
      <c r="S898" s="32">
        <v>6777</v>
      </c>
      <c r="T898" s="19">
        <v>5975</v>
      </c>
      <c r="U898" s="17" t="s">
        <v>62</v>
      </c>
      <c r="V898" s="17">
        <v>45867</v>
      </c>
      <c r="W898" s="18">
        <v>7</v>
      </c>
      <c r="X898" s="17">
        <v>45960</v>
      </c>
      <c r="Y898" s="17">
        <v>46090</v>
      </c>
      <c r="Z898" s="45">
        <v>3</v>
      </c>
      <c r="AA898">
        <v>2026</v>
      </c>
      <c r="AB898" s="42">
        <v>83831490</v>
      </c>
      <c r="AC898" s="42">
        <v>73910750</v>
      </c>
    </row>
    <row r="899" spans="1:29">
      <c r="A899" t="s">
        <v>45</v>
      </c>
      <c r="B899" t="s">
        <v>46</v>
      </c>
      <c r="C899" t="s">
        <v>47</v>
      </c>
      <c r="D899" t="s">
        <v>684</v>
      </c>
      <c r="E899" t="s">
        <v>49</v>
      </c>
      <c r="F899" t="s">
        <v>50</v>
      </c>
      <c r="G899" t="s">
        <v>51</v>
      </c>
      <c r="H899" s="17" t="s">
        <v>52</v>
      </c>
      <c r="I899" t="s">
        <v>53</v>
      </c>
      <c r="J899" t="s">
        <v>224</v>
      </c>
      <c r="K899">
        <v>1</v>
      </c>
      <c r="L899" t="s">
        <v>55</v>
      </c>
      <c r="M899" t="s">
        <v>56</v>
      </c>
      <c r="N899" t="s">
        <v>57</v>
      </c>
      <c r="O899" s="18" t="s">
        <v>58</v>
      </c>
      <c r="P899" s="18" t="s">
        <v>72</v>
      </c>
      <c r="Q899" s="17" t="s">
        <v>736</v>
      </c>
      <c r="R899" s="18" t="s">
        <v>737</v>
      </c>
      <c r="S899" s="32">
        <v>3668</v>
      </c>
      <c r="T899" s="19">
        <v>3668</v>
      </c>
      <c r="U899" s="17" t="s">
        <v>62</v>
      </c>
      <c r="V899" s="17">
        <v>45975</v>
      </c>
      <c r="W899" s="18">
        <v>11</v>
      </c>
      <c r="X899" s="17">
        <v>46081</v>
      </c>
      <c r="Y899" s="17">
        <v>46104</v>
      </c>
      <c r="Z899" s="45">
        <v>3</v>
      </c>
      <c r="AA899">
        <v>2026</v>
      </c>
      <c r="AB899" s="42">
        <v>26336240</v>
      </c>
      <c r="AC899" s="42">
        <v>26336240</v>
      </c>
    </row>
    <row r="900" spans="1:29">
      <c r="A900" t="s">
        <v>45</v>
      </c>
      <c r="B900" t="s">
        <v>46</v>
      </c>
      <c r="C900" t="s">
        <v>47</v>
      </c>
      <c r="D900" t="s">
        <v>405</v>
      </c>
      <c r="E900" t="s">
        <v>49</v>
      </c>
      <c r="F900" t="s">
        <v>334</v>
      </c>
      <c r="G900" t="s">
        <v>51</v>
      </c>
      <c r="H900" s="17" t="s">
        <v>52</v>
      </c>
      <c r="I900" t="s">
        <v>53</v>
      </c>
      <c r="J900" t="s">
        <v>54</v>
      </c>
      <c r="K900">
        <v>1</v>
      </c>
      <c r="L900" t="s">
        <v>55</v>
      </c>
      <c r="M900" t="s">
        <v>56</v>
      </c>
      <c r="N900" t="s">
        <v>57</v>
      </c>
      <c r="O900" s="18" t="s">
        <v>58</v>
      </c>
      <c r="P900" s="18" t="s">
        <v>99</v>
      </c>
      <c r="Q900" s="17" t="s">
        <v>100</v>
      </c>
      <c r="R900" s="18" t="s">
        <v>101</v>
      </c>
      <c r="S900" s="32">
        <v>12</v>
      </c>
      <c r="T900" s="19">
        <v>10</v>
      </c>
      <c r="U900" s="17" t="s">
        <v>62</v>
      </c>
      <c r="V900" s="17">
        <v>45791</v>
      </c>
      <c r="W900" s="18">
        <v>5</v>
      </c>
      <c r="X900" s="17">
        <v>45883</v>
      </c>
      <c r="Y900" s="17">
        <v>46105</v>
      </c>
      <c r="Z900" s="45">
        <v>3</v>
      </c>
      <c r="AA900">
        <v>2026</v>
      </c>
      <c r="AB900" s="42">
        <v>2825016</v>
      </c>
      <c r="AC900" s="42">
        <v>2354180</v>
      </c>
    </row>
    <row r="901" spans="1:29">
      <c r="A901" t="s">
        <v>45</v>
      </c>
      <c r="B901" t="s">
        <v>46</v>
      </c>
      <c r="C901" t="s">
        <v>47</v>
      </c>
      <c r="D901" t="s">
        <v>332</v>
      </c>
      <c r="E901" t="s">
        <v>49</v>
      </c>
      <c r="F901" t="s">
        <v>439</v>
      </c>
      <c r="G901" t="s">
        <v>51</v>
      </c>
      <c r="H901" s="17" t="s">
        <v>52</v>
      </c>
      <c r="I901" t="s">
        <v>53</v>
      </c>
      <c r="J901" t="s">
        <v>54</v>
      </c>
      <c r="K901">
        <v>1</v>
      </c>
      <c r="L901" t="s">
        <v>55</v>
      </c>
      <c r="M901" t="s">
        <v>56</v>
      </c>
      <c r="N901" t="s">
        <v>57</v>
      </c>
      <c r="O901" s="18" t="s">
        <v>58</v>
      </c>
      <c r="P901" s="18" t="s">
        <v>132</v>
      </c>
      <c r="Q901" s="17" t="s">
        <v>291</v>
      </c>
      <c r="R901" s="18" t="s">
        <v>292</v>
      </c>
      <c r="S901" s="32">
        <v>75</v>
      </c>
      <c r="T901" s="19">
        <v>10</v>
      </c>
      <c r="U901" s="17" t="s">
        <v>62</v>
      </c>
      <c r="V901" s="17">
        <v>45776</v>
      </c>
      <c r="W901" s="18">
        <v>4</v>
      </c>
      <c r="X901" s="17">
        <v>45868</v>
      </c>
      <c r="Y901" s="17">
        <v>46108</v>
      </c>
      <c r="Z901" s="45">
        <v>3</v>
      </c>
      <c r="AA901">
        <v>2026</v>
      </c>
      <c r="AB901" s="42">
        <v>679125</v>
      </c>
      <c r="AC901" s="42">
        <v>90550</v>
      </c>
    </row>
    <row r="902" spans="1:29">
      <c r="A902" t="s">
        <v>45</v>
      </c>
      <c r="B902" t="s">
        <v>46</v>
      </c>
      <c r="C902" t="s">
        <v>47</v>
      </c>
      <c r="D902" t="s">
        <v>332</v>
      </c>
      <c r="E902" t="s">
        <v>49</v>
      </c>
      <c r="F902" t="s">
        <v>440</v>
      </c>
      <c r="G902" t="s">
        <v>51</v>
      </c>
      <c r="H902" s="17" t="s">
        <v>52</v>
      </c>
      <c r="I902" t="s">
        <v>53</v>
      </c>
      <c r="J902" t="s">
        <v>54</v>
      </c>
      <c r="K902">
        <v>1</v>
      </c>
      <c r="L902" t="s">
        <v>55</v>
      </c>
      <c r="M902" t="s">
        <v>56</v>
      </c>
      <c r="N902" t="s">
        <v>57</v>
      </c>
      <c r="O902" s="18" t="s">
        <v>58</v>
      </c>
      <c r="P902" s="18" t="s">
        <v>99</v>
      </c>
      <c r="Q902" s="17" t="s">
        <v>100</v>
      </c>
      <c r="R902" s="18" t="s">
        <v>101</v>
      </c>
      <c r="S902" s="32">
        <v>75</v>
      </c>
      <c r="T902" s="19">
        <v>10</v>
      </c>
      <c r="U902" s="17" t="s">
        <v>62</v>
      </c>
      <c r="V902" s="17">
        <v>45776</v>
      </c>
      <c r="W902" s="18">
        <v>4</v>
      </c>
      <c r="X902" s="17">
        <v>45868</v>
      </c>
      <c r="Y902" s="17">
        <v>46108</v>
      </c>
      <c r="Z902" s="45">
        <v>3</v>
      </c>
      <c r="AA902">
        <v>2026</v>
      </c>
      <c r="AB902" s="42">
        <v>14100</v>
      </c>
      <c r="AC902" s="42">
        <v>1880</v>
      </c>
    </row>
    <row r="903" spans="1:29">
      <c r="A903" t="s">
        <v>45</v>
      </c>
      <c r="B903" t="s">
        <v>46</v>
      </c>
      <c r="C903" t="s">
        <v>47</v>
      </c>
      <c r="D903" t="s">
        <v>530</v>
      </c>
      <c r="E903" t="s">
        <v>49</v>
      </c>
      <c r="F903" t="s">
        <v>67</v>
      </c>
      <c r="G903" t="s">
        <v>51</v>
      </c>
      <c r="H903" s="17" t="s">
        <v>52</v>
      </c>
      <c r="I903" t="s">
        <v>53</v>
      </c>
      <c r="J903" t="s">
        <v>54</v>
      </c>
      <c r="K903">
        <v>1</v>
      </c>
      <c r="L903" t="s">
        <v>55</v>
      </c>
      <c r="M903" t="s">
        <v>56</v>
      </c>
      <c r="N903" t="s">
        <v>57</v>
      </c>
      <c r="O903" s="18" t="s">
        <v>58</v>
      </c>
      <c r="P903" s="18" t="s">
        <v>72</v>
      </c>
      <c r="Q903" s="17" t="s">
        <v>73</v>
      </c>
      <c r="R903" s="18" t="s">
        <v>74</v>
      </c>
      <c r="S903" s="32">
        <v>896</v>
      </c>
      <c r="T903" s="19">
        <v>230</v>
      </c>
      <c r="U903" s="17" t="s">
        <v>62</v>
      </c>
      <c r="V903" s="17">
        <v>45834</v>
      </c>
      <c r="W903" s="18">
        <v>6</v>
      </c>
      <c r="X903" s="17">
        <v>45926</v>
      </c>
      <c r="Y903" s="17">
        <v>46108</v>
      </c>
      <c r="Z903" s="45">
        <v>3</v>
      </c>
      <c r="AA903">
        <v>2026</v>
      </c>
      <c r="AB903" s="42">
        <v>17810688</v>
      </c>
      <c r="AC903" s="42">
        <v>4571940</v>
      </c>
    </row>
    <row r="904" spans="1:29">
      <c r="A904" t="s">
        <v>45</v>
      </c>
      <c r="B904" t="s">
        <v>46</v>
      </c>
      <c r="C904" t="s">
        <v>47</v>
      </c>
      <c r="D904" t="s">
        <v>530</v>
      </c>
      <c r="E904" t="s">
        <v>49</v>
      </c>
      <c r="F904" t="s">
        <v>71</v>
      </c>
      <c r="G904" t="s">
        <v>51</v>
      </c>
      <c r="H904" s="17" t="s">
        <v>52</v>
      </c>
      <c r="I904" t="s">
        <v>53</v>
      </c>
      <c r="J904" t="s">
        <v>54</v>
      </c>
      <c r="K904">
        <v>1</v>
      </c>
      <c r="L904" t="s">
        <v>55</v>
      </c>
      <c r="M904" t="s">
        <v>56</v>
      </c>
      <c r="N904" t="s">
        <v>57</v>
      </c>
      <c r="O904" s="18" t="s">
        <v>58</v>
      </c>
      <c r="P904" s="18" t="s">
        <v>99</v>
      </c>
      <c r="Q904" s="17" t="s">
        <v>100</v>
      </c>
      <c r="R904" s="18" t="s">
        <v>101</v>
      </c>
      <c r="S904" s="32">
        <v>896</v>
      </c>
      <c r="T904" s="19">
        <v>230</v>
      </c>
      <c r="U904" s="17" t="s">
        <v>62</v>
      </c>
      <c r="V904" s="17">
        <v>45834</v>
      </c>
      <c r="W904" s="18">
        <v>6</v>
      </c>
      <c r="X904" s="17">
        <v>45926</v>
      </c>
      <c r="Y904" s="17">
        <v>46108</v>
      </c>
      <c r="Z904" s="45">
        <v>3</v>
      </c>
      <c r="AA904">
        <v>2026</v>
      </c>
      <c r="AB904" s="42">
        <v>203392</v>
      </c>
      <c r="AC904" s="42">
        <v>52210</v>
      </c>
    </row>
    <row r="905" spans="1:29">
      <c r="A905" t="s">
        <v>45</v>
      </c>
      <c r="B905" t="s">
        <v>46</v>
      </c>
      <c r="C905" t="s">
        <v>47</v>
      </c>
      <c r="D905" t="s">
        <v>530</v>
      </c>
      <c r="E905" t="s">
        <v>49</v>
      </c>
      <c r="F905" t="s">
        <v>75</v>
      </c>
      <c r="G905" t="s">
        <v>51</v>
      </c>
      <c r="H905" s="17" t="s">
        <v>52</v>
      </c>
      <c r="I905" t="s">
        <v>53</v>
      </c>
      <c r="J905" t="s">
        <v>54</v>
      </c>
      <c r="K905">
        <v>1</v>
      </c>
      <c r="L905" t="s">
        <v>55</v>
      </c>
      <c r="M905" t="s">
        <v>56</v>
      </c>
      <c r="N905" t="s">
        <v>57</v>
      </c>
      <c r="O905" s="18" t="s">
        <v>58</v>
      </c>
      <c r="P905" s="18" t="s">
        <v>64</v>
      </c>
      <c r="Q905" s="17" t="s">
        <v>92</v>
      </c>
      <c r="R905" s="18" t="s">
        <v>93</v>
      </c>
      <c r="S905" s="32">
        <v>83</v>
      </c>
      <c r="T905" s="19">
        <v>21</v>
      </c>
      <c r="U905" s="17" t="s">
        <v>62</v>
      </c>
      <c r="V905" s="17">
        <v>45834</v>
      </c>
      <c r="W905" s="18">
        <v>6</v>
      </c>
      <c r="X905" s="17">
        <v>45926</v>
      </c>
      <c r="Y905" s="17">
        <v>46108</v>
      </c>
      <c r="Z905" s="45">
        <v>3</v>
      </c>
      <c r="AA905">
        <v>2026</v>
      </c>
      <c r="AB905" s="42">
        <v>1192627</v>
      </c>
      <c r="AC905" s="42">
        <v>301749</v>
      </c>
    </row>
    <row r="906" spans="1:29">
      <c r="A906" t="s">
        <v>45</v>
      </c>
      <c r="B906" t="s">
        <v>46</v>
      </c>
      <c r="C906" t="s">
        <v>47</v>
      </c>
      <c r="D906" t="s">
        <v>530</v>
      </c>
      <c r="E906" t="s">
        <v>49</v>
      </c>
      <c r="F906" t="s">
        <v>79</v>
      </c>
      <c r="G906" t="s">
        <v>51</v>
      </c>
      <c r="H906" s="17" t="s">
        <v>52</v>
      </c>
      <c r="I906" t="s">
        <v>53</v>
      </c>
      <c r="J906" t="s">
        <v>54</v>
      </c>
      <c r="K906">
        <v>1</v>
      </c>
      <c r="L906" t="s">
        <v>55</v>
      </c>
      <c r="M906" t="s">
        <v>56</v>
      </c>
      <c r="N906" t="s">
        <v>57</v>
      </c>
      <c r="O906" s="18" t="s">
        <v>58</v>
      </c>
      <c r="P906" s="18" t="s">
        <v>99</v>
      </c>
      <c r="Q906" s="17" t="s">
        <v>100</v>
      </c>
      <c r="R906" s="18" t="s">
        <v>101</v>
      </c>
      <c r="S906" s="32">
        <v>83</v>
      </c>
      <c r="T906" s="19">
        <v>21</v>
      </c>
      <c r="U906" s="17" t="s">
        <v>62</v>
      </c>
      <c r="V906" s="17">
        <v>45834</v>
      </c>
      <c r="W906" s="18">
        <v>6</v>
      </c>
      <c r="X906" s="17">
        <v>45926</v>
      </c>
      <c r="Y906" s="17">
        <v>46108</v>
      </c>
      <c r="Z906" s="45">
        <v>3</v>
      </c>
      <c r="AA906">
        <v>2026</v>
      </c>
      <c r="AB906" s="42">
        <v>1245</v>
      </c>
      <c r="AC906" s="42">
        <v>315</v>
      </c>
    </row>
    <row r="907" spans="1:29">
      <c r="A907" t="s">
        <v>45</v>
      </c>
      <c r="B907" t="s">
        <v>46</v>
      </c>
      <c r="C907" t="s">
        <v>47</v>
      </c>
      <c r="D907" t="s">
        <v>530</v>
      </c>
      <c r="E907" t="s">
        <v>49</v>
      </c>
      <c r="F907" t="s">
        <v>98</v>
      </c>
      <c r="G907" t="s">
        <v>51</v>
      </c>
      <c r="H907" s="17" t="s">
        <v>52</v>
      </c>
      <c r="I907" t="s">
        <v>53</v>
      </c>
      <c r="J907" t="s">
        <v>54</v>
      </c>
      <c r="K907">
        <v>1</v>
      </c>
      <c r="L907" t="s">
        <v>55</v>
      </c>
      <c r="M907" t="s">
        <v>56</v>
      </c>
      <c r="N907" t="s">
        <v>57</v>
      </c>
      <c r="O907" s="18" t="s">
        <v>58</v>
      </c>
      <c r="P907" s="18" t="s">
        <v>59</v>
      </c>
      <c r="Q907" s="17" t="s">
        <v>738</v>
      </c>
      <c r="R907" s="18" t="s">
        <v>739</v>
      </c>
      <c r="S907" s="32">
        <v>413</v>
      </c>
      <c r="T907" s="19">
        <v>51</v>
      </c>
      <c r="U907" s="17" t="s">
        <v>62</v>
      </c>
      <c r="V907" s="17">
        <v>45834</v>
      </c>
      <c r="W907" s="18">
        <v>6</v>
      </c>
      <c r="X907" s="17">
        <v>45926</v>
      </c>
      <c r="Y907" s="17">
        <v>46108</v>
      </c>
      <c r="Z907" s="45">
        <v>3</v>
      </c>
      <c r="AA907">
        <v>2026</v>
      </c>
      <c r="AB907" s="42">
        <v>32565050</v>
      </c>
      <c r="AC907" s="42">
        <v>4021350</v>
      </c>
    </row>
    <row r="908" spans="1:29">
      <c r="A908" t="s">
        <v>45</v>
      </c>
      <c r="B908" t="s">
        <v>46</v>
      </c>
      <c r="C908" t="s">
        <v>47</v>
      </c>
      <c r="D908" t="s">
        <v>530</v>
      </c>
      <c r="E908" t="s">
        <v>49</v>
      </c>
      <c r="F908" t="s">
        <v>334</v>
      </c>
      <c r="G908" t="s">
        <v>51</v>
      </c>
      <c r="H908" s="17" t="s">
        <v>52</v>
      </c>
      <c r="I908" t="s">
        <v>53</v>
      </c>
      <c r="J908" t="s">
        <v>54</v>
      </c>
      <c r="K908">
        <v>1</v>
      </c>
      <c r="L908" t="s">
        <v>55</v>
      </c>
      <c r="M908" t="s">
        <v>56</v>
      </c>
      <c r="N908" t="s">
        <v>57</v>
      </c>
      <c r="O908" s="18" t="s">
        <v>58</v>
      </c>
      <c r="P908" s="18" t="s">
        <v>99</v>
      </c>
      <c r="Q908" s="17" t="s">
        <v>100</v>
      </c>
      <c r="R908" s="18" t="s">
        <v>101</v>
      </c>
      <c r="S908" s="32">
        <v>413</v>
      </c>
      <c r="T908" s="19">
        <v>51</v>
      </c>
      <c r="U908" s="17" t="s">
        <v>62</v>
      </c>
      <c r="V908" s="17">
        <v>45834</v>
      </c>
      <c r="W908" s="18">
        <v>6</v>
      </c>
      <c r="X908" s="17">
        <v>45926</v>
      </c>
      <c r="Y908" s="17">
        <v>46108</v>
      </c>
      <c r="Z908" s="45">
        <v>3</v>
      </c>
      <c r="AA908">
        <v>2026</v>
      </c>
      <c r="AB908" s="42">
        <v>46669</v>
      </c>
      <c r="AC908" s="42">
        <v>5763</v>
      </c>
    </row>
    <row r="909" spans="1:29">
      <c r="A909" t="s">
        <v>45</v>
      </c>
      <c r="B909" t="s">
        <v>46</v>
      </c>
      <c r="C909" t="s">
        <v>47</v>
      </c>
      <c r="D909" t="s">
        <v>530</v>
      </c>
      <c r="E909" t="s">
        <v>49</v>
      </c>
      <c r="F909" t="s">
        <v>336</v>
      </c>
      <c r="G909" t="s">
        <v>51</v>
      </c>
      <c r="H909" s="17" t="s">
        <v>52</v>
      </c>
      <c r="I909" t="s">
        <v>53</v>
      </c>
      <c r="J909" t="s">
        <v>54</v>
      </c>
      <c r="K909">
        <v>1</v>
      </c>
      <c r="L909" t="s">
        <v>55</v>
      </c>
      <c r="M909" t="s">
        <v>56</v>
      </c>
      <c r="N909" t="s">
        <v>57</v>
      </c>
      <c r="O909" s="18" t="s">
        <v>58</v>
      </c>
      <c r="P909" s="18" t="s">
        <v>99</v>
      </c>
      <c r="Q909" s="17" t="s">
        <v>100</v>
      </c>
      <c r="R909" s="18" t="s">
        <v>101</v>
      </c>
      <c r="S909" s="32">
        <v>57</v>
      </c>
      <c r="T909" s="19">
        <v>15</v>
      </c>
      <c r="U909" s="17" t="s">
        <v>62</v>
      </c>
      <c r="V909" s="17">
        <v>45834</v>
      </c>
      <c r="W909" s="18">
        <v>6</v>
      </c>
      <c r="X909" s="17">
        <v>45926</v>
      </c>
      <c r="Y909" s="17">
        <v>46108</v>
      </c>
      <c r="Z909" s="45">
        <v>3</v>
      </c>
      <c r="AA909">
        <v>2026</v>
      </c>
      <c r="AB909" s="42">
        <v>4275</v>
      </c>
      <c r="AC909" s="42">
        <v>1125</v>
      </c>
    </row>
    <row r="910" spans="1:29">
      <c r="A910" t="s">
        <v>45</v>
      </c>
      <c r="B910" t="s">
        <v>46</v>
      </c>
      <c r="C910" t="s">
        <v>47</v>
      </c>
      <c r="D910" t="s">
        <v>530</v>
      </c>
      <c r="E910" t="s">
        <v>49</v>
      </c>
      <c r="F910" t="s">
        <v>439</v>
      </c>
      <c r="G910" t="s">
        <v>51</v>
      </c>
      <c r="H910" s="17" t="s">
        <v>52</v>
      </c>
      <c r="I910" t="s">
        <v>53</v>
      </c>
      <c r="J910" t="s">
        <v>54</v>
      </c>
      <c r="K910">
        <v>1</v>
      </c>
      <c r="L910" t="s">
        <v>55</v>
      </c>
      <c r="M910" t="s">
        <v>56</v>
      </c>
      <c r="N910" t="s">
        <v>57</v>
      </c>
      <c r="O910" s="18" t="s">
        <v>58</v>
      </c>
      <c r="P910" s="18" t="s">
        <v>94</v>
      </c>
      <c r="Q910" s="17" t="s">
        <v>441</v>
      </c>
      <c r="R910" s="18" t="s">
        <v>442</v>
      </c>
      <c r="S910" s="32">
        <v>258</v>
      </c>
      <c r="T910" s="19">
        <v>65</v>
      </c>
      <c r="U910" s="17" t="s">
        <v>62</v>
      </c>
      <c r="V910" s="17">
        <v>45834</v>
      </c>
      <c r="W910" s="18">
        <v>6</v>
      </c>
      <c r="X910" s="17">
        <v>45926</v>
      </c>
      <c r="Y910" s="17">
        <v>46108</v>
      </c>
      <c r="Z910" s="45">
        <v>3</v>
      </c>
      <c r="AA910">
        <v>2026</v>
      </c>
      <c r="AB910" s="42">
        <v>2909982</v>
      </c>
      <c r="AC910" s="42">
        <v>733135</v>
      </c>
    </row>
    <row r="911" spans="1:29">
      <c r="A911" t="s">
        <v>45</v>
      </c>
      <c r="B911" t="s">
        <v>46</v>
      </c>
      <c r="C911" t="s">
        <v>47</v>
      </c>
      <c r="D911" t="s">
        <v>691</v>
      </c>
      <c r="E911" t="s">
        <v>49</v>
      </c>
      <c r="F911" t="s">
        <v>335</v>
      </c>
      <c r="G911" t="s">
        <v>51</v>
      </c>
      <c r="H911" s="17" t="s">
        <v>52</v>
      </c>
      <c r="I911" t="s">
        <v>53</v>
      </c>
      <c r="J911" t="s">
        <v>54</v>
      </c>
      <c r="K911">
        <v>1</v>
      </c>
      <c r="L911" t="s">
        <v>55</v>
      </c>
      <c r="M911" t="s">
        <v>56</v>
      </c>
      <c r="N911" t="s">
        <v>57</v>
      </c>
      <c r="O911" s="18" t="s">
        <v>58</v>
      </c>
      <c r="P911" s="18" t="s">
        <v>99</v>
      </c>
      <c r="Q911" s="17" t="s">
        <v>100</v>
      </c>
      <c r="R911" s="18" t="s">
        <v>101</v>
      </c>
      <c r="S911" s="32">
        <v>1</v>
      </c>
      <c r="T911" s="19">
        <v>0</v>
      </c>
      <c r="U911" s="17" t="s">
        <v>62</v>
      </c>
      <c r="V911" s="17">
        <v>46000</v>
      </c>
      <c r="W911" s="18">
        <v>12</v>
      </c>
      <c r="X911" s="17">
        <v>46112</v>
      </c>
      <c r="Z911" s="45">
        <v>3</v>
      </c>
      <c r="AA911">
        <v>2026</v>
      </c>
      <c r="AB911" s="42">
        <v>70000</v>
      </c>
      <c r="AC911" s="42">
        <v>0</v>
      </c>
    </row>
    <row r="912" spans="1:29">
      <c r="A912" t="s">
        <v>45</v>
      </c>
      <c r="B912" t="s">
        <v>46</v>
      </c>
      <c r="C912" t="s">
        <v>47</v>
      </c>
      <c r="D912" t="s">
        <v>691</v>
      </c>
      <c r="E912" t="s">
        <v>49</v>
      </c>
      <c r="F912" t="s">
        <v>50</v>
      </c>
      <c r="G912" t="s">
        <v>51</v>
      </c>
      <c r="H912" s="17" t="s">
        <v>58</v>
      </c>
      <c r="I912" t="s">
        <v>53</v>
      </c>
      <c r="J912" t="s">
        <v>54</v>
      </c>
      <c r="K912">
        <v>1</v>
      </c>
      <c r="L912" t="s">
        <v>55</v>
      </c>
      <c r="M912" t="s">
        <v>56</v>
      </c>
      <c r="N912" t="s">
        <v>57</v>
      </c>
      <c r="O912" s="18" t="s">
        <v>58</v>
      </c>
      <c r="P912" s="18" t="s">
        <v>132</v>
      </c>
      <c r="Q912" s="17" t="s">
        <v>162</v>
      </c>
      <c r="R912" s="18" t="s">
        <v>163</v>
      </c>
      <c r="S912" s="32">
        <v>14</v>
      </c>
      <c r="T912" s="19">
        <v>0</v>
      </c>
      <c r="U912" s="17" t="s">
        <v>62</v>
      </c>
      <c r="V912" s="17">
        <v>46000</v>
      </c>
      <c r="W912" s="18">
        <v>12</v>
      </c>
      <c r="X912" s="17">
        <v>46112</v>
      </c>
      <c r="Z912" s="45">
        <v>3</v>
      </c>
      <c r="AA912">
        <v>2026</v>
      </c>
      <c r="AB912" s="42">
        <v>120316</v>
      </c>
      <c r="AC912" s="42">
        <v>0</v>
      </c>
    </row>
    <row r="913" spans="1:29">
      <c r="A913" t="s">
        <v>45</v>
      </c>
      <c r="B913" t="s">
        <v>46</v>
      </c>
      <c r="C913" t="s">
        <v>47</v>
      </c>
      <c r="D913" t="s">
        <v>691</v>
      </c>
      <c r="E913" t="s">
        <v>49</v>
      </c>
      <c r="F913" t="s">
        <v>63</v>
      </c>
      <c r="G913" t="s">
        <v>51</v>
      </c>
      <c r="H913" s="17" t="s">
        <v>58</v>
      </c>
      <c r="I913" t="s">
        <v>53</v>
      </c>
      <c r="J913" t="s">
        <v>54</v>
      </c>
      <c r="K913">
        <v>1</v>
      </c>
      <c r="L913" t="s">
        <v>55</v>
      </c>
      <c r="M913" t="s">
        <v>56</v>
      </c>
      <c r="N913" t="s">
        <v>57</v>
      </c>
      <c r="O913" s="18" t="s">
        <v>58</v>
      </c>
      <c r="P913" s="18" t="s">
        <v>80</v>
      </c>
      <c r="Q913" s="17" t="s">
        <v>81</v>
      </c>
      <c r="R913" s="18" t="s">
        <v>82</v>
      </c>
      <c r="S913" s="32">
        <v>4</v>
      </c>
      <c r="T913" s="19">
        <v>0</v>
      </c>
      <c r="U913" s="17" t="s">
        <v>62</v>
      </c>
      <c r="V913" s="17">
        <v>46000</v>
      </c>
      <c r="W913" s="18">
        <v>12</v>
      </c>
      <c r="X913" s="17">
        <v>46112</v>
      </c>
      <c r="Z913" s="45">
        <v>3</v>
      </c>
      <c r="AA913">
        <v>2026</v>
      </c>
      <c r="AB913" s="42">
        <v>5096</v>
      </c>
      <c r="AC913" s="42">
        <v>0</v>
      </c>
    </row>
    <row r="914" spans="1:29">
      <c r="A914" t="s">
        <v>45</v>
      </c>
      <c r="B914" t="s">
        <v>46</v>
      </c>
      <c r="C914" t="s">
        <v>47</v>
      </c>
      <c r="D914" t="s">
        <v>740</v>
      </c>
      <c r="E914" t="s">
        <v>49</v>
      </c>
      <c r="F914" t="s">
        <v>50</v>
      </c>
      <c r="G914" t="s">
        <v>51</v>
      </c>
      <c r="H914" s="17" t="s">
        <v>58</v>
      </c>
      <c r="I914" t="s">
        <v>53</v>
      </c>
      <c r="J914" t="s">
        <v>54</v>
      </c>
      <c r="K914">
        <v>1</v>
      </c>
      <c r="L914" t="s">
        <v>55</v>
      </c>
      <c r="M914" t="s">
        <v>56</v>
      </c>
      <c r="N914" t="s">
        <v>57</v>
      </c>
      <c r="O914" s="18" t="s">
        <v>58</v>
      </c>
      <c r="P914" s="18" t="s">
        <v>68</v>
      </c>
      <c r="Q914" s="17" t="s">
        <v>69</v>
      </c>
      <c r="R914" s="18" t="s">
        <v>70</v>
      </c>
      <c r="S914" s="32">
        <v>5</v>
      </c>
      <c r="T914" s="19">
        <v>0</v>
      </c>
      <c r="U914" s="17" t="s">
        <v>62</v>
      </c>
      <c r="V914" s="17">
        <v>45755</v>
      </c>
      <c r="W914" s="18">
        <v>4</v>
      </c>
      <c r="X914" s="17">
        <v>46119</v>
      </c>
      <c r="Z914" s="45">
        <v>4</v>
      </c>
      <c r="AA914">
        <v>2026</v>
      </c>
      <c r="AB914" s="42">
        <v>372815</v>
      </c>
      <c r="AC914" s="42">
        <v>0</v>
      </c>
    </row>
    <row r="915" spans="1:29">
      <c r="A915" t="s">
        <v>45</v>
      </c>
      <c r="B915" t="s">
        <v>46</v>
      </c>
      <c r="C915" t="s">
        <v>47</v>
      </c>
      <c r="D915" t="s">
        <v>721</v>
      </c>
      <c r="E915" t="s">
        <v>49</v>
      </c>
      <c r="F915" t="s">
        <v>98</v>
      </c>
      <c r="G915" t="s">
        <v>51</v>
      </c>
      <c r="H915" s="17" t="s">
        <v>52</v>
      </c>
      <c r="I915" t="s">
        <v>53</v>
      </c>
      <c r="J915" t="s">
        <v>54</v>
      </c>
      <c r="K915">
        <v>1</v>
      </c>
      <c r="L915" t="s">
        <v>55</v>
      </c>
      <c r="M915" t="s">
        <v>56</v>
      </c>
      <c r="N915" t="s">
        <v>57</v>
      </c>
      <c r="O915" s="18" t="s">
        <v>58</v>
      </c>
      <c r="P915" s="18" t="s">
        <v>99</v>
      </c>
      <c r="Q915" s="17" t="s">
        <v>100</v>
      </c>
      <c r="R915" s="18" t="s">
        <v>101</v>
      </c>
      <c r="S915" s="32">
        <v>2</v>
      </c>
      <c r="T915" s="19">
        <v>1</v>
      </c>
      <c r="U915" s="17" t="s">
        <v>62</v>
      </c>
      <c r="V915" s="17">
        <v>46013</v>
      </c>
      <c r="W915" s="18">
        <v>12</v>
      </c>
      <c r="X915" s="17">
        <v>46142</v>
      </c>
      <c r="Y915" s="17">
        <v>46127</v>
      </c>
      <c r="Z915" s="45">
        <v>4</v>
      </c>
      <c r="AA915">
        <v>2026</v>
      </c>
      <c r="AB915" s="42">
        <v>500000</v>
      </c>
      <c r="AC915" s="42">
        <v>250000</v>
      </c>
    </row>
  </sheetData>
  <autoFilter ref="A1:AC915" xr:uid="{00000000-0001-0000-0100-000000000000}"/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3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19" customWidth="1"/>
    <col min="18" max="18" width="13.6640625" customWidth="1"/>
  </cols>
  <sheetData>
    <row r="1" spans="1:17">
      <c r="A1" s="125">
        <f>III_Compras_Detalladas!X2</f>
        <v>45754</v>
      </c>
      <c r="B1" s="47" t="s">
        <v>0</v>
      </c>
      <c r="C1" s="47" t="s">
        <v>1</v>
      </c>
      <c r="D1" s="47" t="s">
        <v>2</v>
      </c>
      <c r="E1" s="47" t="s">
        <v>3</v>
      </c>
      <c r="F1" s="47" t="s">
        <v>4</v>
      </c>
      <c r="G1" s="47" t="s">
        <v>5</v>
      </c>
      <c r="H1" s="47" t="s">
        <v>6</v>
      </c>
      <c r="I1" s="47" t="s">
        <v>7</v>
      </c>
      <c r="J1" s="47" t="s">
        <v>8</v>
      </c>
      <c r="K1" s="47" t="s">
        <v>9</v>
      </c>
      <c r="L1" s="47" t="s">
        <v>10</v>
      </c>
      <c r="M1" s="47" t="s">
        <v>11</v>
      </c>
      <c r="N1" s="47" t="s">
        <v>12</v>
      </c>
      <c r="O1" s="47" t="s">
        <v>13</v>
      </c>
      <c r="P1" s="47" t="s">
        <v>14</v>
      </c>
      <c r="Q1" s="47" t="s">
        <v>15</v>
      </c>
    </row>
    <row r="2" spans="1:17">
      <c r="A2" s="126"/>
      <c r="B2" s="33" t="str">
        <f>IF(IV_Compras_Totales_Base!A2="","",IV_Compras_Totales_Base!A2)</f>
        <v>4000006878</v>
      </c>
      <c r="C2" s="33" t="str">
        <f>IF(IV_Compras_Totales_Base!B2="","",IV_Compras_Totales_Base!B2)</f>
        <v>KNAUF CHILE SPA</v>
      </c>
      <c r="D2" s="33" t="str">
        <f>IF(IV_Compras_Totales_Base!C2="","",IV_Compras_Totales_Base!C2)</f>
        <v>13</v>
      </c>
      <c r="E2" s="33">
        <f>IF(IV_Compras_Totales_Base!D2="","",IV_Compras_Totales_Base!D2)</f>
        <v>9962010</v>
      </c>
      <c r="F2" s="6">
        <f>IF(IV_Compras_Totales_Base!E2="","",IV_Compras_Totales_Base!E2)</f>
        <v>0</v>
      </c>
      <c r="G2" s="6" t="str">
        <f>IF(IV_Compras_Totales_Base!F2="","",IV_Compras_Totales_Base!F2)</f>
        <v/>
      </c>
      <c r="H2" s="6" t="str">
        <f>IF(IV_Compras_Totales_Base!G2="","",IV_Compras_Totales_Base!G2)</f>
        <v/>
      </c>
      <c r="I2" s="6" t="str">
        <f>IF(IV_Compras_Totales_Base!H2="","",IV_Compras_Totales_Base!H2)</f>
        <v/>
      </c>
      <c r="J2" s="6" t="str">
        <f>IF(IV_Compras_Totales_Base!I2="","",IV_Compras_Totales_Base!I2)</f>
        <v/>
      </c>
      <c r="K2" s="6">
        <f>IF(IV_Compras_Totales_Base!J2="","",IV_Compras_Totales_Base!J2)</f>
        <v>0</v>
      </c>
      <c r="L2" s="6" t="str">
        <f>IF(IV_Compras_Totales_Base!K2="","",IV_Compras_Totales_Base!K2)</f>
        <v/>
      </c>
      <c r="M2" s="6" t="str">
        <f>IF(IV_Compras_Totales_Base!L2="","",IV_Compras_Totales_Base!L2)</f>
        <v/>
      </c>
      <c r="N2" s="6">
        <f>IF(IV_Compras_Totales_Base!M2="","",IV_Compras_Totales_Base!M2)</f>
        <v>1431300</v>
      </c>
      <c r="O2" s="6">
        <f>IF(IV_Compras_Totales_Base!N2="","",IV_Compras_Totales_Base!N2)</f>
        <v>6462339</v>
      </c>
      <c r="P2" s="6" t="str">
        <f>IF(IV_Compras_Totales_Base!O2="","",IV_Compras_Totales_Base!O2)</f>
        <v/>
      </c>
      <c r="Q2" s="6">
        <f>IF(IV_Compras_Totales_Base!P2="","",IV_Compras_Totales_Base!P2)</f>
        <v>2068371</v>
      </c>
    </row>
    <row r="3" spans="1:17">
      <c r="A3" s="126"/>
      <c r="B3" s="33" t="str">
        <f>IF(IV_Compras_Totales_Base!A3="","",IV_Compras_Totales_Base!A3)</f>
        <v>4000006878</v>
      </c>
      <c r="C3" s="33" t="str">
        <f>IF(IV_Compras_Totales_Base!B3="","",IV_Compras_Totales_Base!B3)</f>
        <v>KNAUF CHILE SPA</v>
      </c>
      <c r="D3" s="33" t="str">
        <f>IF(IV_Compras_Totales_Base!C3="","",IV_Compras_Totales_Base!C3)</f>
        <v>43</v>
      </c>
      <c r="E3" s="33">
        <f>IF(IV_Compras_Totales_Base!D3="","",IV_Compras_Totales_Base!D3)</f>
        <v>1651672308</v>
      </c>
      <c r="F3" s="6">
        <f>IF(IV_Compras_Totales_Base!E3="","",IV_Compras_Totales_Base!E3)</f>
        <v>82900096</v>
      </c>
      <c r="G3" s="6">
        <f>IF(IV_Compras_Totales_Base!F3="","",IV_Compras_Totales_Base!F3)</f>
        <v>61201818</v>
      </c>
      <c r="H3" s="6">
        <f>IF(IV_Compras_Totales_Base!G3="","",IV_Compras_Totales_Base!G3)</f>
        <v>152035365</v>
      </c>
      <c r="I3" s="6">
        <f>IF(IV_Compras_Totales_Base!H3="","",IV_Compras_Totales_Base!H3)</f>
        <v>50688350</v>
      </c>
      <c r="J3" s="6">
        <f>IF(IV_Compras_Totales_Base!I3="","",IV_Compras_Totales_Base!I3)</f>
        <v>38162448</v>
      </c>
      <c r="K3" s="6">
        <f>IF(IV_Compras_Totales_Base!J3="","",IV_Compras_Totales_Base!J3)</f>
        <v>109587065</v>
      </c>
      <c r="L3" s="6">
        <f>IF(IV_Compras_Totales_Base!K3="","",IV_Compras_Totales_Base!K3)</f>
        <v>118554634</v>
      </c>
      <c r="M3" s="6">
        <f>IF(IV_Compras_Totales_Base!L3="","",IV_Compras_Totales_Base!L3)</f>
        <v>212343917</v>
      </c>
      <c r="N3" s="6">
        <f>IF(IV_Compras_Totales_Base!M3="","",IV_Compras_Totales_Base!M3)</f>
        <v>165819852</v>
      </c>
      <c r="O3" s="6">
        <f>IF(IV_Compras_Totales_Base!N3="","",IV_Compras_Totales_Base!N3)</f>
        <v>167521834</v>
      </c>
      <c r="P3" s="6">
        <f>IF(IV_Compras_Totales_Base!O3="","",IV_Compras_Totales_Base!O3)</f>
        <v>146679209</v>
      </c>
      <c r="Q3" s="6">
        <f>IF(IV_Compras_Totales_Base!P3="","",IV_Compras_Totales_Base!P3)</f>
        <v>346177720</v>
      </c>
    </row>
  </sheetData>
  <mergeCells count="1">
    <mergeCell ref="A1:A3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1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4" customWidth="1"/>
    <col min="3" max="3" width="40.6640625" style="34" customWidth="1"/>
    <col min="4" max="4" width="13.6640625" style="34" customWidth="1"/>
    <col min="5" max="17" width="13.6640625" style="35" customWidth="1"/>
    <col min="18" max="18" width="13.6640625" style="34" customWidth="1"/>
    <col min="19" max="16384" width="13.6640625" style="34"/>
  </cols>
  <sheetData>
    <row r="1" spans="1:17">
      <c r="A1" s="125">
        <f>III_Compras_Detalladas!X2</f>
        <v>45754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</row>
  </sheetData>
  <mergeCells count="1">
    <mergeCell ref="A1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>
    <tabColor theme="0" tint="-0.249977111117893"/>
  </sheetPr>
  <dimension ref="A1:AC374"/>
  <sheetViews>
    <sheetView topLeftCell="J1" zoomScale="80" zoomScaleNormal="80" workbookViewId="0">
      <pane ySplit="1" topLeftCell="A149" activePane="bottomLeft" state="frozen"/>
      <selection activeCell="J25" sqref="J25"/>
      <selection pane="bottomLeft" activeCell="O340" sqref="O340"/>
    </sheetView>
  </sheetViews>
  <sheetFormatPr baseColWidth="10" defaultColWidth="13.6640625" defaultRowHeight="14.4"/>
  <cols>
    <col min="1" max="2" width="13.6640625" style="17" customWidth="1"/>
    <col min="3" max="3" width="13.6640625" style="36" customWidth="1"/>
    <col min="4" max="8" width="13.6640625" customWidth="1"/>
    <col min="9" max="9" width="23.6640625" customWidth="1"/>
    <col min="10" max="10" width="13.6640625" customWidth="1"/>
    <col min="11" max="11" width="20.6640625" style="9" customWidth="1"/>
    <col min="12" max="12" width="13.6640625" style="9" customWidth="1"/>
    <col min="13" max="13" width="13.6640625" style="17" customWidth="1"/>
    <col min="14" max="15" width="36.6640625" customWidth="1"/>
    <col min="16" max="16" width="16" style="17" bestFit="1" customWidth="1"/>
    <col min="17" max="17" width="13.6640625" style="18" customWidth="1"/>
    <col min="18" max="20" width="13.6640625" customWidth="1"/>
    <col min="21" max="21" width="17.44140625" bestFit="1" customWidth="1"/>
    <col min="22" max="22" width="13.6640625" style="105" customWidth="1"/>
    <col min="23" max="23" width="23.6640625" style="42" customWidth="1"/>
    <col min="24" max="24" width="13.6640625" style="42" customWidth="1"/>
    <col min="25" max="25" width="13.6640625" customWidth="1"/>
  </cols>
  <sheetData>
    <row r="1" spans="1:29">
      <c r="A1" s="20" t="s">
        <v>789</v>
      </c>
      <c r="B1" s="20" t="s">
        <v>795</v>
      </c>
      <c r="C1" s="20" t="s">
        <v>879</v>
      </c>
      <c r="D1" s="20" t="s">
        <v>880</v>
      </c>
      <c r="E1" s="20" t="s">
        <v>881</v>
      </c>
      <c r="F1" s="20" t="s">
        <v>784</v>
      </c>
      <c r="G1" s="20" t="s">
        <v>882</v>
      </c>
      <c r="H1" s="20" t="s">
        <v>2</v>
      </c>
      <c r="I1" s="20" t="s">
        <v>883</v>
      </c>
      <c r="J1" s="20" t="s">
        <v>884</v>
      </c>
      <c r="K1" s="20" t="s">
        <v>885</v>
      </c>
      <c r="L1" s="20" t="s">
        <v>886</v>
      </c>
      <c r="M1" s="20" t="s">
        <v>887</v>
      </c>
      <c r="N1" s="20" t="s">
        <v>888</v>
      </c>
      <c r="O1" s="20" t="s">
        <v>889</v>
      </c>
      <c r="P1" s="20" t="s">
        <v>890</v>
      </c>
      <c r="Q1" s="20" t="s">
        <v>891</v>
      </c>
      <c r="R1" s="20" t="s">
        <v>892</v>
      </c>
      <c r="S1" s="20" t="s">
        <v>893</v>
      </c>
      <c r="T1" s="20" t="s">
        <v>894</v>
      </c>
      <c r="U1" s="20" t="s">
        <v>895</v>
      </c>
      <c r="V1" s="104" t="s">
        <v>896</v>
      </c>
      <c r="W1" s="53" t="s">
        <v>790</v>
      </c>
      <c r="X1" s="20" t="s">
        <v>897</v>
      </c>
      <c r="Y1" s="20" t="s">
        <v>898</v>
      </c>
      <c r="Z1" s="20" t="s">
        <v>818</v>
      </c>
      <c r="AC1" t="s">
        <v>1186</v>
      </c>
    </row>
    <row r="2" spans="1:29" hidden="1">
      <c r="A2" s="17" t="s">
        <v>899</v>
      </c>
      <c r="B2" s="17">
        <v>45685</v>
      </c>
      <c r="D2" t="s">
        <v>900</v>
      </c>
      <c r="E2" t="s">
        <v>901</v>
      </c>
      <c r="F2" t="s">
        <v>53</v>
      </c>
      <c r="G2" t="s">
        <v>902</v>
      </c>
      <c r="H2" t="s">
        <v>56</v>
      </c>
      <c r="J2" t="s">
        <v>903</v>
      </c>
      <c r="K2" s="9" t="s">
        <v>904</v>
      </c>
      <c r="L2" s="9" t="s">
        <v>905</v>
      </c>
      <c r="M2" s="17" t="s">
        <v>45</v>
      </c>
      <c r="N2" t="s">
        <v>47</v>
      </c>
      <c r="O2" t="s">
        <v>906</v>
      </c>
      <c r="P2" s="17">
        <v>45685</v>
      </c>
      <c r="Q2" s="117">
        <v>12</v>
      </c>
      <c r="R2" s="117">
        <v>2024</v>
      </c>
      <c r="T2" t="s">
        <v>780</v>
      </c>
      <c r="U2" t="s">
        <v>783</v>
      </c>
      <c r="V2" s="105">
        <v>-990322</v>
      </c>
      <c r="W2" s="42" t="s">
        <v>907</v>
      </c>
      <c r="Y2">
        <v>1</v>
      </c>
      <c r="Z2">
        <v>2025</v>
      </c>
      <c r="AC2" s="117" t="s">
        <v>1187</v>
      </c>
    </row>
    <row r="3" spans="1:29" hidden="1">
      <c r="A3" s="17" t="s">
        <v>899</v>
      </c>
      <c r="B3" s="17">
        <v>45685</v>
      </c>
      <c r="C3" s="8"/>
      <c r="D3" t="s">
        <v>900</v>
      </c>
      <c r="E3" s="8" t="s">
        <v>901</v>
      </c>
      <c r="F3" t="s">
        <v>53</v>
      </c>
      <c r="G3" t="s">
        <v>908</v>
      </c>
      <c r="H3" t="s">
        <v>56</v>
      </c>
      <c r="J3" t="s">
        <v>903</v>
      </c>
      <c r="K3" s="9" t="s">
        <v>904</v>
      </c>
      <c r="L3" s="9" t="s">
        <v>905</v>
      </c>
      <c r="M3" s="17" t="s">
        <v>45</v>
      </c>
      <c r="N3" s="10" t="s">
        <v>47</v>
      </c>
      <c r="O3" t="s">
        <v>906</v>
      </c>
      <c r="P3" s="17">
        <v>45685</v>
      </c>
      <c r="Q3" s="117">
        <v>12</v>
      </c>
      <c r="R3" s="117">
        <v>2024</v>
      </c>
      <c r="T3" t="s">
        <v>780</v>
      </c>
      <c r="U3" t="s">
        <v>783</v>
      </c>
      <c r="V3" s="105">
        <v>-611198</v>
      </c>
      <c r="W3" s="42" t="s">
        <v>907</v>
      </c>
      <c r="Y3">
        <v>1</v>
      </c>
      <c r="Z3">
        <v>2025</v>
      </c>
      <c r="AC3" s="117" t="s">
        <v>1187</v>
      </c>
    </row>
    <row r="4" spans="1:29" hidden="1">
      <c r="A4" s="17" t="s">
        <v>899</v>
      </c>
      <c r="B4" s="17">
        <v>45685</v>
      </c>
      <c r="C4" s="8"/>
      <c r="D4" t="s">
        <v>900</v>
      </c>
      <c r="E4" t="s">
        <v>901</v>
      </c>
      <c r="F4" t="s">
        <v>53</v>
      </c>
      <c r="G4" t="s">
        <v>909</v>
      </c>
      <c r="H4" t="s">
        <v>56</v>
      </c>
      <c r="J4" t="s">
        <v>903</v>
      </c>
      <c r="K4" s="9" t="s">
        <v>904</v>
      </c>
      <c r="L4" s="9" t="s">
        <v>905</v>
      </c>
      <c r="M4" s="17" t="s">
        <v>45</v>
      </c>
      <c r="N4" s="10" t="s">
        <v>47</v>
      </c>
      <c r="O4" t="s">
        <v>906</v>
      </c>
      <c r="P4" s="17">
        <v>45685</v>
      </c>
      <c r="Q4" s="117">
        <v>12</v>
      </c>
      <c r="R4" s="117">
        <v>2024</v>
      </c>
      <c r="T4" t="s">
        <v>780</v>
      </c>
      <c r="U4" t="s">
        <v>783</v>
      </c>
      <c r="V4" s="105">
        <v>-424227</v>
      </c>
      <c r="W4" s="42" t="s">
        <v>907</v>
      </c>
      <c r="Y4">
        <v>1</v>
      </c>
      <c r="Z4">
        <v>2025</v>
      </c>
      <c r="AC4" s="117" t="s">
        <v>1187</v>
      </c>
    </row>
    <row r="5" spans="1:29" hidden="1">
      <c r="A5" s="17" t="s">
        <v>899</v>
      </c>
      <c r="B5" s="17">
        <v>45685</v>
      </c>
      <c r="C5" s="8"/>
      <c r="D5" t="s">
        <v>900</v>
      </c>
      <c r="E5" t="s">
        <v>901</v>
      </c>
      <c r="F5" t="s">
        <v>53</v>
      </c>
      <c r="G5" t="s">
        <v>910</v>
      </c>
      <c r="H5" t="s">
        <v>56</v>
      </c>
      <c r="J5" t="s">
        <v>903</v>
      </c>
      <c r="K5" s="9" t="s">
        <v>904</v>
      </c>
      <c r="L5" s="9" t="s">
        <v>905</v>
      </c>
      <c r="M5" s="17" t="s">
        <v>45</v>
      </c>
      <c r="N5" s="10" t="s">
        <v>47</v>
      </c>
      <c r="O5" t="s">
        <v>906</v>
      </c>
      <c r="P5" s="17">
        <v>45685</v>
      </c>
      <c r="Q5" s="117">
        <v>12</v>
      </c>
      <c r="R5" s="117">
        <v>2024</v>
      </c>
      <c r="T5" t="s">
        <v>780</v>
      </c>
      <c r="U5" t="s">
        <v>783</v>
      </c>
      <c r="V5" s="105">
        <v>-778208</v>
      </c>
      <c r="W5" s="42" t="s">
        <v>907</v>
      </c>
      <c r="Y5">
        <v>1</v>
      </c>
      <c r="Z5">
        <v>2025</v>
      </c>
      <c r="AC5" s="117" t="s">
        <v>1187</v>
      </c>
    </row>
    <row r="6" spans="1:29" hidden="1">
      <c r="A6" s="17" t="s">
        <v>899</v>
      </c>
      <c r="B6" s="17">
        <v>45685</v>
      </c>
      <c r="C6" s="8"/>
      <c r="D6" t="s">
        <v>900</v>
      </c>
      <c r="E6" t="s">
        <v>901</v>
      </c>
      <c r="F6" t="s">
        <v>53</v>
      </c>
      <c r="G6" t="s">
        <v>902</v>
      </c>
      <c r="H6" t="s">
        <v>56</v>
      </c>
      <c r="J6" t="s">
        <v>911</v>
      </c>
      <c r="K6" s="9" t="s">
        <v>912</v>
      </c>
      <c r="L6" s="9" t="s">
        <v>905</v>
      </c>
      <c r="M6" s="17" t="s">
        <v>45</v>
      </c>
      <c r="N6" s="10" t="s">
        <v>47</v>
      </c>
      <c r="O6" t="s">
        <v>913</v>
      </c>
      <c r="P6" s="17">
        <v>45685</v>
      </c>
      <c r="Q6" s="117">
        <v>12</v>
      </c>
      <c r="R6" s="117">
        <v>2024</v>
      </c>
      <c r="T6" t="s">
        <v>776</v>
      </c>
      <c r="U6" t="s">
        <v>783</v>
      </c>
      <c r="V6" s="105">
        <v>-183309</v>
      </c>
      <c r="W6" s="42" t="s">
        <v>907</v>
      </c>
      <c r="Y6">
        <v>1</v>
      </c>
      <c r="Z6">
        <v>2025</v>
      </c>
      <c r="AC6" s="117" t="s">
        <v>1188</v>
      </c>
    </row>
    <row r="7" spans="1:29" hidden="1">
      <c r="A7" s="17" t="s">
        <v>899</v>
      </c>
      <c r="B7" s="17">
        <v>45685</v>
      </c>
      <c r="C7" s="8"/>
      <c r="D7" t="s">
        <v>900</v>
      </c>
      <c r="E7" t="s">
        <v>901</v>
      </c>
      <c r="F7" t="s">
        <v>53</v>
      </c>
      <c r="G7" t="s">
        <v>914</v>
      </c>
      <c r="H7" t="s">
        <v>56</v>
      </c>
      <c r="J7" t="s">
        <v>911</v>
      </c>
      <c r="K7" s="9" t="s">
        <v>912</v>
      </c>
      <c r="L7" s="9" t="s">
        <v>905</v>
      </c>
      <c r="M7" s="17" t="s">
        <v>45</v>
      </c>
      <c r="N7" s="10" t="s">
        <v>47</v>
      </c>
      <c r="O7" t="s">
        <v>913</v>
      </c>
      <c r="P7" s="17">
        <v>45685</v>
      </c>
      <c r="Q7" s="117">
        <v>12</v>
      </c>
      <c r="R7" s="117">
        <v>2024</v>
      </c>
      <c r="T7" t="s">
        <v>776</v>
      </c>
      <c r="U7" t="s">
        <v>783</v>
      </c>
      <c r="V7" s="105">
        <v>-492317</v>
      </c>
      <c r="W7" s="42" t="s">
        <v>907</v>
      </c>
      <c r="Y7">
        <v>1</v>
      </c>
      <c r="Z7">
        <v>2025</v>
      </c>
      <c r="AC7" s="117" t="s">
        <v>1188</v>
      </c>
    </row>
    <row r="8" spans="1:29" hidden="1">
      <c r="A8" s="17" t="s">
        <v>899</v>
      </c>
      <c r="B8" s="17">
        <v>45685</v>
      </c>
      <c r="C8" s="8"/>
      <c r="D8" t="s">
        <v>900</v>
      </c>
      <c r="E8" t="s">
        <v>901</v>
      </c>
      <c r="F8" t="s">
        <v>53</v>
      </c>
      <c r="G8" t="s">
        <v>902</v>
      </c>
      <c r="H8" t="s">
        <v>56</v>
      </c>
      <c r="J8" t="s">
        <v>911</v>
      </c>
      <c r="K8" s="9" t="s">
        <v>912</v>
      </c>
      <c r="L8" s="9" t="s">
        <v>905</v>
      </c>
      <c r="M8" s="17" t="s">
        <v>45</v>
      </c>
      <c r="N8" s="10" t="s">
        <v>47</v>
      </c>
      <c r="O8" t="s">
        <v>913</v>
      </c>
      <c r="P8" s="17">
        <v>45685</v>
      </c>
      <c r="Q8" s="117">
        <v>12</v>
      </c>
      <c r="R8" s="117">
        <v>2024</v>
      </c>
      <c r="T8" t="s">
        <v>776</v>
      </c>
      <c r="U8" t="s">
        <v>783</v>
      </c>
      <c r="V8" s="105">
        <v>-647043</v>
      </c>
      <c r="W8" s="42" t="s">
        <v>907</v>
      </c>
      <c r="Y8">
        <v>1</v>
      </c>
      <c r="Z8">
        <v>2025</v>
      </c>
      <c r="AC8" s="117" t="s">
        <v>1188</v>
      </c>
    </row>
    <row r="9" spans="1:29" hidden="1">
      <c r="A9" s="17" t="s">
        <v>899</v>
      </c>
      <c r="B9" s="17">
        <v>45685</v>
      </c>
      <c r="C9" s="8"/>
      <c r="D9" t="s">
        <v>900</v>
      </c>
      <c r="E9" t="s">
        <v>901</v>
      </c>
      <c r="F9" t="s">
        <v>53</v>
      </c>
      <c r="G9" t="s">
        <v>914</v>
      </c>
      <c r="H9" t="s">
        <v>56</v>
      </c>
      <c r="J9" t="s">
        <v>911</v>
      </c>
      <c r="K9" s="9" t="s">
        <v>912</v>
      </c>
      <c r="L9" s="9" t="s">
        <v>905</v>
      </c>
      <c r="M9" s="17" t="s">
        <v>45</v>
      </c>
      <c r="N9" s="10" t="s">
        <v>47</v>
      </c>
      <c r="O9" t="s">
        <v>913</v>
      </c>
      <c r="P9" s="17">
        <v>45685</v>
      </c>
      <c r="Q9" s="117">
        <v>12</v>
      </c>
      <c r="R9" s="117">
        <v>2024</v>
      </c>
      <c r="T9" t="s">
        <v>776</v>
      </c>
      <c r="U9" t="s">
        <v>783</v>
      </c>
      <c r="V9" s="105">
        <v>-3754392</v>
      </c>
      <c r="W9" s="42" t="s">
        <v>907</v>
      </c>
      <c r="Y9">
        <v>1</v>
      </c>
      <c r="Z9">
        <v>2025</v>
      </c>
      <c r="AC9" s="117" t="s">
        <v>1188</v>
      </c>
    </row>
    <row r="10" spans="1:29" hidden="1">
      <c r="A10" s="17" t="s">
        <v>899</v>
      </c>
      <c r="B10" s="17">
        <v>45685</v>
      </c>
      <c r="C10" s="8"/>
      <c r="D10" t="s">
        <v>900</v>
      </c>
      <c r="E10" t="s">
        <v>901</v>
      </c>
      <c r="F10" t="s">
        <v>53</v>
      </c>
      <c r="G10" t="s">
        <v>915</v>
      </c>
      <c r="H10" t="s">
        <v>56</v>
      </c>
      <c r="J10" t="s">
        <v>911</v>
      </c>
      <c r="K10" s="9" t="s">
        <v>912</v>
      </c>
      <c r="L10" s="9" t="s">
        <v>905</v>
      </c>
      <c r="M10" s="17" t="s">
        <v>45</v>
      </c>
      <c r="N10" s="10" t="s">
        <v>47</v>
      </c>
      <c r="O10" t="s">
        <v>913</v>
      </c>
      <c r="P10" s="17">
        <v>45685</v>
      </c>
      <c r="Q10" s="117">
        <v>12</v>
      </c>
      <c r="R10" s="117">
        <v>2024</v>
      </c>
      <c r="T10" t="s">
        <v>776</v>
      </c>
      <c r="U10" t="s">
        <v>783</v>
      </c>
      <c r="V10" s="105">
        <v>-1009166</v>
      </c>
      <c r="W10" s="42" t="s">
        <v>907</v>
      </c>
      <c r="Y10">
        <v>1</v>
      </c>
      <c r="Z10">
        <v>2025</v>
      </c>
      <c r="AC10" s="117" t="s">
        <v>1188</v>
      </c>
    </row>
    <row r="11" spans="1:29" hidden="1">
      <c r="A11" s="17" t="s">
        <v>899</v>
      </c>
      <c r="B11" s="17">
        <v>45685</v>
      </c>
      <c r="C11" s="8"/>
      <c r="D11" t="s">
        <v>900</v>
      </c>
      <c r="E11" t="s">
        <v>901</v>
      </c>
      <c r="F11" t="s">
        <v>53</v>
      </c>
      <c r="G11" t="s">
        <v>916</v>
      </c>
      <c r="H11" t="s">
        <v>56</v>
      </c>
      <c r="J11" t="s">
        <v>911</v>
      </c>
      <c r="K11" s="9" t="s">
        <v>912</v>
      </c>
      <c r="L11" s="9" t="s">
        <v>905</v>
      </c>
      <c r="M11" s="17" t="s">
        <v>45</v>
      </c>
      <c r="N11" s="10" t="s">
        <v>47</v>
      </c>
      <c r="O11" t="s">
        <v>913</v>
      </c>
      <c r="P11" s="17">
        <v>45685</v>
      </c>
      <c r="Q11" s="117">
        <v>12</v>
      </c>
      <c r="R11" s="117">
        <v>2024</v>
      </c>
      <c r="T11" t="s">
        <v>776</v>
      </c>
      <c r="U11" t="s">
        <v>783</v>
      </c>
      <c r="V11" s="105">
        <v>-3728449</v>
      </c>
      <c r="W11" s="42" t="s">
        <v>907</v>
      </c>
      <c r="Y11">
        <v>1</v>
      </c>
      <c r="Z11">
        <v>2025</v>
      </c>
      <c r="AC11" s="117" t="s">
        <v>1188</v>
      </c>
    </row>
    <row r="12" spans="1:29" hidden="1">
      <c r="A12" s="17" t="s">
        <v>899</v>
      </c>
      <c r="B12" s="17">
        <v>45685</v>
      </c>
      <c r="C12" s="8"/>
      <c r="D12" t="s">
        <v>900</v>
      </c>
      <c r="E12" t="s">
        <v>901</v>
      </c>
      <c r="F12" t="s">
        <v>53</v>
      </c>
      <c r="G12" t="s">
        <v>917</v>
      </c>
      <c r="H12" t="s">
        <v>56</v>
      </c>
      <c r="J12" t="s">
        <v>911</v>
      </c>
      <c r="K12" s="9" t="s">
        <v>912</v>
      </c>
      <c r="L12" s="9" t="s">
        <v>905</v>
      </c>
      <c r="M12" s="17" t="s">
        <v>45</v>
      </c>
      <c r="N12" s="10" t="s">
        <v>47</v>
      </c>
      <c r="O12" t="s">
        <v>913</v>
      </c>
      <c r="P12" s="17">
        <v>45685</v>
      </c>
      <c r="Q12" s="117">
        <v>12</v>
      </c>
      <c r="R12" s="117">
        <v>2024</v>
      </c>
      <c r="T12" t="s">
        <v>776</v>
      </c>
      <c r="U12" t="s">
        <v>783</v>
      </c>
      <c r="V12" s="105">
        <v>-93107</v>
      </c>
      <c r="W12" s="42" t="s">
        <v>907</v>
      </c>
      <c r="Y12">
        <v>1</v>
      </c>
      <c r="Z12">
        <v>2025</v>
      </c>
      <c r="AC12" s="117" t="s">
        <v>1188</v>
      </c>
    </row>
    <row r="13" spans="1:29" hidden="1">
      <c r="A13" s="17" t="s">
        <v>899</v>
      </c>
      <c r="B13" s="17">
        <v>45685</v>
      </c>
      <c r="C13" s="8"/>
      <c r="D13" t="s">
        <v>900</v>
      </c>
      <c r="E13" t="s">
        <v>901</v>
      </c>
      <c r="F13" t="s">
        <v>53</v>
      </c>
      <c r="G13" t="s">
        <v>918</v>
      </c>
      <c r="H13" t="s">
        <v>56</v>
      </c>
      <c r="J13" t="s">
        <v>911</v>
      </c>
      <c r="K13" s="9" t="s">
        <v>912</v>
      </c>
      <c r="L13" s="9" t="s">
        <v>905</v>
      </c>
      <c r="M13" s="17" t="s">
        <v>45</v>
      </c>
      <c r="N13" s="10" t="s">
        <v>47</v>
      </c>
      <c r="O13" t="s">
        <v>913</v>
      </c>
      <c r="P13" s="17">
        <v>45685</v>
      </c>
      <c r="Q13" s="117">
        <v>12</v>
      </c>
      <c r="R13" s="117">
        <v>2024</v>
      </c>
      <c r="T13" t="s">
        <v>776</v>
      </c>
      <c r="U13" t="s">
        <v>783</v>
      </c>
      <c r="V13" s="105">
        <v>-333173</v>
      </c>
      <c r="W13" s="42" t="s">
        <v>907</v>
      </c>
      <c r="Y13">
        <v>1</v>
      </c>
      <c r="Z13">
        <v>2025</v>
      </c>
      <c r="AC13" s="117" t="s">
        <v>1188</v>
      </c>
    </row>
    <row r="14" spans="1:29" hidden="1">
      <c r="A14" s="17" t="s">
        <v>919</v>
      </c>
      <c r="B14" s="17">
        <v>45701</v>
      </c>
      <c r="C14" s="8"/>
      <c r="D14" t="s">
        <v>920</v>
      </c>
      <c r="E14" t="s">
        <v>921</v>
      </c>
      <c r="F14" t="s">
        <v>53</v>
      </c>
      <c r="G14" t="s">
        <v>922</v>
      </c>
      <c r="H14" t="s">
        <v>56</v>
      </c>
      <c r="J14" t="s">
        <v>923</v>
      </c>
      <c r="K14" s="9" t="s">
        <v>924</v>
      </c>
      <c r="L14" s="9" t="s">
        <v>925</v>
      </c>
      <c r="M14" s="17" t="s">
        <v>926</v>
      </c>
      <c r="N14" s="10" t="s">
        <v>47</v>
      </c>
      <c r="O14" t="s">
        <v>58</v>
      </c>
      <c r="P14" s="17">
        <v>45701</v>
      </c>
      <c r="Q14" s="18">
        <v>2</v>
      </c>
      <c r="R14">
        <v>2025</v>
      </c>
      <c r="T14" t="s">
        <v>783</v>
      </c>
      <c r="U14" t="s">
        <v>783</v>
      </c>
      <c r="V14" s="105">
        <v>-424987</v>
      </c>
      <c r="W14" s="42" t="s">
        <v>927</v>
      </c>
      <c r="Y14">
        <v>2</v>
      </c>
      <c r="Z14">
        <v>2025</v>
      </c>
    </row>
    <row r="15" spans="1:29">
      <c r="A15" s="17" t="s">
        <v>928</v>
      </c>
      <c r="B15" s="17">
        <v>45709</v>
      </c>
      <c r="C15" s="8"/>
      <c r="D15" t="s">
        <v>929</v>
      </c>
      <c r="E15" t="s">
        <v>901</v>
      </c>
      <c r="F15" t="s">
        <v>53</v>
      </c>
      <c r="G15" t="s">
        <v>902</v>
      </c>
      <c r="H15" t="s">
        <v>56</v>
      </c>
      <c r="J15" t="s">
        <v>903</v>
      </c>
      <c r="K15" s="9" t="s">
        <v>904</v>
      </c>
      <c r="L15" s="9" t="s">
        <v>905</v>
      </c>
      <c r="M15" s="17" t="s">
        <v>45</v>
      </c>
      <c r="N15" s="10" t="s">
        <v>47</v>
      </c>
      <c r="O15" t="s">
        <v>930</v>
      </c>
      <c r="P15" s="17">
        <v>45709</v>
      </c>
      <c r="Q15" s="18">
        <v>2</v>
      </c>
      <c r="R15">
        <v>2025</v>
      </c>
      <c r="T15" t="s">
        <v>780</v>
      </c>
      <c r="U15" t="s">
        <v>783</v>
      </c>
      <c r="V15" s="105">
        <v>-931874</v>
      </c>
      <c r="W15" s="42" t="s">
        <v>931</v>
      </c>
      <c r="Y15">
        <v>2</v>
      </c>
      <c r="Z15">
        <v>2025</v>
      </c>
    </row>
    <row r="16" spans="1:29">
      <c r="A16" s="17" t="s">
        <v>928</v>
      </c>
      <c r="B16" s="17">
        <v>45709</v>
      </c>
      <c r="C16" s="8"/>
      <c r="D16" t="s">
        <v>929</v>
      </c>
      <c r="E16" t="s">
        <v>901</v>
      </c>
      <c r="F16" t="s">
        <v>53</v>
      </c>
      <c r="G16" t="s">
        <v>908</v>
      </c>
      <c r="H16" t="s">
        <v>56</v>
      </c>
      <c r="J16" t="s">
        <v>903</v>
      </c>
      <c r="K16" s="9" t="s">
        <v>904</v>
      </c>
      <c r="L16" s="9" t="s">
        <v>905</v>
      </c>
      <c r="M16" s="17" t="s">
        <v>45</v>
      </c>
      <c r="N16" s="10" t="s">
        <v>47</v>
      </c>
      <c r="O16" t="s">
        <v>930</v>
      </c>
      <c r="P16" s="17">
        <v>45709</v>
      </c>
      <c r="Q16" s="18">
        <v>2</v>
      </c>
      <c r="R16">
        <v>2025</v>
      </c>
      <c r="T16" t="s">
        <v>780</v>
      </c>
      <c r="U16" t="s">
        <v>783</v>
      </c>
      <c r="V16" s="105">
        <v>-575125</v>
      </c>
      <c r="W16" s="42" t="s">
        <v>931</v>
      </c>
      <c r="Y16">
        <v>2</v>
      </c>
      <c r="Z16">
        <v>2025</v>
      </c>
    </row>
    <row r="17" spans="1:26">
      <c r="A17" s="17" t="s">
        <v>928</v>
      </c>
      <c r="B17" s="17">
        <v>45709</v>
      </c>
      <c r="C17" s="8"/>
      <c r="D17" t="s">
        <v>929</v>
      </c>
      <c r="E17" t="s">
        <v>901</v>
      </c>
      <c r="F17" t="s">
        <v>53</v>
      </c>
      <c r="G17" t="s">
        <v>909</v>
      </c>
      <c r="H17" t="s">
        <v>56</v>
      </c>
      <c r="J17" t="s">
        <v>903</v>
      </c>
      <c r="K17" s="9" t="s">
        <v>904</v>
      </c>
      <c r="L17" s="9" t="s">
        <v>905</v>
      </c>
      <c r="M17" s="17" t="s">
        <v>45</v>
      </c>
      <c r="N17" s="10" t="s">
        <v>47</v>
      </c>
      <c r="O17" t="s">
        <v>930</v>
      </c>
      <c r="P17" s="17">
        <v>45709</v>
      </c>
      <c r="Q17" s="18">
        <v>2</v>
      </c>
      <c r="R17">
        <v>2025</v>
      </c>
      <c r="T17" t="s">
        <v>780</v>
      </c>
      <c r="U17" t="s">
        <v>783</v>
      </c>
      <c r="V17" s="105">
        <v>-399189</v>
      </c>
      <c r="W17" s="42" t="s">
        <v>931</v>
      </c>
      <c r="Y17">
        <v>2</v>
      </c>
      <c r="Z17">
        <v>2025</v>
      </c>
    </row>
    <row r="18" spans="1:26">
      <c r="A18" s="17" t="s">
        <v>928</v>
      </c>
      <c r="B18" s="17">
        <v>45709</v>
      </c>
      <c r="C18" s="8"/>
      <c r="D18" t="s">
        <v>929</v>
      </c>
      <c r="E18" t="s">
        <v>901</v>
      </c>
      <c r="F18" t="s">
        <v>53</v>
      </c>
      <c r="G18" t="s">
        <v>910</v>
      </c>
      <c r="H18" t="s">
        <v>56</v>
      </c>
      <c r="J18" t="s">
        <v>903</v>
      </c>
      <c r="K18" s="9" t="s">
        <v>904</v>
      </c>
      <c r="L18" s="9" t="s">
        <v>905</v>
      </c>
      <c r="M18" s="17" t="s">
        <v>45</v>
      </c>
      <c r="N18" s="10" t="s">
        <v>47</v>
      </c>
      <c r="O18" t="s">
        <v>930</v>
      </c>
      <c r="P18" s="17">
        <v>45709</v>
      </c>
      <c r="Q18" s="18">
        <v>2</v>
      </c>
      <c r="R18">
        <v>2025</v>
      </c>
      <c r="T18" t="s">
        <v>780</v>
      </c>
      <c r="U18" t="s">
        <v>783</v>
      </c>
      <c r="V18" s="105">
        <v>-732278</v>
      </c>
      <c r="W18" s="42" t="s">
        <v>931</v>
      </c>
      <c r="Y18">
        <v>2</v>
      </c>
      <c r="Z18">
        <v>2025</v>
      </c>
    </row>
    <row r="19" spans="1:26">
      <c r="A19" s="17" t="s">
        <v>928</v>
      </c>
      <c r="B19" s="17">
        <v>45709</v>
      </c>
      <c r="C19" s="8"/>
      <c r="D19" t="s">
        <v>929</v>
      </c>
      <c r="E19" t="s">
        <v>901</v>
      </c>
      <c r="F19" t="s">
        <v>53</v>
      </c>
      <c r="G19" t="s">
        <v>902</v>
      </c>
      <c r="H19" t="s">
        <v>56</v>
      </c>
      <c r="J19" t="s">
        <v>911</v>
      </c>
      <c r="K19" s="9" t="s">
        <v>912</v>
      </c>
      <c r="L19" s="9" t="s">
        <v>905</v>
      </c>
      <c r="M19" s="17" t="s">
        <v>45</v>
      </c>
      <c r="N19" s="10" t="s">
        <v>47</v>
      </c>
      <c r="O19" t="s">
        <v>932</v>
      </c>
      <c r="P19" s="17">
        <v>45709</v>
      </c>
      <c r="Q19" s="18">
        <v>2</v>
      </c>
      <c r="R19">
        <v>2025</v>
      </c>
      <c r="T19" t="s">
        <v>776</v>
      </c>
      <c r="U19" t="s">
        <v>783</v>
      </c>
      <c r="V19" s="105">
        <v>-172490</v>
      </c>
      <c r="W19" s="42" t="s">
        <v>931</v>
      </c>
      <c r="Y19">
        <v>2</v>
      </c>
      <c r="Z19">
        <v>2025</v>
      </c>
    </row>
    <row r="20" spans="1:26">
      <c r="A20" s="17" t="s">
        <v>928</v>
      </c>
      <c r="B20" s="17">
        <v>45709</v>
      </c>
      <c r="C20" s="8"/>
      <c r="D20" t="s">
        <v>929</v>
      </c>
      <c r="E20" t="s">
        <v>901</v>
      </c>
      <c r="F20" t="s">
        <v>53</v>
      </c>
      <c r="G20" t="s">
        <v>914</v>
      </c>
      <c r="H20" t="s">
        <v>56</v>
      </c>
      <c r="J20" t="s">
        <v>911</v>
      </c>
      <c r="K20" s="9" t="s">
        <v>912</v>
      </c>
      <c r="L20" s="9" t="s">
        <v>905</v>
      </c>
      <c r="M20" s="17" t="s">
        <v>45</v>
      </c>
      <c r="N20" s="10" t="s">
        <v>47</v>
      </c>
      <c r="O20" t="s">
        <v>932</v>
      </c>
      <c r="P20" s="17">
        <v>45709</v>
      </c>
      <c r="Q20" s="18">
        <v>2</v>
      </c>
      <c r="R20">
        <v>2025</v>
      </c>
      <c r="T20" t="s">
        <v>776</v>
      </c>
      <c r="U20" t="s">
        <v>783</v>
      </c>
      <c r="V20" s="105">
        <v>-463260</v>
      </c>
      <c r="W20" s="42" t="s">
        <v>931</v>
      </c>
      <c r="Y20">
        <v>2</v>
      </c>
      <c r="Z20">
        <v>2025</v>
      </c>
    </row>
    <row r="21" spans="1:26">
      <c r="A21" s="17" t="s">
        <v>928</v>
      </c>
      <c r="B21" s="17">
        <v>45709</v>
      </c>
      <c r="C21" s="8"/>
      <c r="D21" t="s">
        <v>929</v>
      </c>
      <c r="E21" t="s">
        <v>901</v>
      </c>
      <c r="F21" t="s">
        <v>53</v>
      </c>
      <c r="G21" t="s">
        <v>902</v>
      </c>
      <c r="H21" t="s">
        <v>56</v>
      </c>
      <c r="J21" t="s">
        <v>911</v>
      </c>
      <c r="K21" s="9" t="s">
        <v>912</v>
      </c>
      <c r="L21" s="9" t="s">
        <v>905</v>
      </c>
      <c r="M21" s="17" t="s">
        <v>45</v>
      </c>
      <c r="N21" s="10" t="s">
        <v>47</v>
      </c>
      <c r="O21" t="s">
        <v>932</v>
      </c>
      <c r="P21" s="17">
        <v>45709</v>
      </c>
      <c r="Q21" s="18">
        <v>2</v>
      </c>
      <c r="R21">
        <v>2025</v>
      </c>
      <c r="T21" t="s">
        <v>776</v>
      </c>
      <c r="U21" t="s">
        <v>783</v>
      </c>
      <c r="V21" s="105">
        <v>-608854</v>
      </c>
      <c r="W21" s="42" t="s">
        <v>931</v>
      </c>
      <c r="Y21">
        <v>2</v>
      </c>
      <c r="Z21">
        <v>2025</v>
      </c>
    </row>
    <row r="22" spans="1:26">
      <c r="A22" s="17" t="s">
        <v>928</v>
      </c>
      <c r="B22" s="17">
        <v>45709</v>
      </c>
      <c r="C22" s="8"/>
      <c r="D22" t="s">
        <v>929</v>
      </c>
      <c r="E22" t="s">
        <v>901</v>
      </c>
      <c r="F22" t="s">
        <v>53</v>
      </c>
      <c r="G22" t="s">
        <v>914</v>
      </c>
      <c r="H22" t="s">
        <v>56</v>
      </c>
      <c r="J22" t="s">
        <v>911</v>
      </c>
      <c r="K22" s="9" t="s">
        <v>912</v>
      </c>
      <c r="L22" s="9" t="s">
        <v>905</v>
      </c>
      <c r="M22" s="17" t="s">
        <v>45</v>
      </c>
      <c r="N22" s="10" t="s">
        <v>47</v>
      </c>
      <c r="O22" t="s">
        <v>932</v>
      </c>
      <c r="P22" s="17">
        <v>45709</v>
      </c>
      <c r="Q22" s="18">
        <v>2</v>
      </c>
      <c r="R22">
        <v>2025</v>
      </c>
      <c r="T22" t="s">
        <v>776</v>
      </c>
      <c r="U22" t="s">
        <v>783</v>
      </c>
      <c r="V22" s="105">
        <v>-3532806</v>
      </c>
      <c r="W22" s="42" t="s">
        <v>931</v>
      </c>
      <c r="Y22">
        <v>2</v>
      </c>
      <c r="Z22">
        <v>2025</v>
      </c>
    </row>
    <row r="23" spans="1:26">
      <c r="A23" s="17" t="s">
        <v>928</v>
      </c>
      <c r="B23" s="17">
        <v>45709</v>
      </c>
      <c r="C23" s="8"/>
      <c r="D23" t="s">
        <v>929</v>
      </c>
      <c r="E23" t="s">
        <v>901</v>
      </c>
      <c r="F23" t="s">
        <v>53</v>
      </c>
      <c r="G23" t="s">
        <v>915</v>
      </c>
      <c r="H23" t="s">
        <v>56</v>
      </c>
      <c r="J23" t="s">
        <v>911</v>
      </c>
      <c r="K23" s="9" t="s">
        <v>912</v>
      </c>
      <c r="L23" s="9" t="s">
        <v>905</v>
      </c>
      <c r="M23" s="17" t="s">
        <v>45</v>
      </c>
      <c r="N23" s="10" t="s">
        <v>47</v>
      </c>
      <c r="O23" t="s">
        <v>932</v>
      </c>
      <c r="P23" s="17">
        <v>45709</v>
      </c>
      <c r="Q23" s="18">
        <v>2</v>
      </c>
      <c r="R23">
        <v>2025</v>
      </c>
      <c r="T23" t="s">
        <v>776</v>
      </c>
      <c r="U23" t="s">
        <v>783</v>
      </c>
      <c r="V23" s="105">
        <v>-949604</v>
      </c>
      <c r="W23" s="42" t="s">
        <v>931</v>
      </c>
      <c r="Y23">
        <v>2</v>
      </c>
      <c r="Z23">
        <v>2025</v>
      </c>
    </row>
    <row r="24" spans="1:26">
      <c r="A24" s="17" t="s">
        <v>928</v>
      </c>
      <c r="B24" s="17">
        <v>45709</v>
      </c>
      <c r="C24" s="8"/>
      <c r="D24" t="s">
        <v>929</v>
      </c>
      <c r="E24" t="s">
        <v>901</v>
      </c>
      <c r="F24" t="s">
        <v>53</v>
      </c>
      <c r="G24" t="s">
        <v>916</v>
      </c>
      <c r="H24" t="s">
        <v>56</v>
      </c>
      <c r="J24" t="s">
        <v>911</v>
      </c>
      <c r="K24" s="9" t="s">
        <v>912</v>
      </c>
      <c r="L24" s="9" t="s">
        <v>905</v>
      </c>
      <c r="M24" s="17" t="s">
        <v>45</v>
      </c>
      <c r="N24" s="10" t="s">
        <v>47</v>
      </c>
      <c r="O24" t="s">
        <v>932</v>
      </c>
      <c r="P24" s="17">
        <v>45709</v>
      </c>
      <c r="Q24" s="18">
        <v>2</v>
      </c>
      <c r="R24">
        <v>2025</v>
      </c>
      <c r="T24" t="s">
        <v>776</v>
      </c>
      <c r="U24" t="s">
        <v>783</v>
      </c>
      <c r="V24" s="105">
        <v>-3508395</v>
      </c>
      <c r="W24" s="42" t="s">
        <v>931</v>
      </c>
      <c r="Y24">
        <v>2</v>
      </c>
      <c r="Z24">
        <v>2025</v>
      </c>
    </row>
    <row r="25" spans="1:26">
      <c r="A25" s="17" t="s">
        <v>928</v>
      </c>
      <c r="B25" s="17">
        <v>45709</v>
      </c>
      <c r="C25" s="8"/>
      <c r="D25" t="s">
        <v>929</v>
      </c>
      <c r="E25" t="s">
        <v>901</v>
      </c>
      <c r="F25" t="s">
        <v>53</v>
      </c>
      <c r="G25" t="s">
        <v>917</v>
      </c>
      <c r="H25" t="s">
        <v>56</v>
      </c>
      <c r="J25" t="s">
        <v>911</v>
      </c>
      <c r="K25" s="9" t="s">
        <v>912</v>
      </c>
      <c r="L25" s="9" t="s">
        <v>905</v>
      </c>
      <c r="M25" s="17" t="s">
        <v>45</v>
      </c>
      <c r="N25" s="10" t="s">
        <v>47</v>
      </c>
      <c r="O25" t="s">
        <v>932</v>
      </c>
      <c r="P25" s="17">
        <v>45709</v>
      </c>
      <c r="Q25" s="18">
        <v>2</v>
      </c>
      <c r="R25">
        <v>2025</v>
      </c>
      <c r="T25" t="s">
        <v>776</v>
      </c>
      <c r="U25" t="s">
        <v>783</v>
      </c>
      <c r="V25" s="105">
        <v>-87612</v>
      </c>
      <c r="W25" s="42" t="s">
        <v>931</v>
      </c>
      <c r="Y25">
        <v>2</v>
      </c>
      <c r="Z25">
        <v>2025</v>
      </c>
    </row>
    <row r="26" spans="1:26">
      <c r="A26" s="17" t="s">
        <v>928</v>
      </c>
      <c r="B26" s="17">
        <v>45709</v>
      </c>
      <c r="C26" s="8"/>
      <c r="D26" t="s">
        <v>929</v>
      </c>
      <c r="E26" t="s">
        <v>901</v>
      </c>
      <c r="F26" t="s">
        <v>53</v>
      </c>
      <c r="G26" t="s">
        <v>918</v>
      </c>
      <c r="H26" t="s">
        <v>56</v>
      </c>
      <c r="J26" t="s">
        <v>911</v>
      </c>
      <c r="K26" s="9" t="s">
        <v>912</v>
      </c>
      <c r="L26" s="9" t="s">
        <v>905</v>
      </c>
      <c r="M26" s="17" t="s">
        <v>45</v>
      </c>
      <c r="N26" s="10" t="s">
        <v>47</v>
      </c>
      <c r="O26" t="s">
        <v>932</v>
      </c>
      <c r="P26" s="17">
        <v>45709</v>
      </c>
      <c r="Q26" s="18">
        <v>2</v>
      </c>
      <c r="R26">
        <v>2025</v>
      </c>
      <c r="T26" t="s">
        <v>776</v>
      </c>
      <c r="U26" t="s">
        <v>783</v>
      </c>
      <c r="V26" s="105">
        <v>-313509</v>
      </c>
      <c r="W26" s="42" t="s">
        <v>931</v>
      </c>
      <c r="Y26">
        <v>2</v>
      </c>
      <c r="Z26">
        <v>2025</v>
      </c>
    </row>
    <row r="27" spans="1:26" hidden="1">
      <c r="A27" s="17" t="s">
        <v>933</v>
      </c>
      <c r="B27" s="17">
        <v>45729</v>
      </c>
      <c r="C27" s="8"/>
      <c r="D27" t="s">
        <v>934</v>
      </c>
      <c r="E27" t="s">
        <v>935</v>
      </c>
      <c r="F27" t="s">
        <v>53</v>
      </c>
      <c r="G27" t="s">
        <v>936</v>
      </c>
      <c r="H27" t="s">
        <v>56</v>
      </c>
      <c r="J27" t="s">
        <v>937</v>
      </c>
      <c r="K27" s="9" t="s">
        <v>938</v>
      </c>
      <c r="L27" s="9" t="s">
        <v>925</v>
      </c>
      <c r="M27" s="17" t="s">
        <v>926</v>
      </c>
      <c r="N27" s="10" t="s">
        <v>47</v>
      </c>
      <c r="O27" t="s">
        <v>58</v>
      </c>
      <c r="P27" s="17">
        <v>45729</v>
      </c>
      <c r="Q27" s="18">
        <v>3</v>
      </c>
      <c r="R27">
        <v>2025</v>
      </c>
      <c r="T27" t="s">
        <v>783</v>
      </c>
      <c r="U27" t="s">
        <v>783</v>
      </c>
      <c r="V27" s="105">
        <v>611</v>
      </c>
      <c r="W27" s="42" t="s">
        <v>939</v>
      </c>
      <c r="Y27">
        <v>3</v>
      </c>
      <c r="Z27">
        <v>2025</v>
      </c>
    </row>
    <row r="28" spans="1:26" hidden="1">
      <c r="A28" s="17" t="s">
        <v>933</v>
      </c>
      <c r="B28" s="17">
        <v>45729</v>
      </c>
      <c r="C28" s="8"/>
      <c r="D28" t="s">
        <v>934</v>
      </c>
      <c r="E28" t="s">
        <v>935</v>
      </c>
      <c r="F28" t="s">
        <v>53</v>
      </c>
      <c r="G28" t="s">
        <v>940</v>
      </c>
      <c r="H28" t="s">
        <v>56</v>
      </c>
      <c r="J28" t="s">
        <v>937</v>
      </c>
      <c r="K28" s="9" t="s">
        <v>938</v>
      </c>
      <c r="L28" s="9" t="s">
        <v>925</v>
      </c>
      <c r="M28" s="17" t="s">
        <v>926</v>
      </c>
      <c r="N28" s="10" t="s">
        <v>47</v>
      </c>
      <c r="O28" t="s">
        <v>58</v>
      </c>
      <c r="P28" s="17">
        <v>45729</v>
      </c>
      <c r="Q28" s="18">
        <v>3</v>
      </c>
      <c r="R28">
        <v>2025</v>
      </c>
      <c r="T28" t="s">
        <v>783</v>
      </c>
      <c r="U28" t="s">
        <v>783</v>
      </c>
      <c r="V28" s="105">
        <v>4315</v>
      </c>
      <c r="W28" s="42" t="s">
        <v>939</v>
      </c>
      <c r="Y28">
        <v>3</v>
      </c>
      <c r="Z28">
        <v>2025</v>
      </c>
    </row>
    <row r="29" spans="1:26" hidden="1">
      <c r="A29" s="17" t="s">
        <v>933</v>
      </c>
      <c r="B29" s="17">
        <v>45729</v>
      </c>
      <c r="C29" s="8"/>
      <c r="D29" t="s">
        <v>934</v>
      </c>
      <c r="E29" t="s">
        <v>935</v>
      </c>
      <c r="F29" t="s">
        <v>53</v>
      </c>
      <c r="G29" t="s">
        <v>941</v>
      </c>
      <c r="H29" t="s">
        <v>56</v>
      </c>
      <c r="J29" t="s">
        <v>937</v>
      </c>
      <c r="K29" s="9" t="s">
        <v>938</v>
      </c>
      <c r="L29" s="9" t="s">
        <v>925</v>
      </c>
      <c r="M29" s="17" t="s">
        <v>926</v>
      </c>
      <c r="N29" s="10" t="s">
        <v>47</v>
      </c>
      <c r="O29" t="s">
        <v>58</v>
      </c>
      <c r="P29" s="17">
        <v>45729</v>
      </c>
      <c r="Q29" s="18">
        <v>3</v>
      </c>
      <c r="R29">
        <v>2025</v>
      </c>
      <c r="T29" t="s">
        <v>783</v>
      </c>
      <c r="U29" t="s">
        <v>783</v>
      </c>
      <c r="V29" s="105">
        <v>7855</v>
      </c>
      <c r="W29" s="42" t="s">
        <v>939</v>
      </c>
      <c r="Y29">
        <v>3</v>
      </c>
      <c r="Z29">
        <v>2025</v>
      </c>
    </row>
    <row r="30" spans="1:26" hidden="1">
      <c r="A30" s="17" t="s">
        <v>933</v>
      </c>
      <c r="B30" s="17">
        <v>45729</v>
      </c>
      <c r="C30" s="8"/>
      <c r="D30" t="s">
        <v>934</v>
      </c>
      <c r="E30" t="s">
        <v>935</v>
      </c>
      <c r="F30" t="s">
        <v>53</v>
      </c>
      <c r="G30" t="s">
        <v>942</v>
      </c>
      <c r="H30" t="s">
        <v>56</v>
      </c>
      <c r="J30" t="s">
        <v>937</v>
      </c>
      <c r="K30" s="9" t="s">
        <v>938</v>
      </c>
      <c r="L30" s="9" t="s">
        <v>925</v>
      </c>
      <c r="M30" s="17" t="s">
        <v>926</v>
      </c>
      <c r="N30" s="10" t="s">
        <v>47</v>
      </c>
      <c r="O30" t="s">
        <v>58</v>
      </c>
      <c r="P30" s="17">
        <v>45729</v>
      </c>
      <c r="Q30" s="18">
        <v>3</v>
      </c>
      <c r="R30">
        <v>2025</v>
      </c>
      <c r="T30" t="s">
        <v>783</v>
      </c>
      <c r="U30" t="s">
        <v>783</v>
      </c>
      <c r="V30" s="105">
        <v>110</v>
      </c>
      <c r="W30" s="42" t="s">
        <v>939</v>
      </c>
      <c r="Y30">
        <v>3</v>
      </c>
      <c r="Z30">
        <v>2025</v>
      </c>
    </row>
    <row r="31" spans="1:26" hidden="1">
      <c r="A31" s="17" t="s">
        <v>933</v>
      </c>
      <c r="B31" s="17">
        <v>45729</v>
      </c>
      <c r="C31" s="8"/>
      <c r="D31" t="s">
        <v>934</v>
      </c>
      <c r="E31" t="s">
        <v>935</v>
      </c>
      <c r="F31" t="s">
        <v>53</v>
      </c>
      <c r="G31" t="s">
        <v>915</v>
      </c>
      <c r="H31" t="s">
        <v>56</v>
      </c>
      <c r="J31" t="s">
        <v>937</v>
      </c>
      <c r="K31" s="9" t="s">
        <v>938</v>
      </c>
      <c r="L31" s="9" t="s">
        <v>925</v>
      </c>
      <c r="M31" s="17" t="s">
        <v>926</v>
      </c>
      <c r="N31" s="10" t="s">
        <v>47</v>
      </c>
      <c r="O31" t="s">
        <v>58</v>
      </c>
      <c r="P31" s="17">
        <v>45729</v>
      </c>
      <c r="Q31" s="18">
        <v>3</v>
      </c>
      <c r="R31">
        <v>2025</v>
      </c>
      <c r="T31" t="s">
        <v>783</v>
      </c>
      <c r="U31" t="s">
        <v>783</v>
      </c>
      <c r="V31" s="105">
        <v>3410</v>
      </c>
      <c r="W31" s="42" t="s">
        <v>939</v>
      </c>
      <c r="Y31">
        <v>3</v>
      </c>
      <c r="Z31">
        <v>2025</v>
      </c>
    </row>
    <row r="32" spans="1:26" hidden="1">
      <c r="A32" s="17" t="s">
        <v>933</v>
      </c>
      <c r="B32" s="17">
        <v>45729</v>
      </c>
      <c r="C32" s="8"/>
      <c r="D32" t="s">
        <v>934</v>
      </c>
      <c r="E32" t="s">
        <v>935</v>
      </c>
      <c r="F32" t="s">
        <v>53</v>
      </c>
      <c r="G32" t="s">
        <v>916</v>
      </c>
      <c r="H32" t="s">
        <v>56</v>
      </c>
      <c r="J32" t="s">
        <v>937</v>
      </c>
      <c r="K32" s="9" t="s">
        <v>938</v>
      </c>
      <c r="L32" s="9" t="s">
        <v>925</v>
      </c>
      <c r="M32" s="17" t="s">
        <v>926</v>
      </c>
      <c r="N32" s="10" t="s">
        <v>47</v>
      </c>
      <c r="O32" t="s">
        <v>58</v>
      </c>
      <c r="P32" s="17">
        <v>45729</v>
      </c>
      <c r="Q32" s="18">
        <v>3</v>
      </c>
      <c r="R32">
        <v>2025</v>
      </c>
      <c r="T32" t="s">
        <v>783</v>
      </c>
      <c r="U32" t="s">
        <v>783</v>
      </c>
      <c r="V32" s="105">
        <v>3548</v>
      </c>
      <c r="W32" s="42" t="s">
        <v>939</v>
      </c>
      <c r="Y32">
        <v>3</v>
      </c>
      <c r="Z32">
        <v>2025</v>
      </c>
    </row>
    <row r="33" spans="1:26" hidden="1">
      <c r="A33" s="17" t="s">
        <v>933</v>
      </c>
      <c r="B33" s="17">
        <v>45729</v>
      </c>
      <c r="C33" s="8"/>
      <c r="D33" t="s">
        <v>934</v>
      </c>
      <c r="E33" t="s">
        <v>935</v>
      </c>
      <c r="F33" t="s">
        <v>53</v>
      </c>
      <c r="G33" t="s">
        <v>943</v>
      </c>
      <c r="H33" t="s">
        <v>56</v>
      </c>
      <c r="J33" t="s">
        <v>937</v>
      </c>
      <c r="K33" s="9" t="s">
        <v>938</v>
      </c>
      <c r="L33" s="9" t="s">
        <v>925</v>
      </c>
      <c r="M33" s="17" t="s">
        <v>926</v>
      </c>
      <c r="N33" s="10" t="s">
        <v>47</v>
      </c>
      <c r="O33" t="s">
        <v>58</v>
      </c>
      <c r="P33" s="17">
        <v>45729</v>
      </c>
      <c r="Q33" s="18">
        <v>3</v>
      </c>
      <c r="R33">
        <v>2025</v>
      </c>
      <c r="T33" t="s">
        <v>783</v>
      </c>
      <c r="U33" t="s">
        <v>783</v>
      </c>
      <c r="V33" s="105">
        <v>2356</v>
      </c>
      <c r="W33" s="42" t="s">
        <v>939</v>
      </c>
      <c r="Y33">
        <v>3</v>
      </c>
      <c r="Z33">
        <v>2025</v>
      </c>
    </row>
    <row r="34" spans="1:26" hidden="1">
      <c r="A34" s="17" t="s">
        <v>933</v>
      </c>
      <c r="B34" s="17">
        <v>45729</v>
      </c>
      <c r="C34" s="8"/>
      <c r="D34" t="s">
        <v>934</v>
      </c>
      <c r="E34" t="s">
        <v>935</v>
      </c>
      <c r="F34" t="s">
        <v>53</v>
      </c>
      <c r="G34" t="s">
        <v>944</v>
      </c>
      <c r="H34" t="s">
        <v>56</v>
      </c>
      <c r="J34" t="s">
        <v>937</v>
      </c>
      <c r="K34" s="9" t="s">
        <v>938</v>
      </c>
      <c r="L34" s="9" t="s">
        <v>925</v>
      </c>
      <c r="M34" s="17" t="s">
        <v>926</v>
      </c>
      <c r="N34" s="10" t="s">
        <v>47</v>
      </c>
      <c r="O34" t="s">
        <v>58</v>
      </c>
      <c r="P34" s="17">
        <v>45729</v>
      </c>
      <c r="Q34" s="18">
        <v>3</v>
      </c>
      <c r="R34">
        <v>2025</v>
      </c>
      <c r="T34" t="s">
        <v>783</v>
      </c>
      <c r="U34" t="s">
        <v>783</v>
      </c>
      <c r="V34" s="105">
        <v>1470</v>
      </c>
      <c r="W34" s="42" t="s">
        <v>939</v>
      </c>
      <c r="Y34">
        <v>3</v>
      </c>
      <c r="Z34">
        <v>2025</v>
      </c>
    </row>
    <row r="35" spans="1:26" hidden="1">
      <c r="A35" s="17" t="s">
        <v>933</v>
      </c>
      <c r="B35" s="17">
        <v>45729</v>
      </c>
      <c r="C35" s="8"/>
      <c r="D35" t="s">
        <v>934</v>
      </c>
      <c r="E35" t="s">
        <v>935</v>
      </c>
      <c r="F35" t="s">
        <v>53</v>
      </c>
      <c r="G35" t="s">
        <v>902</v>
      </c>
      <c r="H35" t="s">
        <v>56</v>
      </c>
      <c r="J35" t="s">
        <v>937</v>
      </c>
      <c r="K35" s="9" t="s">
        <v>938</v>
      </c>
      <c r="L35" s="9" t="s">
        <v>925</v>
      </c>
      <c r="M35" s="17" t="s">
        <v>926</v>
      </c>
      <c r="N35" s="10" t="s">
        <v>47</v>
      </c>
      <c r="O35" t="s">
        <v>58</v>
      </c>
      <c r="P35" s="17">
        <v>45729</v>
      </c>
      <c r="Q35" s="18">
        <v>3</v>
      </c>
      <c r="R35">
        <v>2025</v>
      </c>
      <c r="T35" t="s">
        <v>783</v>
      </c>
      <c r="U35" t="s">
        <v>783</v>
      </c>
      <c r="V35" s="105">
        <v>2700</v>
      </c>
      <c r="W35" s="42" t="s">
        <v>939</v>
      </c>
      <c r="Y35">
        <v>3</v>
      </c>
      <c r="Z35">
        <v>2025</v>
      </c>
    </row>
    <row r="36" spans="1:26" hidden="1">
      <c r="A36" s="17" t="s">
        <v>933</v>
      </c>
      <c r="B36" s="17">
        <v>45729</v>
      </c>
      <c r="C36" s="8"/>
      <c r="D36" t="s">
        <v>934</v>
      </c>
      <c r="E36" t="s">
        <v>935</v>
      </c>
      <c r="F36" t="s">
        <v>53</v>
      </c>
      <c r="G36" t="s">
        <v>945</v>
      </c>
      <c r="H36" t="s">
        <v>56</v>
      </c>
      <c r="J36" t="s">
        <v>937</v>
      </c>
      <c r="K36" s="9" t="s">
        <v>938</v>
      </c>
      <c r="L36" s="9" t="s">
        <v>925</v>
      </c>
      <c r="M36" s="17" t="s">
        <v>926</v>
      </c>
      <c r="N36" s="10" t="s">
        <v>47</v>
      </c>
      <c r="O36" t="s">
        <v>58</v>
      </c>
      <c r="P36" s="17">
        <v>45729</v>
      </c>
      <c r="Q36" s="18">
        <v>3</v>
      </c>
      <c r="R36">
        <v>2025</v>
      </c>
      <c r="T36" t="s">
        <v>783</v>
      </c>
      <c r="U36" t="s">
        <v>783</v>
      </c>
      <c r="V36" s="105">
        <v>489</v>
      </c>
      <c r="W36" s="42" t="s">
        <v>939</v>
      </c>
      <c r="Y36">
        <v>3</v>
      </c>
      <c r="Z36">
        <v>2025</v>
      </c>
    </row>
    <row r="37" spans="1:26" hidden="1">
      <c r="A37" s="17" t="s">
        <v>933</v>
      </c>
      <c r="B37" s="17">
        <v>45729</v>
      </c>
      <c r="C37" s="8"/>
      <c r="D37" t="s">
        <v>934</v>
      </c>
      <c r="E37" t="s">
        <v>935</v>
      </c>
      <c r="F37" t="s">
        <v>53</v>
      </c>
      <c r="G37" t="s">
        <v>918</v>
      </c>
      <c r="H37" t="s">
        <v>56</v>
      </c>
      <c r="J37" t="s">
        <v>937</v>
      </c>
      <c r="K37" s="9" t="s">
        <v>938</v>
      </c>
      <c r="L37" s="9" t="s">
        <v>925</v>
      </c>
      <c r="M37" s="17" t="s">
        <v>926</v>
      </c>
      <c r="N37" s="10" t="s">
        <v>47</v>
      </c>
      <c r="O37" t="s">
        <v>58</v>
      </c>
      <c r="P37" s="17">
        <v>45729</v>
      </c>
      <c r="Q37" s="18">
        <v>3</v>
      </c>
      <c r="R37">
        <v>2025</v>
      </c>
      <c r="T37" t="s">
        <v>783</v>
      </c>
      <c r="U37" t="s">
        <v>783</v>
      </c>
      <c r="V37" s="105">
        <v>2935</v>
      </c>
      <c r="W37" s="42" t="s">
        <v>939</v>
      </c>
      <c r="Y37">
        <v>3</v>
      </c>
      <c r="Z37">
        <v>2025</v>
      </c>
    </row>
    <row r="38" spans="1:26" hidden="1">
      <c r="A38" s="17" t="s">
        <v>933</v>
      </c>
      <c r="B38" s="17">
        <v>45729</v>
      </c>
      <c r="C38" s="8"/>
      <c r="D38" t="s">
        <v>934</v>
      </c>
      <c r="E38" t="s">
        <v>935</v>
      </c>
      <c r="F38" t="s">
        <v>53</v>
      </c>
      <c r="G38" t="s">
        <v>946</v>
      </c>
      <c r="H38" t="s">
        <v>56</v>
      </c>
      <c r="J38" t="s">
        <v>937</v>
      </c>
      <c r="K38" s="9" t="s">
        <v>938</v>
      </c>
      <c r="L38" s="9" t="s">
        <v>925</v>
      </c>
      <c r="M38" s="17" t="s">
        <v>926</v>
      </c>
      <c r="N38" s="10" t="s">
        <v>47</v>
      </c>
      <c r="O38" t="s">
        <v>58</v>
      </c>
      <c r="P38" s="17">
        <v>45729</v>
      </c>
      <c r="Q38" s="18">
        <v>3</v>
      </c>
      <c r="R38">
        <v>2025</v>
      </c>
      <c r="T38" t="s">
        <v>783</v>
      </c>
      <c r="U38" t="s">
        <v>783</v>
      </c>
      <c r="V38" s="105">
        <v>5504</v>
      </c>
      <c r="W38" s="42" t="s">
        <v>939</v>
      </c>
      <c r="Y38">
        <v>3</v>
      </c>
      <c r="Z38">
        <v>2025</v>
      </c>
    </row>
    <row r="39" spans="1:26" hidden="1">
      <c r="A39" s="17" t="s">
        <v>933</v>
      </c>
      <c r="B39" s="17">
        <v>45729</v>
      </c>
      <c r="C39" s="8"/>
      <c r="D39" t="s">
        <v>934</v>
      </c>
      <c r="E39" t="s">
        <v>935</v>
      </c>
      <c r="F39" t="s">
        <v>53</v>
      </c>
      <c r="G39" t="s">
        <v>947</v>
      </c>
      <c r="H39" t="s">
        <v>56</v>
      </c>
      <c r="J39" t="s">
        <v>937</v>
      </c>
      <c r="K39" s="9" t="s">
        <v>938</v>
      </c>
      <c r="L39" s="9" t="s">
        <v>925</v>
      </c>
      <c r="M39" s="17" t="s">
        <v>926</v>
      </c>
      <c r="N39" s="10" t="s">
        <v>47</v>
      </c>
      <c r="O39" t="s">
        <v>58</v>
      </c>
      <c r="P39" s="17">
        <v>45729</v>
      </c>
      <c r="Q39" s="18">
        <v>3</v>
      </c>
      <c r="R39">
        <v>2025</v>
      </c>
      <c r="T39" t="s">
        <v>783</v>
      </c>
      <c r="U39" t="s">
        <v>783</v>
      </c>
      <c r="V39" s="105">
        <v>2496</v>
      </c>
      <c r="W39" s="42" t="s">
        <v>939</v>
      </c>
      <c r="Y39">
        <v>3</v>
      </c>
      <c r="Z39">
        <v>2025</v>
      </c>
    </row>
    <row r="40" spans="1:26" hidden="1">
      <c r="A40" s="17" t="s">
        <v>933</v>
      </c>
      <c r="B40" s="17">
        <v>45729</v>
      </c>
      <c r="C40" s="8"/>
      <c r="D40" t="s">
        <v>934</v>
      </c>
      <c r="E40" t="s">
        <v>935</v>
      </c>
      <c r="F40" t="s">
        <v>53</v>
      </c>
      <c r="G40" t="s">
        <v>948</v>
      </c>
      <c r="H40" t="s">
        <v>56</v>
      </c>
      <c r="J40" t="s">
        <v>937</v>
      </c>
      <c r="K40" s="9" t="s">
        <v>938</v>
      </c>
      <c r="L40" s="9" t="s">
        <v>925</v>
      </c>
      <c r="M40" s="17" t="s">
        <v>926</v>
      </c>
      <c r="N40" s="10" t="s">
        <v>47</v>
      </c>
      <c r="O40" t="s">
        <v>58</v>
      </c>
      <c r="P40" s="17">
        <v>45729</v>
      </c>
      <c r="Q40" s="18">
        <v>3</v>
      </c>
      <c r="R40">
        <v>2025</v>
      </c>
      <c r="T40" t="s">
        <v>783</v>
      </c>
      <c r="U40" t="s">
        <v>783</v>
      </c>
      <c r="V40" s="105">
        <v>2053</v>
      </c>
      <c r="W40" s="42" t="s">
        <v>939</v>
      </c>
      <c r="Y40">
        <v>3</v>
      </c>
      <c r="Z40">
        <v>2025</v>
      </c>
    </row>
    <row r="41" spans="1:26" hidden="1">
      <c r="A41" s="17" t="s">
        <v>933</v>
      </c>
      <c r="B41" s="17">
        <v>45729</v>
      </c>
      <c r="C41" s="8"/>
      <c r="D41" t="s">
        <v>934</v>
      </c>
      <c r="E41" t="s">
        <v>935</v>
      </c>
      <c r="F41" t="s">
        <v>53</v>
      </c>
      <c r="G41" t="s">
        <v>908</v>
      </c>
      <c r="H41" t="s">
        <v>56</v>
      </c>
      <c r="J41" t="s">
        <v>937</v>
      </c>
      <c r="K41" s="9" t="s">
        <v>938</v>
      </c>
      <c r="L41" s="9" t="s">
        <v>925</v>
      </c>
      <c r="M41" s="17" t="s">
        <v>926</v>
      </c>
      <c r="N41" s="10" t="s">
        <v>47</v>
      </c>
      <c r="O41" t="s">
        <v>58</v>
      </c>
      <c r="P41" s="17">
        <v>45729</v>
      </c>
      <c r="Q41" s="18">
        <v>3</v>
      </c>
      <c r="R41">
        <v>2025</v>
      </c>
      <c r="T41" t="s">
        <v>783</v>
      </c>
      <c r="U41" t="s">
        <v>783</v>
      </c>
      <c r="V41" s="105">
        <v>2990</v>
      </c>
      <c r="W41" s="42" t="s">
        <v>939</v>
      </c>
      <c r="Y41">
        <v>3</v>
      </c>
      <c r="Z41">
        <v>2025</v>
      </c>
    </row>
    <row r="42" spans="1:26" hidden="1">
      <c r="A42" s="17" t="s">
        <v>933</v>
      </c>
      <c r="B42" s="17">
        <v>45729</v>
      </c>
      <c r="C42" s="8"/>
      <c r="D42" t="s">
        <v>934</v>
      </c>
      <c r="E42" t="s">
        <v>935</v>
      </c>
      <c r="F42" t="s">
        <v>53</v>
      </c>
      <c r="G42" t="s">
        <v>949</v>
      </c>
      <c r="H42" t="s">
        <v>56</v>
      </c>
      <c r="J42" t="s">
        <v>937</v>
      </c>
      <c r="K42" s="9" t="s">
        <v>938</v>
      </c>
      <c r="L42" s="9" t="s">
        <v>925</v>
      </c>
      <c r="M42" s="17" t="s">
        <v>926</v>
      </c>
      <c r="N42" s="10" t="s">
        <v>47</v>
      </c>
      <c r="O42" t="s">
        <v>58</v>
      </c>
      <c r="P42" s="17">
        <v>45729</v>
      </c>
      <c r="Q42" s="18">
        <v>3</v>
      </c>
      <c r="R42">
        <v>2025</v>
      </c>
      <c r="T42" t="s">
        <v>783</v>
      </c>
      <c r="U42" t="s">
        <v>783</v>
      </c>
      <c r="V42" s="105">
        <v>6481</v>
      </c>
      <c r="W42" s="42" t="s">
        <v>939</v>
      </c>
      <c r="Y42">
        <v>3</v>
      </c>
      <c r="Z42">
        <v>2025</v>
      </c>
    </row>
    <row r="43" spans="1:26" hidden="1">
      <c r="A43" s="17" t="s">
        <v>933</v>
      </c>
      <c r="B43" s="17">
        <v>45729</v>
      </c>
      <c r="C43" s="8"/>
      <c r="D43" t="s">
        <v>934</v>
      </c>
      <c r="E43" t="s">
        <v>935</v>
      </c>
      <c r="F43" t="s">
        <v>53</v>
      </c>
      <c r="G43" t="s">
        <v>950</v>
      </c>
      <c r="H43" t="s">
        <v>56</v>
      </c>
      <c r="J43" t="s">
        <v>937</v>
      </c>
      <c r="K43" s="9" t="s">
        <v>938</v>
      </c>
      <c r="L43" s="9" t="s">
        <v>925</v>
      </c>
      <c r="M43" s="17" t="s">
        <v>926</v>
      </c>
      <c r="N43" s="10" t="s">
        <v>47</v>
      </c>
      <c r="O43" t="s">
        <v>58</v>
      </c>
      <c r="P43" s="17">
        <v>45729</v>
      </c>
      <c r="Q43" s="18">
        <v>3</v>
      </c>
      <c r="R43">
        <v>2025</v>
      </c>
      <c r="T43" t="s">
        <v>783</v>
      </c>
      <c r="U43" t="s">
        <v>783</v>
      </c>
      <c r="V43" s="105">
        <v>2516</v>
      </c>
      <c r="W43" s="42" t="s">
        <v>939</v>
      </c>
      <c r="Y43">
        <v>3</v>
      </c>
      <c r="Z43">
        <v>2025</v>
      </c>
    </row>
    <row r="44" spans="1:26" hidden="1">
      <c r="A44" s="17" t="s">
        <v>933</v>
      </c>
      <c r="B44" s="17">
        <v>45729</v>
      </c>
      <c r="C44" s="8"/>
      <c r="D44" t="s">
        <v>934</v>
      </c>
      <c r="E44" t="s">
        <v>935</v>
      </c>
      <c r="F44" t="s">
        <v>53</v>
      </c>
      <c r="G44" t="s">
        <v>951</v>
      </c>
      <c r="H44" t="s">
        <v>56</v>
      </c>
      <c r="J44" t="s">
        <v>937</v>
      </c>
      <c r="K44" s="9" t="s">
        <v>938</v>
      </c>
      <c r="L44" s="9" t="s">
        <v>925</v>
      </c>
      <c r="M44" s="17" t="s">
        <v>926</v>
      </c>
      <c r="N44" s="10" t="s">
        <v>47</v>
      </c>
      <c r="O44" t="s">
        <v>58</v>
      </c>
      <c r="P44" s="17">
        <v>45729</v>
      </c>
      <c r="Q44" s="18">
        <v>3</v>
      </c>
      <c r="R44">
        <v>2025</v>
      </c>
      <c r="T44" t="s">
        <v>783</v>
      </c>
      <c r="U44" t="s">
        <v>783</v>
      </c>
      <c r="V44" s="105">
        <v>6519</v>
      </c>
      <c r="W44" s="42" t="s">
        <v>939</v>
      </c>
      <c r="Y44">
        <v>3</v>
      </c>
      <c r="Z44">
        <v>2025</v>
      </c>
    </row>
    <row r="45" spans="1:26" hidden="1">
      <c r="A45" s="17" t="s">
        <v>933</v>
      </c>
      <c r="B45" s="17">
        <v>45729</v>
      </c>
      <c r="C45" s="8"/>
      <c r="D45" t="s">
        <v>934</v>
      </c>
      <c r="E45" t="s">
        <v>935</v>
      </c>
      <c r="F45" t="s">
        <v>53</v>
      </c>
      <c r="G45" t="s">
        <v>952</v>
      </c>
      <c r="H45" t="s">
        <v>56</v>
      </c>
      <c r="J45" t="s">
        <v>937</v>
      </c>
      <c r="K45" s="9" t="s">
        <v>938</v>
      </c>
      <c r="L45" s="9" t="s">
        <v>925</v>
      </c>
      <c r="M45" s="17" t="s">
        <v>926</v>
      </c>
      <c r="N45" s="10" t="s">
        <v>47</v>
      </c>
      <c r="O45" t="s">
        <v>58</v>
      </c>
      <c r="P45" s="17">
        <v>45729</v>
      </c>
      <c r="Q45" s="18">
        <v>3</v>
      </c>
      <c r="R45">
        <v>2025</v>
      </c>
      <c r="T45" t="s">
        <v>783</v>
      </c>
      <c r="U45" t="s">
        <v>783</v>
      </c>
      <c r="V45" s="105">
        <v>3247</v>
      </c>
      <c r="W45" s="42" t="s">
        <v>939</v>
      </c>
      <c r="Y45">
        <v>3</v>
      </c>
      <c r="Z45">
        <v>2025</v>
      </c>
    </row>
    <row r="46" spans="1:26" hidden="1">
      <c r="A46" s="17" t="s">
        <v>933</v>
      </c>
      <c r="B46" s="17">
        <v>45729</v>
      </c>
      <c r="C46" s="8"/>
      <c r="D46" t="s">
        <v>934</v>
      </c>
      <c r="E46" t="s">
        <v>935</v>
      </c>
      <c r="F46" t="s">
        <v>53</v>
      </c>
      <c r="G46" t="s">
        <v>953</v>
      </c>
      <c r="H46" t="s">
        <v>56</v>
      </c>
      <c r="J46" t="s">
        <v>937</v>
      </c>
      <c r="K46" s="9" t="s">
        <v>938</v>
      </c>
      <c r="L46" s="9" t="s">
        <v>925</v>
      </c>
      <c r="M46" s="17" t="s">
        <v>926</v>
      </c>
      <c r="N46" s="10" t="s">
        <v>47</v>
      </c>
      <c r="O46" t="s">
        <v>58</v>
      </c>
      <c r="P46" s="17">
        <v>45729</v>
      </c>
      <c r="Q46" s="18">
        <v>3</v>
      </c>
      <c r="R46">
        <v>2025</v>
      </c>
      <c r="T46" t="s">
        <v>783</v>
      </c>
      <c r="U46" t="s">
        <v>783</v>
      </c>
      <c r="V46" s="105">
        <v>1951</v>
      </c>
      <c r="W46" s="42" t="s">
        <v>939</v>
      </c>
      <c r="Y46">
        <v>3</v>
      </c>
      <c r="Z46">
        <v>2025</v>
      </c>
    </row>
    <row r="47" spans="1:26" hidden="1">
      <c r="A47" s="17" t="s">
        <v>933</v>
      </c>
      <c r="B47" s="17">
        <v>45729</v>
      </c>
      <c r="C47" s="8"/>
      <c r="D47" t="s">
        <v>934</v>
      </c>
      <c r="E47" t="s">
        <v>935</v>
      </c>
      <c r="F47" t="s">
        <v>53</v>
      </c>
      <c r="G47" t="s">
        <v>954</v>
      </c>
      <c r="H47" t="s">
        <v>56</v>
      </c>
      <c r="J47" t="s">
        <v>937</v>
      </c>
      <c r="K47" s="9" t="s">
        <v>938</v>
      </c>
      <c r="L47" s="9" t="s">
        <v>925</v>
      </c>
      <c r="M47" s="17" t="s">
        <v>926</v>
      </c>
      <c r="N47" s="10" t="s">
        <v>47</v>
      </c>
      <c r="O47" t="s">
        <v>58</v>
      </c>
      <c r="P47" s="17">
        <v>45729</v>
      </c>
      <c r="Q47" s="18">
        <v>3</v>
      </c>
      <c r="R47">
        <v>2025</v>
      </c>
      <c r="T47" t="s">
        <v>783</v>
      </c>
      <c r="U47" t="s">
        <v>783</v>
      </c>
      <c r="V47" s="105">
        <v>2424</v>
      </c>
      <c r="W47" s="42" t="s">
        <v>939</v>
      </c>
      <c r="Y47">
        <v>3</v>
      </c>
      <c r="Z47">
        <v>2025</v>
      </c>
    </row>
    <row r="48" spans="1:26" hidden="1">
      <c r="A48" s="17" t="s">
        <v>933</v>
      </c>
      <c r="B48" s="17">
        <v>45729</v>
      </c>
      <c r="D48" t="s">
        <v>934</v>
      </c>
      <c r="E48" t="s">
        <v>935</v>
      </c>
      <c r="F48" t="s">
        <v>53</v>
      </c>
      <c r="G48" t="s">
        <v>955</v>
      </c>
      <c r="H48" t="s">
        <v>56</v>
      </c>
      <c r="J48" t="s">
        <v>937</v>
      </c>
      <c r="K48" s="9" t="s">
        <v>938</v>
      </c>
      <c r="L48" s="9" t="s">
        <v>925</v>
      </c>
      <c r="M48" s="17" t="s">
        <v>926</v>
      </c>
      <c r="N48" t="s">
        <v>47</v>
      </c>
      <c r="O48" t="s">
        <v>58</v>
      </c>
      <c r="P48" s="17">
        <v>45729</v>
      </c>
      <c r="Q48" s="18">
        <v>3</v>
      </c>
      <c r="R48">
        <v>2025</v>
      </c>
      <c r="T48" t="s">
        <v>783</v>
      </c>
      <c r="U48" t="s">
        <v>783</v>
      </c>
      <c r="V48" s="105">
        <v>2790</v>
      </c>
      <c r="W48" s="42" t="s">
        <v>939</v>
      </c>
      <c r="Y48">
        <v>3</v>
      </c>
      <c r="Z48">
        <v>2025</v>
      </c>
    </row>
    <row r="49" spans="1:26" hidden="1">
      <c r="A49" s="17" t="s">
        <v>933</v>
      </c>
      <c r="B49" s="17">
        <v>45729</v>
      </c>
      <c r="D49" t="s">
        <v>934</v>
      </c>
      <c r="E49" t="s">
        <v>935</v>
      </c>
      <c r="F49" t="s">
        <v>53</v>
      </c>
      <c r="G49" t="s">
        <v>956</v>
      </c>
      <c r="H49" t="s">
        <v>56</v>
      </c>
      <c r="J49" t="s">
        <v>937</v>
      </c>
      <c r="K49" s="9" t="s">
        <v>938</v>
      </c>
      <c r="L49" s="9" t="s">
        <v>925</v>
      </c>
      <c r="M49" s="17" t="s">
        <v>926</v>
      </c>
      <c r="N49" t="s">
        <v>47</v>
      </c>
      <c r="O49" t="s">
        <v>58</v>
      </c>
      <c r="P49" s="17">
        <v>45729</v>
      </c>
      <c r="Q49" s="18">
        <v>3</v>
      </c>
      <c r="R49">
        <v>2025</v>
      </c>
      <c r="T49" t="s">
        <v>783</v>
      </c>
      <c r="U49" t="s">
        <v>783</v>
      </c>
      <c r="V49" s="105">
        <v>2672</v>
      </c>
      <c r="W49" s="42" t="s">
        <v>939</v>
      </c>
      <c r="Y49">
        <v>3</v>
      </c>
      <c r="Z49">
        <v>2025</v>
      </c>
    </row>
    <row r="50" spans="1:26" hidden="1">
      <c r="A50" s="17" t="s">
        <v>933</v>
      </c>
      <c r="B50" s="17">
        <v>45729</v>
      </c>
      <c r="D50" t="s">
        <v>934</v>
      </c>
      <c r="E50" t="s">
        <v>935</v>
      </c>
      <c r="F50" t="s">
        <v>53</v>
      </c>
      <c r="G50" t="s">
        <v>957</v>
      </c>
      <c r="H50" t="s">
        <v>56</v>
      </c>
      <c r="J50" t="s">
        <v>937</v>
      </c>
      <c r="K50" s="9" t="s">
        <v>938</v>
      </c>
      <c r="L50" s="9" t="s">
        <v>925</v>
      </c>
      <c r="M50" s="17" t="s">
        <v>926</v>
      </c>
      <c r="N50" t="s">
        <v>47</v>
      </c>
      <c r="O50" t="s">
        <v>58</v>
      </c>
      <c r="P50" s="17">
        <v>45729</v>
      </c>
      <c r="Q50" s="18">
        <v>3</v>
      </c>
      <c r="R50">
        <v>2025</v>
      </c>
      <c r="T50" t="s">
        <v>783</v>
      </c>
      <c r="U50" t="s">
        <v>783</v>
      </c>
      <c r="V50" s="105">
        <v>2984</v>
      </c>
      <c r="W50" s="42" t="s">
        <v>939</v>
      </c>
      <c r="Y50">
        <v>3</v>
      </c>
      <c r="Z50">
        <v>2025</v>
      </c>
    </row>
    <row r="51" spans="1:26" hidden="1">
      <c r="A51" s="17" t="s">
        <v>933</v>
      </c>
      <c r="B51" s="17">
        <v>45729</v>
      </c>
      <c r="D51" t="s">
        <v>934</v>
      </c>
      <c r="E51" t="s">
        <v>935</v>
      </c>
      <c r="F51" t="s">
        <v>53</v>
      </c>
      <c r="G51" t="s">
        <v>958</v>
      </c>
      <c r="H51" t="s">
        <v>56</v>
      </c>
      <c r="J51" t="s">
        <v>937</v>
      </c>
      <c r="K51" s="9" t="s">
        <v>938</v>
      </c>
      <c r="L51" s="9" t="s">
        <v>925</v>
      </c>
      <c r="M51" s="17" t="s">
        <v>926</v>
      </c>
      <c r="N51" t="s">
        <v>47</v>
      </c>
      <c r="O51" t="s">
        <v>58</v>
      </c>
      <c r="P51" s="17">
        <v>45729</v>
      </c>
      <c r="Q51" s="18">
        <v>3</v>
      </c>
      <c r="R51">
        <v>2025</v>
      </c>
      <c r="T51" t="s">
        <v>783</v>
      </c>
      <c r="U51" t="s">
        <v>783</v>
      </c>
      <c r="V51" s="105">
        <v>1425</v>
      </c>
      <c r="W51" s="42" t="s">
        <v>939</v>
      </c>
      <c r="Y51">
        <v>3</v>
      </c>
      <c r="Z51">
        <v>2025</v>
      </c>
    </row>
    <row r="52" spans="1:26" hidden="1">
      <c r="A52" s="17" t="s">
        <v>933</v>
      </c>
      <c r="B52" s="17">
        <v>45729</v>
      </c>
      <c r="D52" t="s">
        <v>934</v>
      </c>
      <c r="E52" t="s">
        <v>935</v>
      </c>
      <c r="F52" t="s">
        <v>53</v>
      </c>
      <c r="G52" t="s">
        <v>959</v>
      </c>
      <c r="H52" t="s">
        <v>56</v>
      </c>
      <c r="J52" t="s">
        <v>937</v>
      </c>
      <c r="K52" s="9" t="s">
        <v>938</v>
      </c>
      <c r="L52" s="9" t="s">
        <v>925</v>
      </c>
      <c r="M52" s="17" t="s">
        <v>926</v>
      </c>
      <c r="N52" t="s">
        <v>47</v>
      </c>
      <c r="O52" t="s">
        <v>58</v>
      </c>
      <c r="P52" s="17">
        <v>45729</v>
      </c>
      <c r="Q52" s="18">
        <v>3</v>
      </c>
      <c r="R52">
        <v>2025</v>
      </c>
      <c r="T52" t="s">
        <v>783</v>
      </c>
      <c r="U52" t="s">
        <v>783</v>
      </c>
      <c r="V52" s="105">
        <v>3737</v>
      </c>
      <c r="W52" s="42" t="s">
        <v>939</v>
      </c>
      <c r="Y52">
        <v>3</v>
      </c>
      <c r="Z52">
        <v>2025</v>
      </c>
    </row>
    <row r="53" spans="1:26" hidden="1">
      <c r="A53" s="17" t="s">
        <v>933</v>
      </c>
      <c r="B53" s="17">
        <v>45729</v>
      </c>
      <c r="D53" t="s">
        <v>934</v>
      </c>
      <c r="E53" t="s">
        <v>935</v>
      </c>
      <c r="F53" t="s">
        <v>53</v>
      </c>
      <c r="G53" t="s">
        <v>960</v>
      </c>
      <c r="H53" t="s">
        <v>56</v>
      </c>
      <c r="J53" t="s">
        <v>937</v>
      </c>
      <c r="K53" s="9" t="s">
        <v>938</v>
      </c>
      <c r="L53" s="9" t="s">
        <v>925</v>
      </c>
      <c r="M53" s="17" t="s">
        <v>926</v>
      </c>
      <c r="N53" t="s">
        <v>47</v>
      </c>
      <c r="O53" t="s">
        <v>58</v>
      </c>
      <c r="P53" s="17">
        <v>45729</v>
      </c>
      <c r="Q53" s="18">
        <v>3</v>
      </c>
      <c r="R53">
        <v>2025</v>
      </c>
      <c r="T53" t="s">
        <v>783</v>
      </c>
      <c r="U53" t="s">
        <v>783</v>
      </c>
      <c r="V53" s="105">
        <v>1331</v>
      </c>
      <c r="W53" s="42" t="s">
        <v>939</v>
      </c>
      <c r="Y53">
        <v>3</v>
      </c>
      <c r="Z53">
        <v>2025</v>
      </c>
    </row>
    <row r="54" spans="1:26" hidden="1">
      <c r="A54" s="17" t="s">
        <v>933</v>
      </c>
      <c r="B54" s="17">
        <v>45729</v>
      </c>
      <c r="D54" t="s">
        <v>934</v>
      </c>
      <c r="E54" t="s">
        <v>935</v>
      </c>
      <c r="F54" t="s">
        <v>53</v>
      </c>
      <c r="G54" t="s">
        <v>961</v>
      </c>
      <c r="H54" t="s">
        <v>56</v>
      </c>
      <c r="J54" t="s">
        <v>937</v>
      </c>
      <c r="K54" s="9" t="s">
        <v>938</v>
      </c>
      <c r="L54" s="9" t="s">
        <v>925</v>
      </c>
      <c r="M54" s="17" t="s">
        <v>926</v>
      </c>
      <c r="N54" t="s">
        <v>47</v>
      </c>
      <c r="O54" t="s">
        <v>58</v>
      </c>
      <c r="P54" s="17">
        <v>45729</v>
      </c>
      <c r="Q54" s="18">
        <v>3</v>
      </c>
      <c r="R54">
        <v>2025</v>
      </c>
      <c r="T54" t="s">
        <v>783</v>
      </c>
      <c r="U54" t="s">
        <v>783</v>
      </c>
      <c r="V54" s="105">
        <v>1415</v>
      </c>
      <c r="W54" s="42" t="s">
        <v>939</v>
      </c>
      <c r="Y54">
        <v>3</v>
      </c>
      <c r="Z54">
        <v>2025</v>
      </c>
    </row>
    <row r="55" spans="1:26" hidden="1">
      <c r="A55" s="17" t="s">
        <v>933</v>
      </c>
      <c r="B55" s="17">
        <v>45729</v>
      </c>
      <c r="D55" t="s">
        <v>934</v>
      </c>
      <c r="E55" t="s">
        <v>935</v>
      </c>
      <c r="F55" t="s">
        <v>53</v>
      </c>
      <c r="G55" t="s">
        <v>962</v>
      </c>
      <c r="H55" t="s">
        <v>56</v>
      </c>
      <c r="J55" t="s">
        <v>937</v>
      </c>
      <c r="K55" s="9" t="s">
        <v>938</v>
      </c>
      <c r="L55" s="9" t="s">
        <v>925</v>
      </c>
      <c r="M55" s="17" t="s">
        <v>926</v>
      </c>
      <c r="N55" t="s">
        <v>47</v>
      </c>
      <c r="O55" t="s">
        <v>58</v>
      </c>
      <c r="P55" s="17">
        <v>45729</v>
      </c>
      <c r="Q55" s="18">
        <v>3</v>
      </c>
      <c r="R55">
        <v>2025</v>
      </c>
      <c r="T55" t="s">
        <v>783</v>
      </c>
      <c r="U55" t="s">
        <v>783</v>
      </c>
      <c r="V55" s="105">
        <v>15267</v>
      </c>
      <c r="W55" s="42" t="s">
        <v>939</v>
      </c>
      <c r="Y55">
        <v>3</v>
      </c>
      <c r="Z55">
        <v>2025</v>
      </c>
    </row>
    <row r="56" spans="1:26" hidden="1">
      <c r="A56" s="17" t="s">
        <v>933</v>
      </c>
      <c r="B56" s="17">
        <v>45729</v>
      </c>
      <c r="D56" t="s">
        <v>934</v>
      </c>
      <c r="E56" t="s">
        <v>935</v>
      </c>
      <c r="F56" t="s">
        <v>53</v>
      </c>
      <c r="G56" t="s">
        <v>917</v>
      </c>
      <c r="H56" t="s">
        <v>56</v>
      </c>
      <c r="J56" t="s">
        <v>937</v>
      </c>
      <c r="K56" s="9" t="s">
        <v>938</v>
      </c>
      <c r="L56" s="9" t="s">
        <v>925</v>
      </c>
      <c r="M56" s="17" t="s">
        <v>926</v>
      </c>
      <c r="N56" t="s">
        <v>47</v>
      </c>
      <c r="O56" t="s">
        <v>58</v>
      </c>
      <c r="P56" s="17">
        <v>45729</v>
      </c>
      <c r="Q56" s="18">
        <v>3</v>
      </c>
      <c r="R56">
        <v>2025</v>
      </c>
      <c r="T56" t="s">
        <v>783</v>
      </c>
      <c r="U56" t="s">
        <v>783</v>
      </c>
      <c r="V56" s="105">
        <v>2500</v>
      </c>
      <c r="W56" s="42" t="s">
        <v>939</v>
      </c>
      <c r="Y56">
        <v>3</v>
      </c>
      <c r="Z56">
        <v>2025</v>
      </c>
    </row>
    <row r="57" spans="1:26" hidden="1">
      <c r="A57" s="17" t="s">
        <v>933</v>
      </c>
      <c r="B57" s="17">
        <v>45729</v>
      </c>
      <c r="D57" t="s">
        <v>934</v>
      </c>
      <c r="E57" t="s">
        <v>935</v>
      </c>
      <c r="F57" t="s">
        <v>53</v>
      </c>
      <c r="G57" t="s">
        <v>963</v>
      </c>
      <c r="H57" t="s">
        <v>56</v>
      </c>
      <c r="J57" t="s">
        <v>937</v>
      </c>
      <c r="K57" s="9" t="s">
        <v>938</v>
      </c>
      <c r="L57" s="9" t="s">
        <v>925</v>
      </c>
      <c r="M57" s="17" t="s">
        <v>926</v>
      </c>
      <c r="N57" t="s">
        <v>47</v>
      </c>
      <c r="O57" t="s">
        <v>58</v>
      </c>
      <c r="P57" s="17">
        <v>45729</v>
      </c>
      <c r="Q57" s="18">
        <v>3</v>
      </c>
      <c r="R57">
        <v>2025</v>
      </c>
      <c r="T57" t="s">
        <v>783</v>
      </c>
      <c r="U57" t="s">
        <v>783</v>
      </c>
      <c r="V57" s="105">
        <v>2284</v>
      </c>
      <c r="W57" s="42" t="s">
        <v>939</v>
      </c>
      <c r="Y57">
        <v>3</v>
      </c>
      <c r="Z57">
        <v>2025</v>
      </c>
    </row>
    <row r="58" spans="1:26" hidden="1">
      <c r="A58" s="17" t="s">
        <v>933</v>
      </c>
      <c r="B58" s="17">
        <v>45729</v>
      </c>
      <c r="D58" t="s">
        <v>934</v>
      </c>
      <c r="E58" t="s">
        <v>935</v>
      </c>
      <c r="F58" t="s">
        <v>53</v>
      </c>
      <c r="G58" t="s">
        <v>964</v>
      </c>
      <c r="H58" t="s">
        <v>56</v>
      </c>
      <c r="J58" t="s">
        <v>937</v>
      </c>
      <c r="K58" s="9" t="s">
        <v>938</v>
      </c>
      <c r="L58" s="9" t="s">
        <v>925</v>
      </c>
      <c r="M58" s="17" t="s">
        <v>926</v>
      </c>
      <c r="N58" t="s">
        <v>47</v>
      </c>
      <c r="O58" t="s">
        <v>58</v>
      </c>
      <c r="P58" s="17">
        <v>45729</v>
      </c>
      <c r="Q58" s="18">
        <v>3</v>
      </c>
      <c r="R58">
        <v>2025</v>
      </c>
      <c r="T58" t="s">
        <v>783</v>
      </c>
      <c r="U58" t="s">
        <v>783</v>
      </c>
      <c r="V58" s="105">
        <v>91</v>
      </c>
      <c r="W58" s="42" t="s">
        <v>939</v>
      </c>
      <c r="Y58">
        <v>3</v>
      </c>
      <c r="Z58">
        <v>2025</v>
      </c>
    </row>
    <row r="59" spans="1:26" hidden="1">
      <c r="A59" s="17" t="s">
        <v>933</v>
      </c>
      <c r="B59" s="17">
        <v>45729</v>
      </c>
      <c r="D59" t="s">
        <v>934</v>
      </c>
      <c r="E59" t="s">
        <v>935</v>
      </c>
      <c r="F59" t="s">
        <v>53</v>
      </c>
      <c r="G59" t="s">
        <v>965</v>
      </c>
      <c r="H59" t="s">
        <v>56</v>
      </c>
      <c r="J59" t="s">
        <v>937</v>
      </c>
      <c r="K59" s="9" t="s">
        <v>938</v>
      </c>
      <c r="L59" s="9" t="s">
        <v>925</v>
      </c>
      <c r="M59" s="17" t="s">
        <v>926</v>
      </c>
      <c r="N59" t="s">
        <v>47</v>
      </c>
      <c r="O59" t="s">
        <v>58</v>
      </c>
      <c r="P59" s="17">
        <v>45729</v>
      </c>
      <c r="Q59" s="18">
        <v>3</v>
      </c>
      <c r="R59">
        <v>2025</v>
      </c>
      <c r="T59" t="s">
        <v>783</v>
      </c>
      <c r="U59" t="s">
        <v>783</v>
      </c>
      <c r="V59" s="105">
        <v>2035</v>
      </c>
      <c r="W59" s="42" t="s">
        <v>939</v>
      </c>
      <c r="Y59">
        <v>3</v>
      </c>
      <c r="Z59">
        <v>2025</v>
      </c>
    </row>
    <row r="60" spans="1:26" hidden="1">
      <c r="A60" s="17" t="s">
        <v>933</v>
      </c>
      <c r="B60" s="17">
        <v>45729</v>
      </c>
      <c r="D60" t="s">
        <v>934</v>
      </c>
      <c r="E60" t="s">
        <v>935</v>
      </c>
      <c r="F60" t="s">
        <v>53</v>
      </c>
      <c r="G60" t="s">
        <v>966</v>
      </c>
      <c r="H60" t="s">
        <v>56</v>
      </c>
      <c r="J60" t="s">
        <v>937</v>
      </c>
      <c r="K60" s="9" t="s">
        <v>938</v>
      </c>
      <c r="L60" s="9" t="s">
        <v>925</v>
      </c>
      <c r="M60" s="17" t="s">
        <v>926</v>
      </c>
      <c r="N60" t="s">
        <v>47</v>
      </c>
      <c r="O60" t="s">
        <v>58</v>
      </c>
      <c r="P60" s="17">
        <v>45729</v>
      </c>
      <c r="Q60" s="18">
        <v>3</v>
      </c>
      <c r="R60">
        <v>2025</v>
      </c>
      <c r="T60" t="s">
        <v>783</v>
      </c>
      <c r="U60" t="s">
        <v>783</v>
      </c>
      <c r="V60" s="105">
        <v>289</v>
      </c>
      <c r="W60" s="42" t="s">
        <v>939</v>
      </c>
      <c r="Y60">
        <v>3</v>
      </c>
      <c r="Z60">
        <v>2025</v>
      </c>
    </row>
    <row r="61" spans="1:26" hidden="1">
      <c r="A61" s="17" t="s">
        <v>933</v>
      </c>
      <c r="B61" s="17">
        <v>45729</v>
      </c>
      <c r="D61" t="s">
        <v>934</v>
      </c>
      <c r="E61" t="s">
        <v>935</v>
      </c>
      <c r="F61" t="s">
        <v>53</v>
      </c>
      <c r="G61" t="s">
        <v>909</v>
      </c>
      <c r="H61" t="s">
        <v>56</v>
      </c>
      <c r="J61" t="s">
        <v>937</v>
      </c>
      <c r="K61" s="9" t="s">
        <v>938</v>
      </c>
      <c r="L61" s="9" t="s">
        <v>925</v>
      </c>
      <c r="M61" s="17" t="s">
        <v>926</v>
      </c>
      <c r="N61" t="s">
        <v>47</v>
      </c>
      <c r="O61" t="s">
        <v>58</v>
      </c>
      <c r="P61" s="17">
        <v>45729</v>
      </c>
      <c r="Q61" s="18">
        <v>3</v>
      </c>
      <c r="R61">
        <v>2025</v>
      </c>
      <c r="T61" t="s">
        <v>783</v>
      </c>
      <c r="U61" t="s">
        <v>783</v>
      </c>
      <c r="V61" s="105">
        <v>2936</v>
      </c>
      <c r="W61" s="42" t="s">
        <v>939</v>
      </c>
      <c r="Y61">
        <v>3</v>
      </c>
      <c r="Z61">
        <v>2025</v>
      </c>
    </row>
    <row r="62" spans="1:26" hidden="1">
      <c r="A62" s="17" t="s">
        <v>933</v>
      </c>
      <c r="B62" s="17">
        <v>45729</v>
      </c>
      <c r="D62" t="s">
        <v>934</v>
      </c>
      <c r="E62" t="s">
        <v>935</v>
      </c>
      <c r="F62" t="s">
        <v>53</v>
      </c>
      <c r="G62" t="s">
        <v>967</v>
      </c>
      <c r="H62" t="s">
        <v>56</v>
      </c>
      <c r="J62" t="s">
        <v>937</v>
      </c>
      <c r="K62" s="9" t="s">
        <v>938</v>
      </c>
      <c r="L62" s="9" t="s">
        <v>925</v>
      </c>
      <c r="M62" s="17" t="s">
        <v>926</v>
      </c>
      <c r="N62" t="s">
        <v>47</v>
      </c>
      <c r="O62" t="s">
        <v>58</v>
      </c>
      <c r="P62" s="17">
        <v>45729</v>
      </c>
      <c r="Q62" s="18">
        <v>3</v>
      </c>
      <c r="R62">
        <v>2025</v>
      </c>
      <c r="T62" t="s">
        <v>783</v>
      </c>
      <c r="U62" t="s">
        <v>783</v>
      </c>
      <c r="V62" s="105">
        <v>2190</v>
      </c>
      <c r="W62" s="42" t="s">
        <v>939</v>
      </c>
      <c r="Y62">
        <v>3</v>
      </c>
      <c r="Z62">
        <v>2025</v>
      </c>
    </row>
    <row r="63" spans="1:26" hidden="1">
      <c r="A63" s="17" t="s">
        <v>933</v>
      </c>
      <c r="B63" s="17">
        <v>45729</v>
      </c>
      <c r="D63" t="s">
        <v>934</v>
      </c>
      <c r="E63" t="s">
        <v>935</v>
      </c>
      <c r="F63" t="s">
        <v>53</v>
      </c>
      <c r="G63" t="s">
        <v>968</v>
      </c>
      <c r="H63" t="s">
        <v>56</v>
      </c>
      <c r="J63" t="s">
        <v>937</v>
      </c>
      <c r="K63" s="9" t="s">
        <v>938</v>
      </c>
      <c r="L63" s="9" t="s">
        <v>925</v>
      </c>
      <c r="M63" s="17" t="s">
        <v>926</v>
      </c>
      <c r="N63" t="s">
        <v>47</v>
      </c>
      <c r="O63" t="s">
        <v>58</v>
      </c>
      <c r="P63" s="17">
        <v>45729</v>
      </c>
      <c r="Q63" s="18">
        <v>3</v>
      </c>
      <c r="R63">
        <v>2025</v>
      </c>
      <c r="T63" t="s">
        <v>783</v>
      </c>
      <c r="U63" t="s">
        <v>783</v>
      </c>
      <c r="V63" s="105">
        <v>2677</v>
      </c>
      <c r="W63" s="42" t="s">
        <v>939</v>
      </c>
      <c r="Y63">
        <v>3</v>
      </c>
      <c r="Z63">
        <v>2025</v>
      </c>
    </row>
    <row r="64" spans="1:26" hidden="1">
      <c r="A64" s="17" t="s">
        <v>933</v>
      </c>
      <c r="B64" s="17">
        <v>45729</v>
      </c>
      <c r="D64" t="s">
        <v>934</v>
      </c>
      <c r="E64" t="s">
        <v>935</v>
      </c>
      <c r="F64" t="s">
        <v>53</v>
      </c>
      <c r="G64" t="s">
        <v>969</v>
      </c>
      <c r="H64" t="s">
        <v>56</v>
      </c>
      <c r="J64" t="s">
        <v>937</v>
      </c>
      <c r="K64" s="9" t="s">
        <v>938</v>
      </c>
      <c r="L64" s="9" t="s">
        <v>925</v>
      </c>
      <c r="M64" s="17" t="s">
        <v>926</v>
      </c>
      <c r="N64" t="s">
        <v>47</v>
      </c>
      <c r="O64" t="s">
        <v>58</v>
      </c>
      <c r="P64" s="17">
        <v>45729</v>
      </c>
      <c r="Q64" s="18">
        <v>3</v>
      </c>
      <c r="R64">
        <v>2025</v>
      </c>
      <c r="T64" t="s">
        <v>783</v>
      </c>
      <c r="U64" t="s">
        <v>783</v>
      </c>
      <c r="V64" s="105">
        <v>1366</v>
      </c>
      <c r="W64" s="42" t="s">
        <v>939</v>
      </c>
      <c r="Y64">
        <v>3</v>
      </c>
      <c r="Z64">
        <v>2025</v>
      </c>
    </row>
    <row r="65" spans="1:26" hidden="1">
      <c r="A65" s="17" t="s">
        <v>933</v>
      </c>
      <c r="B65" s="17">
        <v>45729</v>
      </c>
      <c r="D65" t="s">
        <v>934</v>
      </c>
      <c r="E65" t="s">
        <v>935</v>
      </c>
      <c r="F65" t="s">
        <v>53</v>
      </c>
      <c r="G65" t="s">
        <v>910</v>
      </c>
      <c r="H65" t="s">
        <v>56</v>
      </c>
      <c r="J65" t="s">
        <v>937</v>
      </c>
      <c r="K65" s="9" t="s">
        <v>938</v>
      </c>
      <c r="L65" s="9" t="s">
        <v>925</v>
      </c>
      <c r="M65" s="17" t="s">
        <v>926</v>
      </c>
      <c r="N65" t="s">
        <v>47</v>
      </c>
      <c r="O65" t="s">
        <v>58</v>
      </c>
      <c r="P65" s="17">
        <v>45729</v>
      </c>
      <c r="Q65" s="18">
        <v>3</v>
      </c>
      <c r="R65">
        <v>2025</v>
      </c>
      <c r="T65" t="s">
        <v>783</v>
      </c>
      <c r="U65" t="s">
        <v>783</v>
      </c>
      <c r="V65" s="105">
        <v>3146</v>
      </c>
      <c r="W65" s="42" t="s">
        <v>939</v>
      </c>
      <c r="Y65">
        <v>3</v>
      </c>
      <c r="Z65">
        <v>2025</v>
      </c>
    </row>
    <row r="66" spans="1:26" hidden="1">
      <c r="A66" s="17" t="s">
        <v>933</v>
      </c>
      <c r="B66" s="17">
        <v>45729</v>
      </c>
      <c r="D66" t="s">
        <v>934</v>
      </c>
      <c r="E66" t="s">
        <v>935</v>
      </c>
      <c r="F66" t="s">
        <v>53</v>
      </c>
      <c r="G66" t="s">
        <v>970</v>
      </c>
      <c r="H66" t="s">
        <v>56</v>
      </c>
      <c r="J66" t="s">
        <v>937</v>
      </c>
      <c r="K66" s="9" t="s">
        <v>938</v>
      </c>
      <c r="L66" s="9" t="s">
        <v>925</v>
      </c>
      <c r="M66" s="17" t="s">
        <v>926</v>
      </c>
      <c r="N66" t="s">
        <v>47</v>
      </c>
      <c r="O66" t="s">
        <v>58</v>
      </c>
      <c r="P66" s="17">
        <v>45729</v>
      </c>
      <c r="Q66" s="18">
        <v>3</v>
      </c>
      <c r="R66">
        <v>2025</v>
      </c>
      <c r="T66" t="s">
        <v>783</v>
      </c>
      <c r="U66" t="s">
        <v>783</v>
      </c>
      <c r="V66" s="105">
        <v>1842</v>
      </c>
      <c r="W66" s="42" t="s">
        <v>939</v>
      </c>
      <c r="Y66">
        <v>3</v>
      </c>
      <c r="Z66">
        <v>2025</v>
      </c>
    </row>
    <row r="67" spans="1:26" hidden="1">
      <c r="A67" s="17" t="s">
        <v>971</v>
      </c>
      <c r="B67" s="17">
        <v>45729</v>
      </c>
      <c r="D67" t="s">
        <v>972</v>
      </c>
      <c r="E67" t="s">
        <v>921</v>
      </c>
      <c r="F67" t="s">
        <v>53</v>
      </c>
      <c r="G67" t="s">
        <v>936</v>
      </c>
      <c r="H67" t="s">
        <v>56</v>
      </c>
      <c r="J67" t="s">
        <v>937</v>
      </c>
      <c r="K67" s="9" t="s">
        <v>938</v>
      </c>
      <c r="L67" s="9" t="s">
        <v>925</v>
      </c>
      <c r="M67" s="17" t="s">
        <v>926</v>
      </c>
      <c r="N67" t="s">
        <v>47</v>
      </c>
      <c r="O67" t="s">
        <v>58</v>
      </c>
      <c r="P67" s="17">
        <v>45729</v>
      </c>
      <c r="Q67" s="18">
        <v>3</v>
      </c>
      <c r="R67">
        <v>2025</v>
      </c>
      <c r="T67" t="s">
        <v>783</v>
      </c>
      <c r="U67" t="s">
        <v>783</v>
      </c>
      <c r="V67" s="105">
        <v>-611</v>
      </c>
      <c r="W67" s="42" t="s">
        <v>973</v>
      </c>
      <c r="Y67">
        <v>3</v>
      </c>
      <c r="Z67">
        <v>2025</v>
      </c>
    </row>
    <row r="68" spans="1:26" hidden="1">
      <c r="A68" s="17" t="s">
        <v>971</v>
      </c>
      <c r="B68" s="17">
        <v>45729</v>
      </c>
      <c r="D68" t="s">
        <v>972</v>
      </c>
      <c r="E68" t="s">
        <v>921</v>
      </c>
      <c r="F68" t="s">
        <v>53</v>
      </c>
      <c r="G68" t="s">
        <v>940</v>
      </c>
      <c r="H68" t="s">
        <v>56</v>
      </c>
      <c r="J68" t="s">
        <v>937</v>
      </c>
      <c r="K68" s="9" t="s">
        <v>938</v>
      </c>
      <c r="L68" s="9" t="s">
        <v>925</v>
      </c>
      <c r="M68" s="17" t="s">
        <v>926</v>
      </c>
      <c r="N68" t="s">
        <v>47</v>
      </c>
      <c r="O68" t="s">
        <v>58</v>
      </c>
      <c r="P68" s="17">
        <v>45729</v>
      </c>
      <c r="Q68" s="18">
        <v>3</v>
      </c>
      <c r="R68">
        <v>2025</v>
      </c>
      <c r="T68" t="s">
        <v>783</v>
      </c>
      <c r="U68" t="s">
        <v>783</v>
      </c>
      <c r="V68" s="105">
        <v>-4315</v>
      </c>
      <c r="W68" s="42" t="s">
        <v>973</v>
      </c>
      <c r="Y68">
        <v>3</v>
      </c>
      <c r="Z68">
        <v>2025</v>
      </c>
    </row>
    <row r="69" spans="1:26" hidden="1">
      <c r="A69" s="17" t="s">
        <v>971</v>
      </c>
      <c r="B69" s="17">
        <v>45729</v>
      </c>
      <c r="D69" t="s">
        <v>972</v>
      </c>
      <c r="E69" t="s">
        <v>921</v>
      </c>
      <c r="F69" t="s">
        <v>53</v>
      </c>
      <c r="G69" t="s">
        <v>941</v>
      </c>
      <c r="H69" t="s">
        <v>56</v>
      </c>
      <c r="J69" t="s">
        <v>937</v>
      </c>
      <c r="K69" s="9" t="s">
        <v>938</v>
      </c>
      <c r="L69" s="9" t="s">
        <v>925</v>
      </c>
      <c r="M69" s="17" t="s">
        <v>926</v>
      </c>
      <c r="N69" t="s">
        <v>47</v>
      </c>
      <c r="O69" t="s">
        <v>58</v>
      </c>
      <c r="P69" s="17">
        <v>45729</v>
      </c>
      <c r="Q69" s="18">
        <v>3</v>
      </c>
      <c r="R69">
        <v>2025</v>
      </c>
      <c r="T69" t="s">
        <v>783</v>
      </c>
      <c r="U69" t="s">
        <v>783</v>
      </c>
      <c r="V69" s="105">
        <v>-7855</v>
      </c>
      <c r="W69" s="42" t="s">
        <v>973</v>
      </c>
      <c r="Y69">
        <v>3</v>
      </c>
      <c r="Z69">
        <v>2025</v>
      </c>
    </row>
    <row r="70" spans="1:26" hidden="1">
      <c r="A70" s="17" t="s">
        <v>971</v>
      </c>
      <c r="B70" s="17">
        <v>45729</v>
      </c>
      <c r="D70" t="s">
        <v>972</v>
      </c>
      <c r="E70" t="s">
        <v>921</v>
      </c>
      <c r="F70" t="s">
        <v>53</v>
      </c>
      <c r="G70" t="s">
        <v>942</v>
      </c>
      <c r="H70" t="s">
        <v>56</v>
      </c>
      <c r="J70" t="s">
        <v>937</v>
      </c>
      <c r="K70" s="9" t="s">
        <v>938</v>
      </c>
      <c r="L70" s="9" t="s">
        <v>925</v>
      </c>
      <c r="M70" s="17" t="s">
        <v>926</v>
      </c>
      <c r="N70" t="s">
        <v>47</v>
      </c>
      <c r="O70" t="s">
        <v>58</v>
      </c>
      <c r="P70" s="17">
        <v>45729</v>
      </c>
      <c r="Q70" s="18">
        <v>3</v>
      </c>
      <c r="R70">
        <v>2025</v>
      </c>
      <c r="T70" t="s">
        <v>783</v>
      </c>
      <c r="U70" t="s">
        <v>783</v>
      </c>
      <c r="V70" s="105">
        <v>-110</v>
      </c>
      <c r="W70" s="42" t="s">
        <v>973</v>
      </c>
      <c r="Y70">
        <v>3</v>
      </c>
      <c r="Z70">
        <v>2025</v>
      </c>
    </row>
    <row r="71" spans="1:26" hidden="1">
      <c r="A71" s="17" t="s">
        <v>971</v>
      </c>
      <c r="B71" s="17">
        <v>45729</v>
      </c>
      <c r="D71" t="s">
        <v>972</v>
      </c>
      <c r="E71" t="s">
        <v>921</v>
      </c>
      <c r="F71" t="s">
        <v>53</v>
      </c>
      <c r="G71" t="s">
        <v>915</v>
      </c>
      <c r="H71" t="s">
        <v>56</v>
      </c>
      <c r="J71" t="s">
        <v>937</v>
      </c>
      <c r="K71" s="9" t="s">
        <v>938</v>
      </c>
      <c r="L71" s="9" t="s">
        <v>925</v>
      </c>
      <c r="M71" s="17" t="s">
        <v>926</v>
      </c>
      <c r="N71" t="s">
        <v>47</v>
      </c>
      <c r="O71" t="s">
        <v>58</v>
      </c>
      <c r="P71" s="17">
        <v>45729</v>
      </c>
      <c r="Q71" s="18">
        <v>3</v>
      </c>
      <c r="R71">
        <v>2025</v>
      </c>
      <c r="T71" t="s">
        <v>783</v>
      </c>
      <c r="U71" t="s">
        <v>783</v>
      </c>
      <c r="V71" s="105">
        <v>-3410</v>
      </c>
      <c r="W71" s="42" t="s">
        <v>973</v>
      </c>
      <c r="Y71">
        <v>3</v>
      </c>
      <c r="Z71">
        <v>2025</v>
      </c>
    </row>
    <row r="72" spans="1:26" hidden="1">
      <c r="A72" s="17" t="s">
        <v>971</v>
      </c>
      <c r="B72" s="17">
        <v>45729</v>
      </c>
      <c r="D72" t="s">
        <v>972</v>
      </c>
      <c r="E72" t="s">
        <v>921</v>
      </c>
      <c r="F72" t="s">
        <v>53</v>
      </c>
      <c r="G72" t="s">
        <v>916</v>
      </c>
      <c r="H72" t="s">
        <v>56</v>
      </c>
      <c r="J72" t="s">
        <v>937</v>
      </c>
      <c r="K72" s="9" t="s">
        <v>938</v>
      </c>
      <c r="L72" s="9" t="s">
        <v>925</v>
      </c>
      <c r="M72" s="17" t="s">
        <v>926</v>
      </c>
      <c r="N72" t="s">
        <v>47</v>
      </c>
      <c r="O72" t="s">
        <v>58</v>
      </c>
      <c r="P72" s="17">
        <v>45729</v>
      </c>
      <c r="Q72" s="18">
        <v>3</v>
      </c>
      <c r="R72">
        <v>2025</v>
      </c>
      <c r="T72" t="s">
        <v>783</v>
      </c>
      <c r="U72" t="s">
        <v>783</v>
      </c>
      <c r="V72" s="105">
        <v>-3548</v>
      </c>
      <c r="W72" s="42" t="s">
        <v>973</v>
      </c>
      <c r="Y72">
        <v>3</v>
      </c>
      <c r="Z72">
        <v>2025</v>
      </c>
    </row>
    <row r="73" spans="1:26" hidden="1">
      <c r="A73" s="17" t="s">
        <v>971</v>
      </c>
      <c r="B73" s="17">
        <v>45729</v>
      </c>
      <c r="D73" t="s">
        <v>972</v>
      </c>
      <c r="E73" t="s">
        <v>921</v>
      </c>
      <c r="F73" t="s">
        <v>53</v>
      </c>
      <c r="G73" t="s">
        <v>943</v>
      </c>
      <c r="H73" t="s">
        <v>56</v>
      </c>
      <c r="J73" t="s">
        <v>937</v>
      </c>
      <c r="K73" s="9" t="s">
        <v>938</v>
      </c>
      <c r="L73" s="9" t="s">
        <v>925</v>
      </c>
      <c r="M73" s="17" t="s">
        <v>926</v>
      </c>
      <c r="N73" t="s">
        <v>47</v>
      </c>
      <c r="O73" t="s">
        <v>58</v>
      </c>
      <c r="P73" s="17">
        <v>45729</v>
      </c>
      <c r="Q73" s="18">
        <v>3</v>
      </c>
      <c r="R73">
        <v>2025</v>
      </c>
      <c r="T73" t="s">
        <v>783</v>
      </c>
      <c r="U73" t="s">
        <v>783</v>
      </c>
      <c r="V73" s="105">
        <v>-2356</v>
      </c>
      <c r="W73" s="42" t="s">
        <v>973</v>
      </c>
      <c r="Y73">
        <v>3</v>
      </c>
      <c r="Z73">
        <v>2025</v>
      </c>
    </row>
    <row r="74" spans="1:26" hidden="1">
      <c r="A74" s="17" t="s">
        <v>971</v>
      </c>
      <c r="B74" s="17">
        <v>45729</v>
      </c>
      <c r="D74" t="s">
        <v>972</v>
      </c>
      <c r="E74" t="s">
        <v>921</v>
      </c>
      <c r="F74" t="s">
        <v>53</v>
      </c>
      <c r="G74" t="s">
        <v>944</v>
      </c>
      <c r="H74" t="s">
        <v>56</v>
      </c>
      <c r="J74" t="s">
        <v>937</v>
      </c>
      <c r="K74" s="9" t="s">
        <v>938</v>
      </c>
      <c r="L74" s="9" t="s">
        <v>925</v>
      </c>
      <c r="M74" s="17" t="s">
        <v>926</v>
      </c>
      <c r="N74" t="s">
        <v>47</v>
      </c>
      <c r="O74" t="s">
        <v>58</v>
      </c>
      <c r="P74" s="17">
        <v>45729</v>
      </c>
      <c r="Q74" s="18">
        <v>3</v>
      </c>
      <c r="R74">
        <v>2025</v>
      </c>
      <c r="T74" t="s">
        <v>783</v>
      </c>
      <c r="U74" t="s">
        <v>783</v>
      </c>
      <c r="V74" s="105">
        <v>-1470</v>
      </c>
      <c r="W74" s="42" t="s">
        <v>973</v>
      </c>
      <c r="Y74">
        <v>3</v>
      </c>
      <c r="Z74">
        <v>2025</v>
      </c>
    </row>
    <row r="75" spans="1:26" hidden="1">
      <c r="A75" s="17" t="s">
        <v>971</v>
      </c>
      <c r="B75" s="17">
        <v>45729</v>
      </c>
      <c r="D75" t="s">
        <v>972</v>
      </c>
      <c r="E75" t="s">
        <v>921</v>
      </c>
      <c r="F75" t="s">
        <v>53</v>
      </c>
      <c r="G75" t="s">
        <v>902</v>
      </c>
      <c r="H75" t="s">
        <v>56</v>
      </c>
      <c r="J75" t="s">
        <v>937</v>
      </c>
      <c r="K75" s="9" t="s">
        <v>938</v>
      </c>
      <c r="L75" s="9" t="s">
        <v>925</v>
      </c>
      <c r="M75" s="17" t="s">
        <v>926</v>
      </c>
      <c r="N75" t="s">
        <v>47</v>
      </c>
      <c r="O75" t="s">
        <v>58</v>
      </c>
      <c r="P75" s="17">
        <v>45729</v>
      </c>
      <c r="Q75" s="18">
        <v>3</v>
      </c>
      <c r="R75">
        <v>2025</v>
      </c>
      <c r="T75" t="s">
        <v>783</v>
      </c>
      <c r="U75" t="s">
        <v>783</v>
      </c>
      <c r="V75" s="105">
        <v>-2700</v>
      </c>
      <c r="W75" s="42" t="s">
        <v>973</v>
      </c>
      <c r="Y75">
        <v>3</v>
      </c>
      <c r="Z75">
        <v>2025</v>
      </c>
    </row>
    <row r="76" spans="1:26" hidden="1">
      <c r="A76" s="17" t="s">
        <v>971</v>
      </c>
      <c r="B76" s="17">
        <v>45729</v>
      </c>
      <c r="D76" t="s">
        <v>972</v>
      </c>
      <c r="E76" t="s">
        <v>921</v>
      </c>
      <c r="F76" t="s">
        <v>53</v>
      </c>
      <c r="G76" t="s">
        <v>945</v>
      </c>
      <c r="H76" t="s">
        <v>56</v>
      </c>
      <c r="J76" t="s">
        <v>937</v>
      </c>
      <c r="K76" s="9" t="s">
        <v>938</v>
      </c>
      <c r="L76" s="9" t="s">
        <v>925</v>
      </c>
      <c r="M76" s="17" t="s">
        <v>926</v>
      </c>
      <c r="N76" t="s">
        <v>47</v>
      </c>
      <c r="O76" t="s">
        <v>58</v>
      </c>
      <c r="P76" s="17">
        <v>45729</v>
      </c>
      <c r="Q76" s="18">
        <v>3</v>
      </c>
      <c r="R76">
        <v>2025</v>
      </c>
      <c r="T76" t="s">
        <v>783</v>
      </c>
      <c r="U76" t="s">
        <v>783</v>
      </c>
      <c r="V76" s="105">
        <v>-489</v>
      </c>
      <c r="W76" s="42" t="s">
        <v>973</v>
      </c>
      <c r="Y76">
        <v>3</v>
      </c>
      <c r="Z76">
        <v>2025</v>
      </c>
    </row>
    <row r="77" spans="1:26" hidden="1">
      <c r="A77" s="17" t="s">
        <v>971</v>
      </c>
      <c r="B77" s="17">
        <v>45729</v>
      </c>
      <c r="D77" t="s">
        <v>972</v>
      </c>
      <c r="E77" t="s">
        <v>921</v>
      </c>
      <c r="F77" t="s">
        <v>53</v>
      </c>
      <c r="G77" t="s">
        <v>918</v>
      </c>
      <c r="H77" t="s">
        <v>56</v>
      </c>
      <c r="J77" t="s">
        <v>937</v>
      </c>
      <c r="K77" s="9" t="s">
        <v>938</v>
      </c>
      <c r="L77" s="9" t="s">
        <v>925</v>
      </c>
      <c r="M77" s="17" t="s">
        <v>926</v>
      </c>
      <c r="N77" t="s">
        <v>47</v>
      </c>
      <c r="O77" t="s">
        <v>58</v>
      </c>
      <c r="P77" s="17">
        <v>45729</v>
      </c>
      <c r="Q77" s="18">
        <v>3</v>
      </c>
      <c r="R77">
        <v>2025</v>
      </c>
      <c r="T77" t="s">
        <v>783</v>
      </c>
      <c r="U77" t="s">
        <v>783</v>
      </c>
      <c r="V77" s="105">
        <v>-2935</v>
      </c>
      <c r="W77" s="42" t="s">
        <v>973</v>
      </c>
      <c r="Y77">
        <v>3</v>
      </c>
      <c r="Z77">
        <v>2025</v>
      </c>
    </row>
    <row r="78" spans="1:26" hidden="1">
      <c r="A78" s="17" t="s">
        <v>971</v>
      </c>
      <c r="B78" s="17">
        <v>45729</v>
      </c>
      <c r="D78" t="s">
        <v>972</v>
      </c>
      <c r="E78" t="s">
        <v>921</v>
      </c>
      <c r="F78" t="s">
        <v>53</v>
      </c>
      <c r="G78" t="s">
        <v>946</v>
      </c>
      <c r="H78" t="s">
        <v>56</v>
      </c>
      <c r="J78" t="s">
        <v>937</v>
      </c>
      <c r="K78" s="9" t="s">
        <v>938</v>
      </c>
      <c r="L78" s="9" t="s">
        <v>925</v>
      </c>
      <c r="M78" s="17" t="s">
        <v>926</v>
      </c>
      <c r="N78" t="s">
        <v>47</v>
      </c>
      <c r="O78" t="s">
        <v>58</v>
      </c>
      <c r="P78" s="17">
        <v>45729</v>
      </c>
      <c r="Q78" s="18">
        <v>3</v>
      </c>
      <c r="R78">
        <v>2025</v>
      </c>
      <c r="T78" t="s">
        <v>783</v>
      </c>
      <c r="U78" t="s">
        <v>783</v>
      </c>
      <c r="V78" s="105">
        <v>-5504</v>
      </c>
      <c r="W78" s="42" t="s">
        <v>973</v>
      </c>
      <c r="Y78">
        <v>3</v>
      </c>
      <c r="Z78">
        <v>2025</v>
      </c>
    </row>
    <row r="79" spans="1:26" hidden="1">
      <c r="A79" s="17" t="s">
        <v>971</v>
      </c>
      <c r="B79" s="17">
        <v>45729</v>
      </c>
      <c r="D79" t="s">
        <v>972</v>
      </c>
      <c r="E79" t="s">
        <v>921</v>
      </c>
      <c r="F79" t="s">
        <v>53</v>
      </c>
      <c r="G79" t="s">
        <v>947</v>
      </c>
      <c r="H79" t="s">
        <v>56</v>
      </c>
      <c r="J79" t="s">
        <v>937</v>
      </c>
      <c r="K79" s="9" t="s">
        <v>938</v>
      </c>
      <c r="L79" s="9" t="s">
        <v>925</v>
      </c>
      <c r="M79" s="17" t="s">
        <v>926</v>
      </c>
      <c r="N79" t="s">
        <v>47</v>
      </c>
      <c r="O79" t="s">
        <v>58</v>
      </c>
      <c r="P79" s="17">
        <v>45729</v>
      </c>
      <c r="Q79" s="18">
        <v>3</v>
      </c>
      <c r="R79">
        <v>2025</v>
      </c>
      <c r="T79" t="s">
        <v>783</v>
      </c>
      <c r="U79" t="s">
        <v>783</v>
      </c>
      <c r="V79" s="105">
        <v>-2496</v>
      </c>
      <c r="W79" s="42" t="s">
        <v>973</v>
      </c>
      <c r="Y79">
        <v>3</v>
      </c>
      <c r="Z79">
        <v>2025</v>
      </c>
    </row>
    <row r="80" spans="1:26" hidden="1">
      <c r="A80" s="17" t="s">
        <v>971</v>
      </c>
      <c r="B80" s="17">
        <v>45729</v>
      </c>
      <c r="D80" t="s">
        <v>972</v>
      </c>
      <c r="E80" t="s">
        <v>921</v>
      </c>
      <c r="F80" t="s">
        <v>53</v>
      </c>
      <c r="G80" t="s">
        <v>948</v>
      </c>
      <c r="H80" t="s">
        <v>56</v>
      </c>
      <c r="J80" t="s">
        <v>937</v>
      </c>
      <c r="K80" s="9" t="s">
        <v>938</v>
      </c>
      <c r="L80" s="9" t="s">
        <v>925</v>
      </c>
      <c r="M80" s="17" t="s">
        <v>926</v>
      </c>
      <c r="N80" t="s">
        <v>47</v>
      </c>
      <c r="O80" t="s">
        <v>58</v>
      </c>
      <c r="P80" s="17">
        <v>45729</v>
      </c>
      <c r="Q80" s="18">
        <v>3</v>
      </c>
      <c r="R80">
        <v>2025</v>
      </c>
      <c r="T80" t="s">
        <v>783</v>
      </c>
      <c r="U80" t="s">
        <v>783</v>
      </c>
      <c r="V80" s="105">
        <v>-2053</v>
      </c>
      <c r="W80" s="42" t="s">
        <v>973</v>
      </c>
      <c r="Y80">
        <v>3</v>
      </c>
      <c r="Z80">
        <v>2025</v>
      </c>
    </row>
    <row r="81" spans="1:26" hidden="1">
      <c r="A81" s="17" t="s">
        <v>971</v>
      </c>
      <c r="B81" s="17">
        <v>45729</v>
      </c>
      <c r="D81" t="s">
        <v>972</v>
      </c>
      <c r="E81" t="s">
        <v>921</v>
      </c>
      <c r="F81" t="s">
        <v>53</v>
      </c>
      <c r="G81" t="s">
        <v>908</v>
      </c>
      <c r="H81" t="s">
        <v>56</v>
      </c>
      <c r="J81" t="s">
        <v>937</v>
      </c>
      <c r="K81" s="9" t="s">
        <v>938</v>
      </c>
      <c r="L81" s="9" t="s">
        <v>925</v>
      </c>
      <c r="M81" s="17" t="s">
        <v>926</v>
      </c>
      <c r="N81" t="s">
        <v>47</v>
      </c>
      <c r="O81" t="s">
        <v>58</v>
      </c>
      <c r="P81" s="17">
        <v>45729</v>
      </c>
      <c r="Q81" s="18">
        <v>3</v>
      </c>
      <c r="R81">
        <v>2025</v>
      </c>
      <c r="T81" t="s">
        <v>783</v>
      </c>
      <c r="U81" t="s">
        <v>783</v>
      </c>
      <c r="V81" s="105">
        <v>-2990</v>
      </c>
      <c r="W81" s="42" t="s">
        <v>973</v>
      </c>
      <c r="Y81">
        <v>3</v>
      </c>
      <c r="Z81">
        <v>2025</v>
      </c>
    </row>
    <row r="82" spans="1:26" hidden="1">
      <c r="A82" s="17" t="s">
        <v>971</v>
      </c>
      <c r="B82" s="17">
        <v>45729</v>
      </c>
      <c r="D82" t="s">
        <v>972</v>
      </c>
      <c r="E82" t="s">
        <v>921</v>
      </c>
      <c r="F82" t="s">
        <v>53</v>
      </c>
      <c r="G82" t="s">
        <v>949</v>
      </c>
      <c r="H82" t="s">
        <v>56</v>
      </c>
      <c r="J82" t="s">
        <v>937</v>
      </c>
      <c r="K82" s="9" t="s">
        <v>938</v>
      </c>
      <c r="L82" s="9" t="s">
        <v>925</v>
      </c>
      <c r="M82" s="17" t="s">
        <v>926</v>
      </c>
      <c r="N82" t="s">
        <v>47</v>
      </c>
      <c r="O82" t="s">
        <v>58</v>
      </c>
      <c r="P82" s="17">
        <v>45729</v>
      </c>
      <c r="Q82" s="18">
        <v>3</v>
      </c>
      <c r="R82">
        <v>2025</v>
      </c>
      <c r="T82" t="s">
        <v>783</v>
      </c>
      <c r="U82" t="s">
        <v>783</v>
      </c>
      <c r="V82" s="105">
        <v>-6481</v>
      </c>
      <c r="W82" s="42" t="s">
        <v>973</v>
      </c>
      <c r="Y82">
        <v>3</v>
      </c>
      <c r="Z82">
        <v>2025</v>
      </c>
    </row>
    <row r="83" spans="1:26" hidden="1">
      <c r="A83" s="17" t="s">
        <v>971</v>
      </c>
      <c r="B83" s="17">
        <v>45729</v>
      </c>
      <c r="D83" t="s">
        <v>972</v>
      </c>
      <c r="E83" t="s">
        <v>921</v>
      </c>
      <c r="F83" t="s">
        <v>53</v>
      </c>
      <c r="G83" t="s">
        <v>950</v>
      </c>
      <c r="H83" t="s">
        <v>56</v>
      </c>
      <c r="J83" t="s">
        <v>937</v>
      </c>
      <c r="K83" s="9" t="s">
        <v>938</v>
      </c>
      <c r="L83" s="9" t="s">
        <v>925</v>
      </c>
      <c r="M83" s="17" t="s">
        <v>926</v>
      </c>
      <c r="N83" t="s">
        <v>47</v>
      </c>
      <c r="O83" t="s">
        <v>58</v>
      </c>
      <c r="P83" s="17">
        <v>45729</v>
      </c>
      <c r="Q83" s="18">
        <v>3</v>
      </c>
      <c r="R83">
        <v>2025</v>
      </c>
      <c r="T83" t="s">
        <v>783</v>
      </c>
      <c r="U83" t="s">
        <v>783</v>
      </c>
      <c r="V83" s="105">
        <v>-2516</v>
      </c>
      <c r="W83" s="42" t="s">
        <v>973</v>
      </c>
      <c r="Y83">
        <v>3</v>
      </c>
      <c r="Z83">
        <v>2025</v>
      </c>
    </row>
    <row r="84" spans="1:26" hidden="1">
      <c r="A84" s="17" t="s">
        <v>971</v>
      </c>
      <c r="B84" s="17">
        <v>45729</v>
      </c>
      <c r="D84" t="s">
        <v>972</v>
      </c>
      <c r="E84" t="s">
        <v>921</v>
      </c>
      <c r="F84" t="s">
        <v>53</v>
      </c>
      <c r="G84" t="s">
        <v>951</v>
      </c>
      <c r="H84" t="s">
        <v>56</v>
      </c>
      <c r="J84" t="s">
        <v>937</v>
      </c>
      <c r="K84" s="9" t="s">
        <v>938</v>
      </c>
      <c r="L84" s="9" t="s">
        <v>925</v>
      </c>
      <c r="M84" s="17" t="s">
        <v>926</v>
      </c>
      <c r="N84" t="s">
        <v>47</v>
      </c>
      <c r="O84" t="s">
        <v>58</v>
      </c>
      <c r="P84" s="17">
        <v>45729</v>
      </c>
      <c r="Q84" s="18">
        <v>3</v>
      </c>
      <c r="R84">
        <v>2025</v>
      </c>
      <c r="T84" t="s">
        <v>783</v>
      </c>
      <c r="U84" t="s">
        <v>783</v>
      </c>
      <c r="V84" s="105">
        <v>-6519</v>
      </c>
      <c r="W84" s="42" t="s">
        <v>973</v>
      </c>
      <c r="Y84">
        <v>3</v>
      </c>
      <c r="Z84">
        <v>2025</v>
      </c>
    </row>
    <row r="85" spans="1:26" hidden="1">
      <c r="A85" s="17" t="s">
        <v>971</v>
      </c>
      <c r="B85" s="17">
        <v>45729</v>
      </c>
      <c r="D85" t="s">
        <v>972</v>
      </c>
      <c r="E85" t="s">
        <v>921</v>
      </c>
      <c r="F85" t="s">
        <v>53</v>
      </c>
      <c r="G85" t="s">
        <v>952</v>
      </c>
      <c r="H85" t="s">
        <v>56</v>
      </c>
      <c r="J85" t="s">
        <v>937</v>
      </c>
      <c r="K85" s="9" t="s">
        <v>938</v>
      </c>
      <c r="L85" s="9" t="s">
        <v>925</v>
      </c>
      <c r="M85" s="17" t="s">
        <v>926</v>
      </c>
      <c r="N85" t="s">
        <v>47</v>
      </c>
      <c r="O85" t="s">
        <v>58</v>
      </c>
      <c r="P85" s="17">
        <v>45729</v>
      </c>
      <c r="Q85" s="18">
        <v>3</v>
      </c>
      <c r="R85">
        <v>2025</v>
      </c>
      <c r="T85" t="s">
        <v>783</v>
      </c>
      <c r="U85" t="s">
        <v>783</v>
      </c>
      <c r="V85" s="105">
        <v>-3247</v>
      </c>
      <c r="W85" s="42" t="s">
        <v>973</v>
      </c>
      <c r="Y85">
        <v>3</v>
      </c>
      <c r="Z85">
        <v>2025</v>
      </c>
    </row>
    <row r="86" spans="1:26" hidden="1">
      <c r="A86" s="17" t="s">
        <v>971</v>
      </c>
      <c r="B86" s="17">
        <v>45729</v>
      </c>
      <c r="D86" t="s">
        <v>972</v>
      </c>
      <c r="E86" t="s">
        <v>921</v>
      </c>
      <c r="F86" t="s">
        <v>53</v>
      </c>
      <c r="G86" t="s">
        <v>953</v>
      </c>
      <c r="H86" t="s">
        <v>56</v>
      </c>
      <c r="J86" t="s">
        <v>937</v>
      </c>
      <c r="K86" s="9" t="s">
        <v>938</v>
      </c>
      <c r="L86" s="9" t="s">
        <v>925</v>
      </c>
      <c r="M86" s="17" t="s">
        <v>926</v>
      </c>
      <c r="N86" t="s">
        <v>47</v>
      </c>
      <c r="O86" t="s">
        <v>58</v>
      </c>
      <c r="P86" s="17">
        <v>45729</v>
      </c>
      <c r="Q86" s="18">
        <v>3</v>
      </c>
      <c r="R86">
        <v>2025</v>
      </c>
      <c r="T86" t="s">
        <v>783</v>
      </c>
      <c r="U86" t="s">
        <v>783</v>
      </c>
      <c r="V86" s="105">
        <v>-1951</v>
      </c>
      <c r="W86" s="42" t="s">
        <v>973</v>
      </c>
      <c r="Y86">
        <v>3</v>
      </c>
      <c r="Z86">
        <v>2025</v>
      </c>
    </row>
    <row r="87" spans="1:26" hidden="1">
      <c r="A87" s="17" t="s">
        <v>971</v>
      </c>
      <c r="B87" s="17">
        <v>45729</v>
      </c>
      <c r="D87" t="s">
        <v>972</v>
      </c>
      <c r="E87" t="s">
        <v>921</v>
      </c>
      <c r="F87" t="s">
        <v>53</v>
      </c>
      <c r="G87" t="s">
        <v>954</v>
      </c>
      <c r="H87" t="s">
        <v>56</v>
      </c>
      <c r="J87" t="s">
        <v>937</v>
      </c>
      <c r="K87" s="9" t="s">
        <v>938</v>
      </c>
      <c r="L87" s="9" t="s">
        <v>925</v>
      </c>
      <c r="M87" s="17" t="s">
        <v>926</v>
      </c>
      <c r="N87" t="s">
        <v>47</v>
      </c>
      <c r="O87" t="s">
        <v>58</v>
      </c>
      <c r="P87" s="17">
        <v>45729</v>
      </c>
      <c r="Q87" s="18">
        <v>3</v>
      </c>
      <c r="R87">
        <v>2025</v>
      </c>
      <c r="T87" t="s">
        <v>783</v>
      </c>
      <c r="U87" t="s">
        <v>783</v>
      </c>
      <c r="V87" s="105">
        <v>-2424</v>
      </c>
      <c r="W87" s="42" t="s">
        <v>973</v>
      </c>
      <c r="Y87">
        <v>3</v>
      </c>
      <c r="Z87">
        <v>2025</v>
      </c>
    </row>
    <row r="88" spans="1:26" hidden="1">
      <c r="A88" s="17" t="s">
        <v>971</v>
      </c>
      <c r="B88" s="17">
        <v>45729</v>
      </c>
      <c r="D88" t="s">
        <v>972</v>
      </c>
      <c r="E88" t="s">
        <v>921</v>
      </c>
      <c r="F88" t="s">
        <v>53</v>
      </c>
      <c r="G88" t="s">
        <v>955</v>
      </c>
      <c r="H88" t="s">
        <v>56</v>
      </c>
      <c r="J88" t="s">
        <v>937</v>
      </c>
      <c r="K88" s="9" t="s">
        <v>938</v>
      </c>
      <c r="L88" s="9" t="s">
        <v>925</v>
      </c>
      <c r="M88" s="17" t="s">
        <v>926</v>
      </c>
      <c r="N88" t="s">
        <v>47</v>
      </c>
      <c r="O88" t="s">
        <v>58</v>
      </c>
      <c r="P88" s="17">
        <v>45729</v>
      </c>
      <c r="Q88" s="18">
        <v>3</v>
      </c>
      <c r="R88">
        <v>2025</v>
      </c>
      <c r="T88" t="s">
        <v>783</v>
      </c>
      <c r="U88" t="s">
        <v>783</v>
      </c>
      <c r="V88" s="105">
        <v>-2790</v>
      </c>
      <c r="W88" s="42" t="s">
        <v>973</v>
      </c>
      <c r="Y88">
        <v>3</v>
      </c>
      <c r="Z88">
        <v>2025</v>
      </c>
    </row>
    <row r="89" spans="1:26" hidden="1">
      <c r="A89" s="17" t="s">
        <v>971</v>
      </c>
      <c r="B89" s="17">
        <v>45729</v>
      </c>
      <c r="D89" t="s">
        <v>972</v>
      </c>
      <c r="E89" t="s">
        <v>921</v>
      </c>
      <c r="F89" t="s">
        <v>53</v>
      </c>
      <c r="G89" t="s">
        <v>956</v>
      </c>
      <c r="H89" t="s">
        <v>56</v>
      </c>
      <c r="J89" t="s">
        <v>937</v>
      </c>
      <c r="K89" s="9" t="s">
        <v>938</v>
      </c>
      <c r="L89" s="9" t="s">
        <v>925</v>
      </c>
      <c r="M89" s="17" t="s">
        <v>926</v>
      </c>
      <c r="N89" t="s">
        <v>47</v>
      </c>
      <c r="O89" t="s">
        <v>58</v>
      </c>
      <c r="P89" s="17">
        <v>45729</v>
      </c>
      <c r="Q89" s="18">
        <v>3</v>
      </c>
      <c r="R89">
        <v>2025</v>
      </c>
      <c r="T89" t="s">
        <v>783</v>
      </c>
      <c r="U89" t="s">
        <v>783</v>
      </c>
      <c r="V89" s="105">
        <v>-2672</v>
      </c>
      <c r="W89" s="42" t="s">
        <v>973</v>
      </c>
      <c r="Y89">
        <v>3</v>
      </c>
      <c r="Z89">
        <v>2025</v>
      </c>
    </row>
    <row r="90" spans="1:26" hidden="1">
      <c r="A90" s="17" t="s">
        <v>971</v>
      </c>
      <c r="B90" s="17">
        <v>45729</v>
      </c>
      <c r="D90" t="s">
        <v>972</v>
      </c>
      <c r="E90" t="s">
        <v>921</v>
      </c>
      <c r="F90" t="s">
        <v>53</v>
      </c>
      <c r="G90" t="s">
        <v>957</v>
      </c>
      <c r="H90" t="s">
        <v>56</v>
      </c>
      <c r="J90" t="s">
        <v>937</v>
      </c>
      <c r="K90" s="9" t="s">
        <v>938</v>
      </c>
      <c r="L90" s="9" t="s">
        <v>925</v>
      </c>
      <c r="M90" s="17" t="s">
        <v>926</v>
      </c>
      <c r="N90" t="s">
        <v>47</v>
      </c>
      <c r="O90" t="s">
        <v>58</v>
      </c>
      <c r="P90" s="17">
        <v>45729</v>
      </c>
      <c r="Q90" s="18">
        <v>3</v>
      </c>
      <c r="R90">
        <v>2025</v>
      </c>
      <c r="T90" t="s">
        <v>783</v>
      </c>
      <c r="U90" t="s">
        <v>783</v>
      </c>
      <c r="V90" s="105">
        <v>-2984</v>
      </c>
      <c r="W90" s="42" t="s">
        <v>973</v>
      </c>
      <c r="Y90">
        <v>3</v>
      </c>
      <c r="Z90">
        <v>2025</v>
      </c>
    </row>
    <row r="91" spans="1:26" hidden="1">
      <c r="A91" s="17" t="s">
        <v>971</v>
      </c>
      <c r="B91" s="17">
        <v>45729</v>
      </c>
      <c r="D91" t="s">
        <v>972</v>
      </c>
      <c r="E91" t="s">
        <v>921</v>
      </c>
      <c r="F91" t="s">
        <v>53</v>
      </c>
      <c r="G91" t="s">
        <v>958</v>
      </c>
      <c r="H91" t="s">
        <v>56</v>
      </c>
      <c r="J91" t="s">
        <v>937</v>
      </c>
      <c r="K91" s="9" t="s">
        <v>938</v>
      </c>
      <c r="L91" s="9" t="s">
        <v>925</v>
      </c>
      <c r="M91" s="17" t="s">
        <v>926</v>
      </c>
      <c r="N91" t="s">
        <v>47</v>
      </c>
      <c r="O91" t="s">
        <v>58</v>
      </c>
      <c r="P91" s="17">
        <v>45729</v>
      </c>
      <c r="Q91" s="18">
        <v>3</v>
      </c>
      <c r="R91">
        <v>2025</v>
      </c>
      <c r="T91" t="s">
        <v>783</v>
      </c>
      <c r="U91" t="s">
        <v>783</v>
      </c>
      <c r="V91" s="105">
        <v>-1425</v>
      </c>
      <c r="W91" s="42" t="s">
        <v>973</v>
      </c>
      <c r="Y91">
        <v>3</v>
      </c>
      <c r="Z91">
        <v>2025</v>
      </c>
    </row>
    <row r="92" spans="1:26" hidden="1">
      <c r="A92" s="17" t="s">
        <v>971</v>
      </c>
      <c r="B92" s="17">
        <v>45729</v>
      </c>
      <c r="D92" t="s">
        <v>972</v>
      </c>
      <c r="E92" t="s">
        <v>921</v>
      </c>
      <c r="F92" t="s">
        <v>53</v>
      </c>
      <c r="G92" t="s">
        <v>959</v>
      </c>
      <c r="H92" t="s">
        <v>56</v>
      </c>
      <c r="J92" t="s">
        <v>937</v>
      </c>
      <c r="K92" s="9" t="s">
        <v>938</v>
      </c>
      <c r="L92" s="9" t="s">
        <v>925</v>
      </c>
      <c r="M92" s="17" t="s">
        <v>926</v>
      </c>
      <c r="N92" t="s">
        <v>47</v>
      </c>
      <c r="O92" t="s">
        <v>58</v>
      </c>
      <c r="P92" s="17">
        <v>45729</v>
      </c>
      <c r="Q92" s="18">
        <v>3</v>
      </c>
      <c r="R92">
        <v>2025</v>
      </c>
      <c r="T92" t="s">
        <v>783</v>
      </c>
      <c r="U92" t="s">
        <v>783</v>
      </c>
      <c r="V92" s="105">
        <v>-3737</v>
      </c>
      <c r="W92" s="42" t="s">
        <v>973</v>
      </c>
      <c r="Y92">
        <v>3</v>
      </c>
      <c r="Z92">
        <v>2025</v>
      </c>
    </row>
    <row r="93" spans="1:26" hidden="1">
      <c r="A93" s="17" t="s">
        <v>971</v>
      </c>
      <c r="B93" s="17">
        <v>45729</v>
      </c>
      <c r="D93" t="s">
        <v>972</v>
      </c>
      <c r="E93" t="s">
        <v>921</v>
      </c>
      <c r="F93" t="s">
        <v>53</v>
      </c>
      <c r="G93" t="s">
        <v>960</v>
      </c>
      <c r="H93" t="s">
        <v>56</v>
      </c>
      <c r="J93" t="s">
        <v>937</v>
      </c>
      <c r="K93" s="9" t="s">
        <v>938</v>
      </c>
      <c r="L93" s="9" t="s">
        <v>925</v>
      </c>
      <c r="M93" s="17" t="s">
        <v>926</v>
      </c>
      <c r="N93" t="s">
        <v>47</v>
      </c>
      <c r="O93" t="s">
        <v>58</v>
      </c>
      <c r="P93" s="17">
        <v>45729</v>
      </c>
      <c r="Q93" s="18">
        <v>3</v>
      </c>
      <c r="R93">
        <v>2025</v>
      </c>
      <c r="T93" t="s">
        <v>783</v>
      </c>
      <c r="U93" t="s">
        <v>783</v>
      </c>
      <c r="V93" s="105">
        <v>-1331</v>
      </c>
      <c r="W93" s="42" t="s">
        <v>973</v>
      </c>
      <c r="Y93">
        <v>3</v>
      </c>
      <c r="Z93">
        <v>2025</v>
      </c>
    </row>
    <row r="94" spans="1:26" hidden="1">
      <c r="A94" s="17" t="s">
        <v>971</v>
      </c>
      <c r="B94" s="17">
        <v>45729</v>
      </c>
      <c r="D94" t="s">
        <v>972</v>
      </c>
      <c r="E94" t="s">
        <v>921</v>
      </c>
      <c r="F94" t="s">
        <v>53</v>
      </c>
      <c r="G94" t="s">
        <v>961</v>
      </c>
      <c r="H94" t="s">
        <v>56</v>
      </c>
      <c r="J94" t="s">
        <v>937</v>
      </c>
      <c r="K94" s="9" t="s">
        <v>938</v>
      </c>
      <c r="L94" s="9" t="s">
        <v>925</v>
      </c>
      <c r="M94" s="17" t="s">
        <v>926</v>
      </c>
      <c r="N94" t="s">
        <v>47</v>
      </c>
      <c r="O94" t="s">
        <v>58</v>
      </c>
      <c r="P94" s="17">
        <v>45729</v>
      </c>
      <c r="Q94" s="18">
        <v>3</v>
      </c>
      <c r="R94">
        <v>2025</v>
      </c>
      <c r="T94" t="s">
        <v>783</v>
      </c>
      <c r="U94" t="s">
        <v>783</v>
      </c>
      <c r="V94" s="105">
        <v>-1415</v>
      </c>
      <c r="W94" s="42" t="s">
        <v>973</v>
      </c>
      <c r="Y94">
        <v>3</v>
      </c>
      <c r="Z94">
        <v>2025</v>
      </c>
    </row>
    <row r="95" spans="1:26" hidden="1">
      <c r="A95" s="17" t="s">
        <v>971</v>
      </c>
      <c r="B95" s="17">
        <v>45729</v>
      </c>
      <c r="D95" t="s">
        <v>972</v>
      </c>
      <c r="E95" t="s">
        <v>921</v>
      </c>
      <c r="F95" t="s">
        <v>53</v>
      </c>
      <c r="G95" t="s">
        <v>962</v>
      </c>
      <c r="H95" t="s">
        <v>56</v>
      </c>
      <c r="J95" t="s">
        <v>937</v>
      </c>
      <c r="K95" s="9" t="s">
        <v>938</v>
      </c>
      <c r="L95" s="9" t="s">
        <v>925</v>
      </c>
      <c r="M95" s="17" t="s">
        <v>926</v>
      </c>
      <c r="N95" t="s">
        <v>47</v>
      </c>
      <c r="O95" t="s">
        <v>58</v>
      </c>
      <c r="P95" s="17">
        <v>45729</v>
      </c>
      <c r="Q95" s="18">
        <v>3</v>
      </c>
      <c r="R95">
        <v>2025</v>
      </c>
      <c r="T95" t="s">
        <v>783</v>
      </c>
      <c r="U95" t="s">
        <v>783</v>
      </c>
      <c r="V95" s="105">
        <v>-15267</v>
      </c>
      <c r="W95" s="42" t="s">
        <v>973</v>
      </c>
      <c r="Y95">
        <v>3</v>
      </c>
      <c r="Z95">
        <v>2025</v>
      </c>
    </row>
    <row r="96" spans="1:26" hidden="1">
      <c r="A96" s="17" t="s">
        <v>971</v>
      </c>
      <c r="B96" s="17">
        <v>45729</v>
      </c>
      <c r="D96" t="s">
        <v>972</v>
      </c>
      <c r="E96" t="s">
        <v>921</v>
      </c>
      <c r="F96" t="s">
        <v>53</v>
      </c>
      <c r="G96" t="s">
        <v>917</v>
      </c>
      <c r="H96" t="s">
        <v>56</v>
      </c>
      <c r="J96" t="s">
        <v>937</v>
      </c>
      <c r="K96" s="9" t="s">
        <v>938</v>
      </c>
      <c r="L96" s="9" t="s">
        <v>925</v>
      </c>
      <c r="M96" s="17" t="s">
        <v>926</v>
      </c>
      <c r="N96" t="s">
        <v>47</v>
      </c>
      <c r="O96" t="s">
        <v>58</v>
      </c>
      <c r="P96" s="17">
        <v>45729</v>
      </c>
      <c r="Q96" s="18">
        <v>3</v>
      </c>
      <c r="R96">
        <v>2025</v>
      </c>
      <c r="T96" t="s">
        <v>783</v>
      </c>
      <c r="U96" t="s">
        <v>783</v>
      </c>
      <c r="V96" s="105">
        <v>-2500</v>
      </c>
      <c r="W96" s="42" t="s">
        <v>973</v>
      </c>
      <c r="Y96">
        <v>3</v>
      </c>
      <c r="Z96">
        <v>2025</v>
      </c>
    </row>
    <row r="97" spans="1:26" hidden="1">
      <c r="A97" s="17" t="s">
        <v>971</v>
      </c>
      <c r="B97" s="17">
        <v>45729</v>
      </c>
      <c r="D97" t="s">
        <v>972</v>
      </c>
      <c r="E97" t="s">
        <v>921</v>
      </c>
      <c r="F97" t="s">
        <v>53</v>
      </c>
      <c r="G97" t="s">
        <v>963</v>
      </c>
      <c r="H97" t="s">
        <v>56</v>
      </c>
      <c r="J97" t="s">
        <v>937</v>
      </c>
      <c r="K97" s="9" t="s">
        <v>938</v>
      </c>
      <c r="L97" s="9" t="s">
        <v>925</v>
      </c>
      <c r="M97" s="17" t="s">
        <v>926</v>
      </c>
      <c r="N97" t="s">
        <v>47</v>
      </c>
      <c r="O97" t="s">
        <v>58</v>
      </c>
      <c r="P97" s="17">
        <v>45729</v>
      </c>
      <c r="Q97" s="18">
        <v>3</v>
      </c>
      <c r="R97">
        <v>2025</v>
      </c>
      <c r="T97" t="s">
        <v>783</v>
      </c>
      <c r="U97" t="s">
        <v>783</v>
      </c>
      <c r="V97" s="105">
        <v>-2284</v>
      </c>
      <c r="W97" s="42" t="s">
        <v>973</v>
      </c>
      <c r="Y97">
        <v>3</v>
      </c>
      <c r="Z97">
        <v>2025</v>
      </c>
    </row>
    <row r="98" spans="1:26" hidden="1">
      <c r="A98" s="17" t="s">
        <v>971</v>
      </c>
      <c r="B98" s="17">
        <v>45729</v>
      </c>
      <c r="D98" t="s">
        <v>972</v>
      </c>
      <c r="E98" t="s">
        <v>921</v>
      </c>
      <c r="F98" t="s">
        <v>53</v>
      </c>
      <c r="G98" t="s">
        <v>964</v>
      </c>
      <c r="H98" t="s">
        <v>56</v>
      </c>
      <c r="J98" t="s">
        <v>937</v>
      </c>
      <c r="K98" s="9" t="s">
        <v>938</v>
      </c>
      <c r="L98" s="9" t="s">
        <v>925</v>
      </c>
      <c r="M98" s="17" t="s">
        <v>926</v>
      </c>
      <c r="N98" t="s">
        <v>47</v>
      </c>
      <c r="O98" t="s">
        <v>58</v>
      </c>
      <c r="P98" s="17">
        <v>45729</v>
      </c>
      <c r="Q98" s="18">
        <v>3</v>
      </c>
      <c r="R98">
        <v>2025</v>
      </c>
      <c r="T98" t="s">
        <v>783</v>
      </c>
      <c r="U98" t="s">
        <v>783</v>
      </c>
      <c r="V98" s="105">
        <v>-91</v>
      </c>
      <c r="W98" s="42" t="s">
        <v>973</v>
      </c>
      <c r="Y98">
        <v>3</v>
      </c>
      <c r="Z98">
        <v>2025</v>
      </c>
    </row>
    <row r="99" spans="1:26" hidden="1">
      <c r="A99" s="17" t="s">
        <v>971</v>
      </c>
      <c r="B99" s="17">
        <v>45729</v>
      </c>
      <c r="D99" t="s">
        <v>972</v>
      </c>
      <c r="E99" t="s">
        <v>921</v>
      </c>
      <c r="F99" t="s">
        <v>53</v>
      </c>
      <c r="G99" t="s">
        <v>965</v>
      </c>
      <c r="H99" t="s">
        <v>56</v>
      </c>
      <c r="J99" t="s">
        <v>937</v>
      </c>
      <c r="K99" s="9" t="s">
        <v>938</v>
      </c>
      <c r="L99" s="9" t="s">
        <v>925</v>
      </c>
      <c r="M99" s="17" t="s">
        <v>926</v>
      </c>
      <c r="N99" t="s">
        <v>47</v>
      </c>
      <c r="O99" t="s">
        <v>58</v>
      </c>
      <c r="P99" s="17">
        <v>45729</v>
      </c>
      <c r="Q99" s="18">
        <v>3</v>
      </c>
      <c r="R99">
        <v>2025</v>
      </c>
      <c r="T99" t="s">
        <v>783</v>
      </c>
      <c r="U99" t="s">
        <v>783</v>
      </c>
      <c r="V99" s="105">
        <v>-2035</v>
      </c>
      <c r="W99" s="42" t="s">
        <v>973</v>
      </c>
      <c r="Y99">
        <v>3</v>
      </c>
      <c r="Z99">
        <v>2025</v>
      </c>
    </row>
    <row r="100" spans="1:26" hidden="1">
      <c r="A100" s="17" t="s">
        <v>971</v>
      </c>
      <c r="B100" s="17">
        <v>45729</v>
      </c>
      <c r="D100" t="s">
        <v>972</v>
      </c>
      <c r="E100" t="s">
        <v>921</v>
      </c>
      <c r="F100" t="s">
        <v>53</v>
      </c>
      <c r="G100" t="s">
        <v>966</v>
      </c>
      <c r="H100" t="s">
        <v>56</v>
      </c>
      <c r="J100" t="s">
        <v>937</v>
      </c>
      <c r="K100" s="9" t="s">
        <v>938</v>
      </c>
      <c r="L100" s="9" t="s">
        <v>925</v>
      </c>
      <c r="M100" s="17" t="s">
        <v>926</v>
      </c>
      <c r="N100" t="s">
        <v>47</v>
      </c>
      <c r="O100" t="s">
        <v>58</v>
      </c>
      <c r="P100" s="17">
        <v>45729</v>
      </c>
      <c r="Q100" s="18">
        <v>3</v>
      </c>
      <c r="R100">
        <v>2025</v>
      </c>
      <c r="T100" t="s">
        <v>783</v>
      </c>
      <c r="U100" t="s">
        <v>783</v>
      </c>
      <c r="V100" s="105">
        <v>-289</v>
      </c>
      <c r="W100" s="42" t="s">
        <v>973</v>
      </c>
      <c r="Y100">
        <v>3</v>
      </c>
      <c r="Z100">
        <v>2025</v>
      </c>
    </row>
    <row r="101" spans="1:26" hidden="1">
      <c r="A101" s="17" t="s">
        <v>971</v>
      </c>
      <c r="B101" s="17">
        <v>45729</v>
      </c>
      <c r="D101" t="s">
        <v>972</v>
      </c>
      <c r="E101" t="s">
        <v>921</v>
      </c>
      <c r="F101" t="s">
        <v>53</v>
      </c>
      <c r="G101" t="s">
        <v>909</v>
      </c>
      <c r="H101" t="s">
        <v>56</v>
      </c>
      <c r="J101" t="s">
        <v>937</v>
      </c>
      <c r="K101" s="9" t="s">
        <v>938</v>
      </c>
      <c r="L101" s="9" t="s">
        <v>925</v>
      </c>
      <c r="M101" s="17" t="s">
        <v>926</v>
      </c>
      <c r="N101" t="s">
        <v>47</v>
      </c>
      <c r="O101" t="s">
        <v>58</v>
      </c>
      <c r="P101" s="17">
        <v>45729</v>
      </c>
      <c r="Q101" s="18">
        <v>3</v>
      </c>
      <c r="R101">
        <v>2025</v>
      </c>
      <c r="T101" t="s">
        <v>783</v>
      </c>
      <c r="U101" t="s">
        <v>783</v>
      </c>
      <c r="V101" s="105">
        <v>-2936</v>
      </c>
      <c r="W101" s="42" t="s">
        <v>973</v>
      </c>
      <c r="Y101">
        <v>3</v>
      </c>
      <c r="Z101">
        <v>2025</v>
      </c>
    </row>
    <row r="102" spans="1:26" hidden="1">
      <c r="A102" s="17" t="s">
        <v>971</v>
      </c>
      <c r="B102" s="17">
        <v>45729</v>
      </c>
      <c r="D102" t="s">
        <v>972</v>
      </c>
      <c r="E102" t="s">
        <v>921</v>
      </c>
      <c r="F102" t="s">
        <v>53</v>
      </c>
      <c r="G102" t="s">
        <v>967</v>
      </c>
      <c r="H102" t="s">
        <v>56</v>
      </c>
      <c r="J102" t="s">
        <v>937</v>
      </c>
      <c r="K102" s="9" t="s">
        <v>938</v>
      </c>
      <c r="L102" s="9" t="s">
        <v>925</v>
      </c>
      <c r="M102" s="17" t="s">
        <v>926</v>
      </c>
      <c r="N102" t="s">
        <v>47</v>
      </c>
      <c r="O102" t="s">
        <v>58</v>
      </c>
      <c r="P102" s="17">
        <v>45729</v>
      </c>
      <c r="Q102" s="18">
        <v>3</v>
      </c>
      <c r="R102">
        <v>2025</v>
      </c>
      <c r="T102" t="s">
        <v>783</v>
      </c>
      <c r="U102" t="s">
        <v>783</v>
      </c>
      <c r="V102" s="105">
        <v>-2190</v>
      </c>
      <c r="W102" s="42" t="s">
        <v>973</v>
      </c>
      <c r="Y102">
        <v>3</v>
      </c>
      <c r="Z102">
        <v>2025</v>
      </c>
    </row>
    <row r="103" spans="1:26" hidden="1">
      <c r="A103" s="17" t="s">
        <v>971</v>
      </c>
      <c r="B103" s="17">
        <v>45729</v>
      </c>
      <c r="D103" t="s">
        <v>972</v>
      </c>
      <c r="E103" t="s">
        <v>921</v>
      </c>
      <c r="F103" t="s">
        <v>53</v>
      </c>
      <c r="G103" t="s">
        <v>968</v>
      </c>
      <c r="H103" t="s">
        <v>56</v>
      </c>
      <c r="J103" t="s">
        <v>937</v>
      </c>
      <c r="K103" s="9" t="s">
        <v>938</v>
      </c>
      <c r="L103" s="9" t="s">
        <v>925</v>
      </c>
      <c r="M103" s="17" t="s">
        <v>926</v>
      </c>
      <c r="N103" t="s">
        <v>47</v>
      </c>
      <c r="O103" t="s">
        <v>58</v>
      </c>
      <c r="P103" s="17">
        <v>45729</v>
      </c>
      <c r="Q103" s="18">
        <v>3</v>
      </c>
      <c r="R103">
        <v>2025</v>
      </c>
      <c r="T103" t="s">
        <v>783</v>
      </c>
      <c r="U103" t="s">
        <v>783</v>
      </c>
      <c r="V103" s="105">
        <v>-2677</v>
      </c>
      <c r="W103" s="42" t="s">
        <v>973</v>
      </c>
      <c r="Y103">
        <v>3</v>
      </c>
      <c r="Z103">
        <v>2025</v>
      </c>
    </row>
    <row r="104" spans="1:26" hidden="1">
      <c r="A104" s="17" t="s">
        <v>971</v>
      </c>
      <c r="B104" s="17">
        <v>45729</v>
      </c>
      <c r="D104" t="s">
        <v>972</v>
      </c>
      <c r="E104" t="s">
        <v>921</v>
      </c>
      <c r="F104" t="s">
        <v>53</v>
      </c>
      <c r="G104" t="s">
        <v>969</v>
      </c>
      <c r="H104" t="s">
        <v>56</v>
      </c>
      <c r="J104" t="s">
        <v>937</v>
      </c>
      <c r="K104" s="9" t="s">
        <v>938</v>
      </c>
      <c r="L104" s="9" t="s">
        <v>925</v>
      </c>
      <c r="M104" s="17" t="s">
        <v>926</v>
      </c>
      <c r="N104" t="s">
        <v>47</v>
      </c>
      <c r="O104" t="s">
        <v>58</v>
      </c>
      <c r="P104" s="17">
        <v>45729</v>
      </c>
      <c r="Q104" s="18">
        <v>3</v>
      </c>
      <c r="R104">
        <v>2025</v>
      </c>
      <c r="T104" t="s">
        <v>783</v>
      </c>
      <c r="U104" t="s">
        <v>783</v>
      </c>
      <c r="V104" s="105">
        <v>-1366</v>
      </c>
      <c r="W104" s="42" t="s">
        <v>973</v>
      </c>
      <c r="Y104">
        <v>3</v>
      </c>
      <c r="Z104">
        <v>2025</v>
      </c>
    </row>
    <row r="105" spans="1:26" hidden="1">
      <c r="A105" s="17" t="s">
        <v>971</v>
      </c>
      <c r="B105" s="17">
        <v>45729</v>
      </c>
      <c r="D105" t="s">
        <v>972</v>
      </c>
      <c r="E105" t="s">
        <v>921</v>
      </c>
      <c r="F105" t="s">
        <v>53</v>
      </c>
      <c r="G105" t="s">
        <v>910</v>
      </c>
      <c r="H105" t="s">
        <v>56</v>
      </c>
      <c r="J105" t="s">
        <v>937</v>
      </c>
      <c r="K105" s="9" t="s">
        <v>938</v>
      </c>
      <c r="L105" s="9" t="s">
        <v>925</v>
      </c>
      <c r="M105" s="17" t="s">
        <v>926</v>
      </c>
      <c r="N105" t="s">
        <v>47</v>
      </c>
      <c r="O105" t="s">
        <v>58</v>
      </c>
      <c r="P105" s="17">
        <v>45729</v>
      </c>
      <c r="Q105" s="18">
        <v>3</v>
      </c>
      <c r="R105">
        <v>2025</v>
      </c>
      <c r="T105" t="s">
        <v>783</v>
      </c>
      <c r="U105" t="s">
        <v>783</v>
      </c>
      <c r="V105" s="105">
        <v>-3146</v>
      </c>
      <c r="W105" s="42" t="s">
        <v>973</v>
      </c>
      <c r="Y105">
        <v>3</v>
      </c>
      <c r="Z105">
        <v>2025</v>
      </c>
    </row>
    <row r="106" spans="1:26" hidden="1">
      <c r="A106" s="17" t="s">
        <v>971</v>
      </c>
      <c r="B106" s="17">
        <v>45729</v>
      </c>
      <c r="D106" t="s">
        <v>972</v>
      </c>
      <c r="E106" t="s">
        <v>921</v>
      </c>
      <c r="F106" t="s">
        <v>53</v>
      </c>
      <c r="G106" t="s">
        <v>970</v>
      </c>
      <c r="H106" t="s">
        <v>56</v>
      </c>
      <c r="J106" t="s">
        <v>937</v>
      </c>
      <c r="K106" s="9" t="s">
        <v>938</v>
      </c>
      <c r="L106" s="9" t="s">
        <v>925</v>
      </c>
      <c r="M106" s="17" t="s">
        <v>926</v>
      </c>
      <c r="N106" t="s">
        <v>47</v>
      </c>
      <c r="O106" t="s">
        <v>58</v>
      </c>
      <c r="P106" s="17">
        <v>45729</v>
      </c>
      <c r="Q106" s="18">
        <v>3</v>
      </c>
      <c r="R106">
        <v>2025</v>
      </c>
      <c r="T106" t="s">
        <v>783</v>
      </c>
      <c r="U106" t="s">
        <v>783</v>
      </c>
      <c r="V106" s="105">
        <v>-1842</v>
      </c>
      <c r="W106" s="42" t="s">
        <v>973</v>
      </c>
      <c r="Y106">
        <v>3</v>
      </c>
      <c r="Z106">
        <v>2025</v>
      </c>
    </row>
    <row r="107" spans="1:26" hidden="1">
      <c r="A107" s="17" t="s">
        <v>974</v>
      </c>
      <c r="B107" s="17">
        <v>45762</v>
      </c>
      <c r="D107" t="s">
        <v>975</v>
      </c>
      <c r="E107" t="s">
        <v>935</v>
      </c>
      <c r="F107" t="s">
        <v>53</v>
      </c>
      <c r="G107" t="s">
        <v>922</v>
      </c>
      <c r="H107" t="s">
        <v>56</v>
      </c>
      <c r="J107" t="s">
        <v>923</v>
      </c>
      <c r="K107" s="9" t="s">
        <v>924</v>
      </c>
      <c r="L107" s="9" t="s">
        <v>925</v>
      </c>
      <c r="M107" s="17" t="s">
        <v>926</v>
      </c>
      <c r="N107" t="s">
        <v>47</v>
      </c>
      <c r="O107" t="s">
        <v>58</v>
      </c>
      <c r="P107" s="17">
        <v>45762</v>
      </c>
      <c r="Q107" s="18">
        <v>4</v>
      </c>
      <c r="R107">
        <v>2025</v>
      </c>
      <c r="T107" t="s">
        <v>783</v>
      </c>
      <c r="U107" t="s">
        <v>783</v>
      </c>
      <c r="V107" s="105">
        <v>1475588</v>
      </c>
      <c r="W107" s="42" t="s">
        <v>976</v>
      </c>
      <c r="Y107">
        <v>4</v>
      </c>
      <c r="Z107">
        <v>2025</v>
      </c>
    </row>
    <row r="108" spans="1:26">
      <c r="A108" s="17" t="s">
        <v>977</v>
      </c>
      <c r="B108" s="17">
        <v>45777</v>
      </c>
      <c r="D108" t="s">
        <v>978</v>
      </c>
      <c r="E108" t="s">
        <v>901</v>
      </c>
      <c r="F108" t="s">
        <v>53</v>
      </c>
      <c r="G108" t="s">
        <v>908</v>
      </c>
      <c r="H108" t="s">
        <v>56</v>
      </c>
      <c r="J108" t="s">
        <v>903</v>
      </c>
      <c r="K108" s="9" t="s">
        <v>904</v>
      </c>
      <c r="L108" s="9" t="s">
        <v>905</v>
      </c>
      <c r="M108" s="17" t="s">
        <v>45</v>
      </c>
      <c r="N108" t="s">
        <v>47</v>
      </c>
      <c r="O108" t="s">
        <v>979</v>
      </c>
      <c r="P108" s="17">
        <v>45777</v>
      </c>
      <c r="Q108" s="18">
        <v>4</v>
      </c>
      <c r="R108">
        <v>2025</v>
      </c>
      <c r="T108" t="s">
        <v>780</v>
      </c>
      <c r="U108" t="s">
        <v>783</v>
      </c>
      <c r="V108" s="105">
        <v>-467801</v>
      </c>
      <c r="W108" s="42" t="s">
        <v>980</v>
      </c>
      <c r="Y108">
        <v>4</v>
      </c>
      <c r="Z108">
        <v>2025</v>
      </c>
    </row>
    <row r="109" spans="1:26">
      <c r="A109" s="17" t="s">
        <v>977</v>
      </c>
      <c r="B109" s="17">
        <v>45777</v>
      </c>
      <c r="D109" t="s">
        <v>978</v>
      </c>
      <c r="E109" t="s">
        <v>901</v>
      </c>
      <c r="F109" t="s">
        <v>53</v>
      </c>
      <c r="G109" t="s">
        <v>909</v>
      </c>
      <c r="H109" t="s">
        <v>56</v>
      </c>
      <c r="J109" t="s">
        <v>903</v>
      </c>
      <c r="K109" s="9" t="s">
        <v>904</v>
      </c>
      <c r="L109" s="9" t="s">
        <v>905</v>
      </c>
      <c r="M109" s="17" t="s">
        <v>45</v>
      </c>
      <c r="N109" t="s">
        <v>47</v>
      </c>
      <c r="O109" t="s">
        <v>979</v>
      </c>
      <c r="P109" s="17">
        <v>45777</v>
      </c>
      <c r="Q109" s="18">
        <v>4</v>
      </c>
      <c r="R109">
        <v>2025</v>
      </c>
      <c r="T109" t="s">
        <v>780</v>
      </c>
      <c r="U109" t="s">
        <v>783</v>
      </c>
      <c r="V109" s="105">
        <v>-276027</v>
      </c>
      <c r="W109" s="42" t="s">
        <v>980</v>
      </c>
      <c r="Y109">
        <v>4</v>
      </c>
      <c r="Z109">
        <v>2025</v>
      </c>
    </row>
    <row r="110" spans="1:26">
      <c r="A110" s="17" t="s">
        <v>977</v>
      </c>
      <c r="B110" s="17">
        <v>45777</v>
      </c>
      <c r="D110" t="s">
        <v>978</v>
      </c>
      <c r="E110" t="s">
        <v>901</v>
      </c>
      <c r="F110" t="s">
        <v>53</v>
      </c>
      <c r="G110" t="s">
        <v>910</v>
      </c>
      <c r="H110" t="s">
        <v>56</v>
      </c>
      <c r="J110" t="s">
        <v>903</v>
      </c>
      <c r="K110" s="9" t="s">
        <v>904</v>
      </c>
      <c r="L110" s="9" t="s">
        <v>905</v>
      </c>
      <c r="M110" s="17" t="s">
        <v>45</v>
      </c>
      <c r="N110" t="s">
        <v>47</v>
      </c>
      <c r="O110" t="s">
        <v>979</v>
      </c>
      <c r="P110" s="17">
        <v>45777</v>
      </c>
      <c r="Q110" s="18">
        <v>4</v>
      </c>
      <c r="R110">
        <v>2025</v>
      </c>
      <c r="T110" t="s">
        <v>780</v>
      </c>
      <c r="U110" t="s">
        <v>783</v>
      </c>
      <c r="V110" s="105">
        <v>-228898</v>
      </c>
      <c r="W110" s="42" t="s">
        <v>980</v>
      </c>
      <c r="Y110">
        <v>4</v>
      </c>
      <c r="Z110">
        <v>2025</v>
      </c>
    </row>
    <row r="111" spans="1:26">
      <c r="A111" s="17" t="s">
        <v>977</v>
      </c>
      <c r="B111" s="17">
        <v>45777</v>
      </c>
      <c r="D111" t="s">
        <v>978</v>
      </c>
      <c r="E111" t="s">
        <v>901</v>
      </c>
      <c r="F111" t="s">
        <v>53</v>
      </c>
      <c r="G111" t="s">
        <v>967</v>
      </c>
      <c r="H111" t="s">
        <v>56</v>
      </c>
      <c r="J111" t="s">
        <v>903</v>
      </c>
      <c r="K111" s="9" t="s">
        <v>904</v>
      </c>
      <c r="L111" s="9" t="s">
        <v>905</v>
      </c>
      <c r="M111" s="17" t="s">
        <v>45</v>
      </c>
      <c r="N111" t="s">
        <v>47</v>
      </c>
      <c r="O111" t="s">
        <v>979</v>
      </c>
      <c r="P111" s="17">
        <v>45777</v>
      </c>
      <c r="Q111" s="18">
        <v>4</v>
      </c>
      <c r="R111">
        <v>2025</v>
      </c>
      <c r="T111" t="s">
        <v>780</v>
      </c>
      <c r="U111" t="s">
        <v>783</v>
      </c>
      <c r="V111" s="105">
        <v>-6172</v>
      </c>
      <c r="W111" s="42" t="s">
        <v>980</v>
      </c>
      <c r="Y111">
        <v>4</v>
      </c>
      <c r="Z111">
        <v>2025</v>
      </c>
    </row>
    <row r="112" spans="1:26">
      <c r="A112" s="17" t="s">
        <v>977</v>
      </c>
      <c r="B112" s="17">
        <v>45777</v>
      </c>
      <c r="D112" t="s">
        <v>978</v>
      </c>
      <c r="E112" t="s">
        <v>901</v>
      </c>
      <c r="F112" t="s">
        <v>53</v>
      </c>
      <c r="G112" t="s">
        <v>902</v>
      </c>
      <c r="H112" t="s">
        <v>56</v>
      </c>
      <c r="J112" t="s">
        <v>911</v>
      </c>
      <c r="K112" s="9" t="s">
        <v>912</v>
      </c>
      <c r="L112" s="9" t="s">
        <v>905</v>
      </c>
      <c r="M112" s="17" t="s">
        <v>45</v>
      </c>
      <c r="N112" t="s">
        <v>47</v>
      </c>
      <c r="O112" t="s">
        <v>979</v>
      </c>
      <c r="P112" s="17">
        <v>45777</v>
      </c>
      <c r="Q112" s="18">
        <v>4</v>
      </c>
      <c r="R112">
        <v>2025</v>
      </c>
      <c r="T112" t="s">
        <v>776</v>
      </c>
      <c r="U112" t="s">
        <v>783</v>
      </c>
      <c r="V112" s="105">
        <v>-25165</v>
      </c>
      <c r="W112" s="42" t="s">
        <v>980</v>
      </c>
      <c r="Y112">
        <v>4</v>
      </c>
      <c r="Z112">
        <v>2025</v>
      </c>
    </row>
    <row r="113" spans="1:26">
      <c r="A113" s="17" t="s">
        <v>977</v>
      </c>
      <c r="B113" s="17">
        <v>45777</v>
      </c>
      <c r="D113" t="s">
        <v>978</v>
      </c>
      <c r="E113" t="s">
        <v>901</v>
      </c>
      <c r="F113" t="s">
        <v>53</v>
      </c>
      <c r="G113" t="s">
        <v>914</v>
      </c>
      <c r="H113" t="s">
        <v>56</v>
      </c>
      <c r="J113" t="s">
        <v>911</v>
      </c>
      <c r="K113" s="9" t="s">
        <v>912</v>
      </c>
      <c r="L113" s="9" t="s">
        <v>905</v>
      </c>
      <c r="M113" s="17" t="s">
        <v>45</v>
      </c>
      <c r="N113" t="s">
        <v>47</v>
      </c>
      <c r="O113" t="s">
        <v>979</v>
      </c>
      <c r="P113" s="17">
        <v>45777</v>
      </c>
      <c r="Q113" s="18">
        <v>4</v>
      </c>
      <c r="R113">
        <v>2025</v>
      </c>
      <c r="T113" t="s">
        <v>776</v>
      </c>
      <c r="U113" t="s">
        <v>783</v>
      </c>
      <c r="V113" s="105">
        <v>-37797</v>
      </c>
      <c r="W113" s="42" t="s">
        <v>980</v>
      </c>
      <c r="Y113">
        <v>4</v>
      </c>
      <c r="Z113">
        <v>2025</v>
      </c>
    </row>
    <row r="114" spans="1:26">
      <c r="A114" s="17" t="s">
        <v>977</v>
      </c>
      <c r="B114" s="17">
        <v>45777</v>
      </c>
      <c r="D114" t="s">
        <v>978</v>
      </c>
      <c r="E114" t="s">
        <v>901</v>
      </c>
      <c r="F114" t="s">
        <v>53</v>
      </c>
      <c r="G114" t="s">
        <v>915</v>
      </c>
      <c r="H114" t="s">
        <v>56</v>
      </c>
      <c r="J114" t="s">
        <v>911</v>
      </c>
      <c r="K114" s="9" t="s">
        <v>912</v>
      </c>
      <c r="L114" s="9" t="s">
        <v>905</v>
      </c>
      <c r="M114" s="17" t="s">
        <v>45</v>
      </c>
      <c r="N114" t="s">
        <v>47</v>
      </c>
      <c r="O114" t="s">
        <v>979</v>
      </c>
      <c r="P114" s="17">
        <v>45777</v>
      </c>
      <c r="Q114" s="18">
        <v>4</v>
      </c>
      <c r="R114">
        <v>2025</v>
      </c>
      <c r="T114" t="s">
        <v>776</v>
      </c>
      <c r="U114" t="s">
        <v>783</v>
      </c>
      <c r="V114" s="105">
        <v>-5519</v>
      </c>
      <c r="W114" s="42" t="s">
        <v>980</v>
      </c>
      <c r="Y114">
        <v>4</v>
      </c>
      <c r="Z114">
        <v>2025</v>
      </c>
    </row>
    <row r="115" spans="1:26">
      <c r="A115" s="17" t="s">
        <v>977</v>
      </c>
      <c r="B115" s="17">
        <v>45777</v>
      </c>
      <c r="D115" t="s">
        <v>978</v>
      </c>
      <c r="E115" t="s">
        <v>901</v>
      </c>
      <c r="F115" t="s">
        <v>53</v>
      </c>
      <c r="G115" t="s">
        <v>902</v>
      </c>
      <c r="H115" t="s">
        <v>56</v>
      </c>
      <c r="J115" t="s">
        <v>911</v>
      </c>
      <c r="K115" s="9" t="s">
        <v>912</v>
      </c>
      <c r="L115" s="9" t="s">
        <v>905</v>
      </c>
      <c r="M115" s="17" t="s">
        <v>45</v>
      </c>
      <c r="N115" t="s">
        <v>47</v>
      </c>
      <c r="O115" t="s">
        <v>979</v>
      </c>
      <c r="P115" s="17">
        <v>45777</v>
      </c>
      <c r="Q115" s="18">
        <v>4</v>
      </c>
      <c r="R115">
        <v>2025</v>
      </c>
      <c r="T115" t="s">
        <v>776</v>
      </c>
      <c r="U115" t="s">
        <v>783</v>
      </c>
      <c r="V115" s="105">
        <v>-741161</v>
      </c>
      <c r="W115" s="42" t="s">
        <v>980</v>
      </c>
      <c r="Y115">
        <v>4</v>
      </c>
      <c r="Z115">
        <v>2025</v>
      </c>
    </row>
    <row r="116" spans="1:26">
      <c r="A116" s="17" t="s">
        <v>977</v>
      </c>
      <c r="B116" s="17">
        <v>45777</v>
      </c>
      <c r="D116" t="s">
        <v>978</v>
      </c>
      <c r="E116" t="s">
        <v>901</v>
      </c>
      <c r="F116" t="s">
        <v>53</v>
      </c>
      <c r="G116" t="s">
        <v>914</v>
      </c>
      <c r="H116" t="s">
        <v>56</v>
      </c>
      <c r="J116" t="s">
        <v>911</v>
      </c>
      <c r="K116" s="9" t="s">
        <v>912</v>
      </c>
      <c r="L116" s="9" t="s">
        <v>905</v>
      </c>
      <c r="M116" s="17" t="s">
        <v>45</v>
      </c>
      <c r="N116" t="s">
        <v>47</v>
      </c>
      <c r="O116" t="s">
        <v>979</v>
      </c>
      <c r="P116" s="17">
        <v>45777</v>
      </c>
      <c r="Q116" s="18">
        <v>4</v>
      </c>
      <c r="R116">
        <v>2025</v>
      </c>
      <c r="T116" t="s">
        <v>776</v>
      </c>
      <c r="U116" t="s">
        <v>783</v>
      </c>
      <c r="V116" s="105">
        <v>-2465537</v>
      </c>
      <c r="W116" s="42" t="s">
        <v>980</v>
      </c>
      <c r="Y116">
        <v>4</v>
      </c>
      <c r="Z116">
        <v>2025</v>
      </c>
    </row>
    <row r="117" spans="1:26">
      <c r="A117" s="17" t="s">
        <v>977</v>
      </c>
      <c r="B117" s="17">
        <v>45777</v>
      </c>
      <c r="D117" t="s">
        <v>978</v>
      </c>
      <c r="E117" t="s">
        <v>901</v>
      </c>
      <c r="F117" t="s">
        <v>53</v>
      </c>
      <c r="G117" t="s">
        <v>915</v>
      </c>
      <c r="H117" t="s">
        <v>56</v>
      </c>
      <c r="J117" t="s">
        <v>911</v>
      </c>
      <c r="K117" s="9" t="s">
        <v>912</v>
      </c>
      <c r="L117" s="9" t="s">
        <v>905</v>
      </c>
      <c r="M117" s="17" t="s">
        <v>45</v>
      </c>
      <c r="N117" t="s">
        <v>47</v>
      </c>
      <c r="O117" t="s">
        <v>979</v>
      </c>
      <c r="P117" s="17">
        <v>45777</v>
      </c>
      <c r="Q117" s="18">
        <v>4</v>
      </c>
      <c r="R117">
        <v>2025</v>
      </c>
      <c r="T117" t="s">
        <v>776</v>
      </c>
      <c r="U117" t="s">
        <v>783</v>
      </c>
      <c r="V117" s="105">
        <v>-1576005</v>
      </c>
      <c r="W117" s="42" t="s">
        <v>980</v>
      </c>
      <c r="Y117">
        <v>4</v>
      </c>
      <c r="Z117">
        <v>2025</v>
      </c>
    </row>
    <row r="118" spans="1:26">
      <c r="A118" s="17" t="s">
        <v>977</v>
      </c>
      <c r="B118" s="17">
        <v>45777</v>
      </c>
      <c r="D118" t="s">
        <v>978</v>
      </c>
      <c r="E118" t="s">
        <v>901</v>
      </c>
      <c r="F118" t="s">
        <v>53</v>
      </c>
      <c r="G118" t="s">
        <v>949</v>
      </c>
      <c r="H118" t="s">
        <v>56</v>
      </c>
      <c r="J118" t="s">
        <v>911</v>
      </c>
      <c r="K118" s="9" t="s">
        <v>912</v>
      </c>
      <c r="L118" s="9" t="s">
        <v>905</v>
      </c>
      <c r="M118" s="17" t="s">
        <v>45</v>
      </c>
      <c r="N118" t="s">
        <v>47</v>
      </c>
      <c r="O118" t="s">
        <v>979</v>
      </c>
      <c r="P118" s="17">
        <v>45777</v>
      </c>
      <c r="Q118" s="18">
        <v>4</v>
      </c>
      <c r="R118">
        <v>2025</v>
      </c>
      <c r="T118" t="s">
        <v>776</v>
      </c>
      <c r="U118" t="s">
        <v>783</v>
      </c>
      <c r="V118" s="105">
        <v>-705105</v>
      </c>
      <c r="W118" s="42" t="s">
        <v>980</v>
      </c>
      <c r="Y118">
        <v>4</v>
      </c>
      <c r="Z118">
        <v>2025</v>
      </c>
    </row>
    <row r="119" spans="1:26">
      <c r="A119" s="17" t="s">
        <v>977</v>
      </c>
      <c r="B119" s="17">
        <v>45777</v>
      </c>
      <c r="D119" t="s">
        <v>978</v>
      </c>
      <c r="E119" t="s">
        <v>901</v>
      </c>
      <c r="F119" t="s">
        <v>53</v>
      </c>
      <c r="G119" t="s">
        <v>967</v>
      </c>
      <c r="H119" t="s">
        <v>56</v>
      </c>
      <c r="J119" t="s">
        <v>911</v>
      </c>
      <c r="K119" s="9" t="s">
        <v>912</v>
      </c>
      <c r="L119" s="9" t="s">
        <v>905</v>
      </c>
      <c r="M119" s="17" t="s">
        <v>45</v>
      </c>
      <c r="N119" t="s">
        <v>47</v>
      </c>
      <c r="O119" t="s">
        <v>979</v>
      </c>
      <c r="P119" s="17">
        <v>45777</v>
      </c>
      <c r="Q119" s="18">
        <v>4</v>
      </c>
      <c r="R119">
        <v>2025</v>
      </c>
      <c r="T119" t="s">
        <v>776</v>
      </c>
      <c r="U119" t="s">
        <v>783</v>
      </c>
      <c r="V119" s="105">
        <v>-4982681</v>
      </c>
      <c r="W119" s="42" t="s">
        <v>980</v>
      </c>
      <c r="Y119">
        <v>4</v>
      </c>
      <c r="Z119">
        <v>2025</v>
      </c>
    </row>
    <row r="120" spans="1:26" hidden="1">
      <c r="A120" s="17" t="s">
        <v>981</v>
      </c>
      <c r="B120" s="17">
        <v>45803</v>
      </c>
      <c r="D120" t="s">
        <v>982</v>
      </c>
      <c r="E120" t="s">
        <v>921</v>
      </c>
      <c r="F120" t="s">
        <v>53</v>
      </c>
      <c r="G120" t="s">
        <v>922</v>
      </c>
      <c r="H120" t="s">
        <v>56</v>
      </c>
      <c r="J120" t="s">
        <v>923</v>
      </c>
      <c r="K120" s="9" t="s">
        <v>924</v>
      </c>
      <c r="L120" s="9" t="s">
        <v>925</v>
      </c>
      <c r="M120" s="17" t="s">
        <v>926</v>
      </c>
      <c r="N120" t="s">
        <v>47</v>
      </c>
      <c r="O120" t="s">
        <v>58</v>
      </c>
      <c r="P120" s="17">
        <v>45803</v>
      </c>
      <c r="Q120" s="18">
        <v>5</v>
      </c>
      <c r="R120">
        <v>2025</v>
      </c>
      <c r="T120" t="s">
        <v>783</v>
      </c>
      <c r="U120" t="s">
        <v>783</v>
      </c>
      <c r="V120" s="105">
        <v>-167891</v>
      </c>
      <c r="W120" s="42" t="s">
        <v>983</v>
      </c>
      <c r="Y120">
        <v>5</v>
      </c>
      <c r="Z120">
        <v>2025</v>
      </c>
    </row>
    <row r="121" spans="1:26">
      <c r="A121" s="17" t="s">
        <v>984</v>
      </c>
      <c r="B121" s="17">
        <v>45806</v>
      </c>
      <c r="D121" t="s">
        <v>985</v>
      </c>
      <c r="E121" t="s">
        <v>901</v>
      </c>
      <c r="F121" t="s">
        <v>53</v>
      </c>
      <c r="G121" t="s">
        <v>953</v>
      </c>
      <c r="H121" t="s">
        <v>56</v>
      </c>
      <c r="J121" t="s">
        <v>911</v>
      </c>
      <c r="K121" s="9" t="s">
        <v>912</v>
      </c>
      <c r="L121" s="9" t="s">
        <v>905</v>
      </c>
      <c r="M121" s="17" t="s">
        <v>45</v>
      </c>
      <c r="N121" t="s">
        <v>47</v>
      </c>
      <c r="O121" t="s">
        <v>986</v>
      </c>
      <c r="P121" s="17">
        <v>45806</v>
      </c>
      <c r="Q121" s="18">
        <v>5</v>
      </c>
      <c r="R121">
        <v>2025</v>
      </c>
      <c r="T121" t="s">
        <v>776</v>
      </c>
      <c r="U121" t="s">
        <v>783</v>
      </c>
      <c r="V121" s="105">
        <v>-270</v>
      </c>
      <c r="W121" s="42" t="s">
        <v>987</v>
      </c>
      <c r="Y121">
        <v>5</v>
      </c>
      <c r="Z121">
        <v>2025</v>
      </c>
    </row>
    <row r="122" spans="1:26">
      <c r="A122" s="17" t="s">
        <v>984</v>
      </c>
      <c r="B122" s="17">
        <v>45806</v>
      </c>
      <c r="D122" t="s">
        <v>985</v>
      </c>
      <c r="E122" t="s">
        <v>901</v>
      </c>
      <c r="F122" t="s">
        <v>53</v>
      </c>
      <c r="G122" t="s">
        <v>941</v>
      </c>
      <c r="H122" t="s">
        <v>56</v>
      </c>
      <c r="J122" t="s">
        <v>911</v>
      </c>
      <c r="K122" s="9" t="s">
        <v>912</v>
      </c>
      <c r="L122" s="9" t="s">
        <v>905</v>
      </c>
      <c r="M122" s="17" t="s">
        <v>45</v>
      </c>
      <c r="N122" t="s">
        <v>47</v>
      </c>
      <c r="O122" t="s">
        <v>986</v>
      </c>
      <c r="P122" s="17">
        <v>45806</v>
      </c>
      <c r="Q122" s="18">
        <v>5</v>
      </c>
      <c r="R122">
        <v>2025</v>
      </c>
      <c r="T122" t="s">
        <v>776</v>
      </c>
      <c r="U122" t="s">
        <v>783</v>
      </c>
      <c r="V122" s="105">
        <v>-7014</v>
      </c>
      <c r="W122" s="42" t="s">
        <v>987</v>
      </c>
      <c r="Y122">
        <v>5</v>
      </c>
      <c r="Z122">
        <v>2025</v>
      </c>
    </row>
    <row r="123" spans="1:26">
      <c r="A123" s="17" t="s">
        <v>984</v>
      </c>
      <c r="B123" s="17">
        <v>45806</v>
      </c>
      <c r="D123" t="s">
        <v>985</v>
      </c>
      <c r="E123" t="s">
        <v>901</v>
      </c>
      <c r="F123" t="s">
        <v>53</v>
      </c>
      <c r="G123" t="s">
        <v>902</v>
      </c>
      <c r="H123" t="s">
        <v>56</v>
      </c>
      <c r="J123" t="s">
        <v>911</v>
      </c>
      <c r="K123" s="9" t="s">
        <v>912</v>
      </c>
      <c r="L123" s="9" t="s">
        <v>905</v>
      </c>
      <c r="M123" s="17" t="s">
        <v>45</v>
      </c>
      <c r="N123" t="s">
        <v>47</v>
      </c>
      <c r="O123" t="s">
        <v>986</v>
      </c>
      <c r="P123" s="17">
        <v>45806</v>
      </c>
      <c r="Q123" s="18">
        <v>5</v>
      </c>
      <c r="R123">
        <v>2025</v>
      </c>
      <c r="T123" t="s">
        <v>776</v>
      </c>
      <c r="U123" t="s">
        <v>783</v>
      </c>
      <c r="V123" s="105">
        <v>-30190</v>
      </c>
      <c r="W123" s="42" t="s">
        <v>987</v>
      </c>
      <c r="Y123">
        <v>5</v>
      </c>
      <c r="Z123">
        <v>2025</v>
      </c>
    </row>
    <row r="124" spans="1:26">
      <c r="A124" s="17" t="s">
        <v>984</v>
      </c>
      <c r="B124" s="17">
        <v>45806</v>
      </c>
      <c r="D124" t="s">
        <v>985</v>
      </c>
      <c r="E124" t="s">
        <v>901</v>
      </c>
      <c r="F124" t="s">
        <v>53</v>
      </c>
      <c r="G124" t="s">
        <v>902</v>
      </c>
      <c r="H124" t="s">
        <v>56</v>
      </c>
      <c r="J124" t="s">
        <v>911</v>
      </c>
      <c r="K124" s="9" t="s">
        <v>912</v>
      </c>
      <c r="L124" s="9" t="s">
        <v>905</v>
      </c>
      <c r="M124" s="17" t="s">
        <v>45</v>
      </c>
      <c r="N124" t="s">
        <v>47</v>
      </c>
      <c r="O124" t="s">
        <v>986</v>
      </c>
      <c r="P124" s="17">
        <v>45806</v>
      </c>
      <c r="Q124" s="18">
        <v>5</v>
      </c>
      <c r="R124">
        <v>2025</v>
      </c>
      <c r="T124" t="s">
        <v>776</v>
      </c>
      <c r="U124" t="s">
        <v>783</v>
      </c>
      <c r="V124" s="105">
        <v>-58527</v>
      </c>
      <c r="W124" s="42" t="s">
        <v>987</v>
      </c>
      <c r="Y124">
        <v>5</v>
      </c>
      <c r="Z124">
        <v>2025</v>
      </c>
    </row>
    <row r="125" spans="1:26">
      <c r="A125" s="17" t="s">
        <v>984</v>
      </c>
      <c r="B125" s="17">
        <v>45806</v>
      </c>
      <c r="D125" t="s">
        <v>985</v>
      </c>
      <c r="E125" t="s">
        <v>901</v>
      </c>
      <c r="F125" t="s">
        <v>53</v>
      </c>
      <c r="G125" t="s">
        <v>941</v>
      </c>
      <c r="H125" t="s">
        <v>56</v>
      </c>
      <c r="J125" t="s">
        <v>911</v>
      </c>
      <c r="K125" s="9" t="s">
        <v>912</v>
      </c>
      <c r="L125" s="9" t="s">
        <v>905</v>
      </c>
      <c r="M125" s="17" t="s">
        <v>45</v>
      </c>
      <c r="N125" t="s">
        <v>47</v>
      </c>
      <c r="O125" t="s">
        <v>986</v>
      </c>
      <c r="P125" s="17">
        <v>45806</v>
      </c>
      <c r="Q125" s="18">
        <v>5</v>
      </c>
      <c r="R125">
        <v>2025</v>
      </c>
      <c r="T125" t="s">
        <v>776</v>
      </c>
      <c r="U125" t="s">
        <v>783</v>
      </c>
      <c r="V125" s="105">
        <v>-59164</v>
      </c>
      <c r="W125" s="42" t="s">
        <v>987</v>
      </c>
      <c r="Y125">
        <v>5</v>
      </c>
      <c r="Z125">
        <v>2025</v>
      </c>
    </row>
    <row r="126" spans="1:26">
      <c r="A126" s="17" t="s">
        <v>984</v>
      </c>
      <c r="B126" s="17">
        <v>45806</v>
      </c>
      <c r="D126" t="s">
        <v>985</v>
      </c>
      <c r="E126" t="s">
        <v>901</v>
      </c>
      <c r="F126" t="s">
        <v>53</v>
      </c>
      <c r="G126" t="s">
        <v>941</v>
      </c>
      <c r="H126" t="s">
        <v>56</v>
      </c>
      <c r="J126" t="s">
        <v>911</v>
      </c>
      <c r="K126" s="9" t="s">
        <v>912</v>
      </c>
      <c r="L126" s="9" t="s">
        <v>905</v>
      </c>
      <c r="M126" s="17" t="s">
        <v>45</v>
      </c>
      <c r="N126" t="s">
        <v>47</v>
      </c>
      <c r="O126" t="s">
        <v>986</v>
      </c>
      <c r="P126" s="17">
        <v>45806</v>
      </c>
      <c r="Q126" s="18">
        <v>5</v>
      </c>
      <c r="R126">
        <v>2025</v>
      </c>
      <c r="T126" t="s">
        <v>776</v>
      </c>
      <c r="U126" t="s">
        <v>783</v>
      </c>
      <c r="V126" s="105">
        <v>-80444</v>
      </c>
      <c r="W126" s="42" t="s">
        <v>987</v>
      </c>
      <c r="Y126">
        <v>5</v>
      </c>
      <c r="Z126">
        <v>2025</v>
      </c>
    </row>
    <row r="127" spans="1:26">
      <c r="A127" s="17" t="s">
        <v>984</v>
      </c>
      <c r="B127" s="17">
        <v>45806</v>
      </c>
      <c r="D127" t="s">
        <v>985</v>
      </c>
      <c r="E127" t="s">
        <v>901</v>
      </c>
      <c r="F127" t="s">
        <v>53</v>
      </c>
      <c r="G127" t="s">
        <v>915</v>
      </c>
      <c r="H127" t="s">
        <v>56</v>
      </c>
      <c r="J127" t="s">
        <v>911</v>
      </c>
      <c r="K127" s="9" t="s">
        <v>912</v>
      </c>
      <c r="L127" s="9" t="s">
        <v>905</v>
      </c>
      <c r="M127" s="17" t="s">
        <v>45</v>
      </c>
      <c r="N127" t="s">
        <v>47</v>
      </c>
      <c r="O127" t="s">
        <v>986</v>
      </c>
      <c r="P127" s="17">
        <v>45806</v>
      </c>
      <c r="Q127" s="18">
        <v>5</v>
      </c>
      <c r="R127">
        <v>2025</v>
      </c>
      <c r="T127" t="s">
        <v>776</v>
      </c>
      <c r="U127" t="s">
        <v>783</v>
      </c>
      <c r="V127" s="105">
        <v>-81274</v>
      </c>
      <c r="W127" s="42" t="s">
        <v>987</v>
      </c>
      <c r="Y127">
        <v>5</v>
      </c>
      <c r="Z127">
        <v>2025</v>
      </c>
    </row>
    <row r="128" spans="1:26">
      <c r="A128" s="17" t="s">
        <v>984</v>
      </c>
      <c r="B128" s="17">
        <v>45806</v>
      </c>
      <c r="D128" t="s">
        <v>985</v>
      </c>
      <c r="E128" t="s">
        <v>901</v>
      </c>
      <c r="F128" t="s">
        <v>53</v>
      </c>
      <c r="G128" t="s">
        <v>914</v>
      </c>
      <c r="H128" t="s">
        <v>56</v>
      </c>
      <c r="J128" t="s">
        <v>911</v>
      </c>
      <c r="K128" s="9" t="s">
        <v>912</v>
      </c>
      <c r="L128" s="9" t="s">
        <v>905</v>
      </c>
      <c r="M128" s="17" t="s">
        <v>45</v>
      </c>
      <c r="N128" t="s">
        <v>47</v>
      </c>
      <c r="O128" t="s">
        <v>986</v>
      </c>
      <c r="P128" s="17">
        <v>45806</v>
      </c>
      <c r="Q128" s="18">
        <v>5</v>
      </c>
      <c r="R128">
        <v>2025</v>
      </c>
      <c r="T128" t="s">
        <v>776</v>
      </c>
      <c r="U128" t="s">
        <v>783</v>
      </c>
      <c r="V128" s="105">
        <v>-224315</v>
      </c>
      <c r="W128" s="42" t="s">
        <v>987</v>
      </c>
      <c r="Y128">
        <v>5</v>
      </c>
      <c r="Z128">
        <v>2025</v>
      </c>
    </row>
    <row r="129" spans="1:26">
      <c r="A129" s="17" t="s">
        <v>984</v>
      </c>
      <c r="B129" s="17">
        <v>45806</v>
      </c>
      <c r="D129" t="s">
        <v>985</v>
      </c>
      <c r="E129" t="s">
        <v>901</v>
      </c>
      <c r="F129" t="s">
        <v>53</v>
      </c>
      <c r="G129" t="s">
        <v>909</v>
      </c>
      <c r="H129" t="s">
        <v>56</v>
      </c>
      <c r="J129" t="s">
        <v>903</v>
      </c>
      <c r="K129" s="9" t="s">
        <v>904</v>
      </c>
      <c r="L129" s="9" t="s">
        <v>905</v>
      </c>
      <c r="M129" s="17" t="s">
        <v>45</v>
      </c>
      <c r="N129" t="s">
        <v>47</v>
      </c>
      <c r="O129" t="s">
        <v>986</v>
      </c>
      <c r="P129" s="17">
        <v>45806</v>
      </c>
      <c r="Q129" s="18">
        <v>5</v>
      </c>
      <c r="R129">
        <v>2025</v>
      </c>
      <c r="T129" t="s">
        <v>780</v>
      </c>
      <c r="U129" t="s">
        <v>783</v>
      </c>
      <c r="V129" s="105">
        <v>-252996</v>
      </c>
      <c r="W129" s="42" t="s">
        <v>987</v>
      </c>
      <c r="Y129">
        <v>5</v>
      </c>
      <c r="Z129">
        <v>2025</v>
      </c>
    </row>
    <row r="130" spans="1:26">
      <c r="A130" s="17" t="s">
        <v>984</v>
      </c>
      <c r="B130" s="17">
        <v>45806</v>
      </c>
      <c r="D130" t="s">
        <v>985</v>
      </c>
      <c r="E130" t="s">
        <v>901</v>
      </c>
      <c r="F130" t="s">
        <v>53</v>
      </c>
      <c r="G130" t="s">
        <v>914</v>
      </c>
      <c r="H130" t="s">
        <v>56</v>
      </c>
      <c r="J130" t="s">
        <v>911</v>
      </c>
      <c r="K130" s="9" t="s">
        <v>912</v>
      </c>
      <c r="L130" s="9" t="s">
        <v>905</v>
      </c>
      <c r="M130" s="17" t="s">
        <v>45</v>
      </c>
      <c r="N130" t="s">
        <v>47</v>
      </c>
      <c r="O130" t="s">
        <v>986</v>
      </c>
      <c r="P130" s="17">
        <v>45806</v>
      </c>
      <c r="Q130" s="18">
        <v>5</v>
      </c>
      <c r="R130">
        <v>2025</v>
      </c>
      <c r="T130" t="s">
        <v>776</v>
      </c>
      <c r="U130" t="s">
        <v>783</v>
      </c>
      <c r="V130" s="105">
        <v>-306077</v>
      </c>
      <c r="W130" s="42" t="s">
        <v>987</v>
      </c>
      <c r="Y130">
        <v>5</v>
      </c>
      <c r="Z130">
        <v>2025</v>
      </c>
    </row>
    <row r="131" spans="1:26">
      <c r="A131" s="17" t="s">
        <v>984</v>
      </c>
      <c r="B131" s="17">
        <v>45806</v>
      </c>
      <c r="D131" t="s">
        <v>985</v>
      </c>
      <c r="E131" t="s">
        <v>901</v>
      </c>
      <c r="F131" t="s">
        <v>53</v>
      </c>
      <c r="G131" t="s">
        <v>916</v>
      </c>
      <c r="H131" t="s">
        <v>56</v>
      </c>
      <c r="J131" t="s">
        <v>911</v>
      </c>
      <c r="K131" s="9" t="s">
        <v>912</v>
      </c>
      <c r="L131" s="9" t="s">
        <v>905</v>
      </c>
      <c r="M131" s="17" t="s">
        <v>45</v>
      </c>
      <c r="N131" t="s">
        <v>47</v>
      </c>
      <c r="O131" t="s">
        <v>986</v>
      </c>
      <c r="P131" s="17">
        <v>45806</v>
      </c>
      <c r="Q131" s="18">
        <v>5</v>
      </c>
      <c r="R131">
        <v>2025</v>
      </c>
      <c r="T131" t="s">
        <v>776</v>
      </c>
      <c r="U131" t="s">
        <v>783</v>
      </c>
      <c r="V131" s="105">
        <v>-356234</v>
      </c>
      <c r="W131" s="42" t="s">
        <v>987</v>
      </c>
      <c r="Y131">
        <v>5</v>
      </c>
      <c r="Z131">
        <v>2025</v>
      </c>
    </row>
    <row r="132" spans="1:26">
      <c r="A132" s="17" t="s">
        <v>984</v>
      </c>
      <c r="B132" s="17">
        <v>45806</v>
      </c>
      <c r="D132" t="s">
        <v>985</v>
      </c>
      <c r="E132" t="s">
        <v>901</v>
      </c>
      <c r="F132" t="s">
        <v>53</v>
      </c>
      <c r="G132" t="s">
        <v>910</v>
      </c>
      <c r="H132" t="s">
        <v>56</v>
      </c>
      <c r="J132" t="s">
        <v>903</v>
      </c>
      <c r="K132" s="9" t="s">
        <v>904</v>
      </c>
      <c r="L132" s="9" t="s">
        <v>905</v>
      </c>
      <c r="M132" s="17" t="s">
        <v>45</v>
      </c>
      <c r="N132" t="s">
        <v>47</v>
      </c>
      <c r="O132" t="s">
        <v>986</v>
      </c>
      <c r="P132" s="17">
        <v>45806</v>
      </c>
      <c r="Q132" s="18">
        <v>5</v>
      </c>
      <c r="R132">
        <v>2025</v>
      </c>
      <c r="T132" t="s">
        <v>780</v>
      </c>
      <c r="U132" t="s">
        <v>783</v>
      </c>
      <c r="V132" s="105">
        <v>-695483</v>
      </c>
      <c r="W132" s="42" t="s">
        <v>987</v>
      </c>
      <c r="Y132">
        <v>5</v>
      </c>
      <c r="Z132">
        <v>2025</v>
      </c>
    </row>
    <row r="133" spans="1:26">
      <c r="A133" s="17" t="s">
        <v>984</v>
      </c>
      <c r="B133" s="17">
        <v>45806</v>
      </c>
      <c r="D133" t="s">
        <v>985</v>
      </c>
      <c r="E133" t="s">
        <v>901</v>
      </c>
      <c r="F133" t="s">
        <v>53</v>
      </c>
      <c r="G133" t="s">
        <v>902</v>
      </c>
      <c r="H133" t="s">
        <v>56</v>
      </c>
      <c r="J133" t="s">
        <v>903</v>
      </c>
      <c r="K133" s="9" t="s">
        <v>904</v>
      </c>
      <c r="L133" s="9" t="s">
        <v>905</v>
      </c>
      <c r="M133" s="17" t="s">
        <v>45</v>
      </c>
      <c r="N133" t="s">
        <v>47</v>
      </c>
      <c r="O133" t="s">
        <v>986</v>
      </c>
      <c r="P133" s="17">
        <v>45806</v>
      </c>
      <c r="Q133" s="18">
        <v>5</v>
      </c>
      <c r="R133">
        <v>2025</v>
      </c>
      <c r="T133" t="s">
        <v>780</v>
      </c>
      <c r="U133" t="s">
        <v>783</v>
      </c>
      <c r="V133" s="105">
        <v>-758885</v>
      </c>
      <c r="W133" s="42" t="s">
        <v>987</v>
      </c>
      <c r="Y133">
        <v>5</v>
      </c>
      <c r="Z133">
        <v>2025</v>
      </c>
    </row>
    <row r="134" spans="1:26">
      <c r="A134" s="17" t="s">
        <v>984</v>
      </c>
      <c r="B134" s="17">
        <v>45806</v>
      </c>
      <c r="D134" t="s">
        <v>985</v>
      </c>
      <c r="E134" t="s">
        <v>901</v>
      </c>
      <c r="F134" t="s">
        <v>53</v>
      </c>
      <c r="G134" t="s">
        <v>908</v>
      </c>
      <c r="H134" t="s">
        <v>56</v>
      </c>
      <c r="J134" t="s">
        <v>903</v>
      </c>
      <c r="K134" s="9" t="s">
        <v>904</v>
      </c>
      <c r="L134" s="9" t="s">
        <v>905</v>
      </c>
      <c r="M134" s="17" t="s">
        <v>45</v>
      </c>
      <c r="N134" t="s">
        <v>47</v>
      </c>
      <c r="O134" t="s">
        <v>986</v>
      </c>
      <c r="P134" s="17">
        <v>45806</v>
      </c>
      <c r="Q134" s="18">
        <v>5</v>
      </c>
      <c r="R134">
        <v>2025</v>
      </c>
      <c r="T134" t="s">
        <v>780</v>
      </c>
      <c r="U134" t="s">
        <v>783</v>
      </c>
      <c r="V134" s="105">
        <v>-895890</v>
      </c>
      <c r="W134" s="42" t="s">
        <v>987</v>
      </c>
      <c r="Y134">
        <v>5</v>
      </c>
      <c r="Z134">
        <v>2025</v>
      </c>
    </row>
    <row r="135" spans="1:26">
      <c r="A135" s="17" t="s">
        <v>984</v>
      </c>
      <c r="B135" s="17">
        <v>45806</v>
      </c>
      <c r="D135" t="s">
        <v>985</v>
      </c>
      <c r="E135" t="s">
        <v>901</v>
      </c>
      <c r="F135" t="s">
        <v>53</v>
      </c>
      <c r="G135" t="s">
        <v>915</v>
      </c>
      <c r="H135" t="s">
        <v>56</v>
      </c>
      <c r="J135" t="s">
        <v>911</v>
      </c>
      <c r="K135" s="9" t="s">
        <v>912</v>
      </c>
      <c r="L135" s="9" t="s">
        <v>905</v>
      </c>
      <c r="M135" s="17" t="s">
        <v>45</v>
      </c>
      <c r="N135" t="s">
        <v>47</v>
      </c>
      <c r="O135" t="s">
        <v>986</v>
      </c>
      <c r="P135" s="17">
        <v>45806</v>
      </c>
      <c r="Q135" s="18">
        <v>5</v>
      </c>
      <c r="R135">
        <v>2025</v>
      </c>
      <c r="T135" t="s">
        <v>776</v>
      </c>
      <c r="U135" t="s">
        <v>783</v>
      </c>
      <c r="V135" s="105">
        <v>-1713324</v>
      </c>
      <c r="W135" s="42" t="s">
        <v>987</v>
      </c>
      <c r="Y135">
        <v>5</v>
      </c>
      <c r="Z135">
        <v>2025</v>
      </c>
    </row>
    <row r="136" spans="1:26">
      <c r="A136" s="17" t="s">
        <v>984</v>
      </c>
      <c r="B136" s="17">
        <v>45806</v>
      </c>
      <c r="D136" t="s">
        <v>985</v>
      </c>
      <c r="E136" t="s">
        <v>901</v>
      </c>
      <c r="F136" t="s">
        <v>53</v>
      </c>
      <c r="G136" t="s">
        <v>914</v>
      </c>
      <c r="H136" t="s">
        <v>56</v>
      </c>
      <c r="J136" t="s">
        <v>911</v>
      </c>
      <c r="K136" s="9" t="s">
        <v>912</v>
      </c>
      <c r="L136" s="9" t="s">
        <v>905</v>
      </c>
      <c r="M136" s="17" t="s">
        <v>45</v>
      </c>
      <c r="N136" t="s">
        <v>47</v>
      </c>
      <c r="O136" t="s">
        <v>986</v>
      </c>
      <c r="P136" s="17">
        <v>45806</v>
      </c>
      <c r="Q136" s="18">
        <v>5</v>
      </c>
      <c r="R136">
        <v>2025</v>
      </c>
      <c r="T136" t="s">
        <v>776</v>
      </c>
      <c r="U136" t="s">
        <v>783</v>
      </c>
      <c r="V136" s="105">
        <v>-1993496</v>
      </c>
      <c r="W136" s="42" t="s">
        <v>987</v>
      </c>
      <c r="Y136">
        <v>5</v>
      </c>
      <c r="Z136">
        <v>2025</v>
      </c>
    </row>
    <row r="137" spans="1:26">
      <c r="A137" s="17" t="s">
        <v>984</v>
      </c>
      <c r="B137" s="17">
        <v>45806</v>
      </c>
      <c r="D137" t="s">
        <v>985</v>
      </c>
      <c r="E137" t="s">
        <v>901</v>
      </c>
      <c r="F137" t="s">
        <v>53</v>
      </c>
      <c r="G137" t="s">
        <v>956</v>
      </c>
      <c r="H137" t="s">
        <v>56</v>
      </c>
      <c r="J137" t="s">
        <v>911</v>
      </c>
      <c r="K137" s="9" t="s">
        <v>912</v>
      </c>
      <c r="L137" s="9" t="s">
        <v>905</v>
      </c>
      <c r="M137" s="17" t="s">
        <v>45</v>
      </c>
      <c r="N137" t="s">
        <v>47</v>
      </c>
      <c r="O137" t="s">
        <v>986</v>
      </c>
      <c r="P137" s="17">
        <v>45806</v>
      </c>
      <c r="Q137" s="18">
        <v>5</v>
      </c>
      <c r="R137">
        <v>2025</v>
      </c>
      <c r="T137" t="s">
        <v>776</v>
      </c>
      <c r="U137" t="s">
        <v>783</v>
      </c>
      <c r="V137" s="105">
        <v>-4401268</v>
      </c>
      <c r="W137" s="42" t="s">
        <v>987</v>
      </c>
      <c r="Y137">
        <v>5</v>
      </c>
      <c r="Z137">
        <v>2025</v>
      </c>
    </row>
    <row r="138" spans="1:26" hidden="1">
      <c r="A138" s="17" t="s">
        <v>984</v>
      </c>
      <c r="B138" s="17">
        <v>45806</v>
      </c>
      <c r="D138" t="s">
        <v>985</v>
      </c>
      <c r="E138" t="s">
        <v>901</v>
      </c>
      <c r="F138" t="s">
        <v>53</v>
      </c>
      <c r="G138" t="s">
        <v>918</v>
      </c>
      <c r="H138" t="s">
        <v>56</v>
      </c>
      <c r="J138" t="s">
        <v>911</v>
      </c>
      <c r="K138" s="9" t="s">
        <v>912</v>
      </c>
      <c r="L138" s="9" t="s">
        <v>905</v>
      </c>
      <c r="M138" s="17" t="s">
        <v>45</v>
      </c>
      <c r="N138" t="s">
        <v>47</v>
      </c>
      <c r="O138" t="s">
        <v>988</v>
      </c>
      <c r="P138" s="17">
        <v>45806</v>
      </c>
      <c r="Q138" s="18">
        <v>5</v>
      </c>
      <c r="R138">
        <v>2025</v>
      </c>
      <c r="T138" t="s">
        <v>776</v>
      </c>
      <c r="U138" t="s">
        <v>783</v>
      </c>
      <c r="V138" s="105">
        <v>-1</v>
      </c>
      <c r="W138" s="42" t="s">
        <v>987</v>
      </c>
      <c r="Y138">
        <v>5</v>
      </c>
      <c r="Z138">
        <v>2025</v>
      </c>
    </row>
    <row r="139" spans="1:26">
      <c r="A139" s="17" t="s">
        <v>989</v>
      </c>
      <c r="B139" s="17">
        <v>45806</v>
      </c>
      <c r="D139" t="s">
        <v>990</v>
      </c>
      <c r="E139" t="s">
        <v>901</v>
      </c>
      <c r="F139" t="s">
        <v>53</v>
      </c>
      <c r="G139" t="s">
        <v>902</v>
      </c>
      <c r="H139" t="s">
        <v>56</v>
      </c>
      <c r="J139" t="s">
        <v>903</v>
      </c>
      <c r="K139" s="9" t="s">
        <v>904</v>
      </c>
      <c r="L139" s="9" t="s">
        <v>905</v>
      </c>
      <c r="M139" s="17" t="s">
        <v>45</v>
      </c>
      <c r="N139" t="s">
        <v>47</v>
      </c>
      <c r="O139" t="s">
        <v>986</v>
      </c>
      <c r="P139" s="17">
        <v>45806</v>
      </c>
      <c r="Q139" s="18">
        <v>5</v>
      </c>
      <c r="R139">
        <v>2025</v>
      </c>
      <c r="T139" t="s">
        <v>780</v>
      </c>
      <c r="U139" t="s">
        <v>783</v>
      </c>
      <c r="V139" s="105">
        <v>-959966</v>
      </c>
      <c r="W139" s="42" t="s">
        <v>991</v>
      </c>
      <c r="Y139">
        <v>5</v>
      </c>
      <c r="Z139">
        <v>2025</v>
      </c>
    </row>
    <row r="140" spans="1:26">
      <c r="A140" s="17" t="s">
        <v>989</v>
      </c>
      <c r="B140" s="17">
        <v>45806</v>
      </c>
      <c r="D140" t="s">
        <v>990</v>
      </c>
      <c r="E140" t="s">
        <v>901</v>
      </c>
      <c r="F140" t="s">
        <v>53</v>
      </c>
      <c r="G140" t="s">
        <v>908</v>
      </c>
      <c r="H140" t="s">
        <v>56</v>
      </c>
      <c r="J140" t="s">
        <v>903</v>
      </c>
      <c r="K140" s="9" t="s">
        <v>904</v>
      </c>
      <c r="L140" s="9" t="s">
        <v>905</v>
      </c>
      <c r="M140" s="17" t="s">
        <v>45</v>
      </c>
      <c r="N140" t="s">
        <v>47</v>
      </c>
      <c r="O140" t="s">
        <v>986</v>
      </c>
      <c r="P140" s="17">
        <v>45806</v>
      </c>
      <c r="Q140" s="18">
        <v>5</v>
      </c>
      <c r="R140">
        <v>2025</v>
      </c>
      <c r="T140" t="s">
        <v>780</v>
      </c>
      <c r="U140" t="s">
        <v>783</v>
      </c>
      <c r="V140" s="105">
        <v>-631890</v>
      </c>
      <c r="W140" s="42" t="s">
        <v>991</v>
      </c>
      <c r="Y140">
        <v>5</v>
      </c>
      <c r="Z140">
        <v>2025</v>
      </c>
    </row>
    <row r="141" spans="1:26">
      <c r="A141" s="17" t="s">
        <v>989</v>
      </c>
      <c r="B141" s="17">
        <v>45806</v>
      </c>
      <c r="D141" t="s">
        <v>990</v>
      </c>
      <c r="E141" t="s">
        <v>901</v>
      </c>
      <c r="F141" t="s">
        <v>53</v>
      </c>
      <c r="G141" t="s">
        <v>909</v>
      </c>
      <c r="H141" t="s">
        <v>56</v>
      </c>
      <c r="J141" t="s">
        <v>903</v>
      </c>
      <c r="K141" s="9" t="s">
        <v>904</v>
      </c>
      <c r="L141" s="9" t="s">
        <v>905</v>
      </c>
      <c r="M141" s="17" t="s">
        <v>45</v>
      </c>
      <c r="N141" t="s">
        <v>47</v>
      </c>
      <c r="O141" t="s">
        <v>986</v>
      </c>
      <c r="P141" s="17">
        <v>45806</v>
      </c>
      <c r="Q141" s="18">
        <v>5</v>
      </c>
      <c r="R141">
        <v>2025</v>
      </c>
      <c r="T141" t="s">
        <v>780</v>
      </c>
      <c r="U141" t="s">
        <v>783</v>
      </c>
      <c r="V141" s="105">
        <v>-324664</v>
      </c>
      <c r="W141" s="42" t="s">
        <v>991</v>
      </c>
      <c r="Y141">
        <v>5</v>
      </c>
      <c r="Z141">
        <v>2025</v>
      </c>
    </row>
    <row r="142" spans="1:26">
      <c r="A142" s="17" t="s">
        <v>989</v>
      </c>
      <c r="B142" s="17">
        <v>45806</v>
      </c>
      <c r="D142" t="s">
        <v>990</v>
      </c>
      <c r="E142" t="s">
        <v>901</v>
      </c>
      <c r="F142" t="s">
        <v>53</v>
      </c>
      <c r="G142" t="s">
        <v>910</v>
      </c>
      <c r="H142" t="s">
        <v>56</v>
      </c>
      <c r="J142" t="s">
        <v>903</v>
      </c>
      <c r="K142" s="9" t="s">
        <v>904</v>
      </c>
      <c r="L142" s="9" t="s">
        <v>905</v>
      </c>
      <c r="M142" s="17" t="s">
        <v>45</v>
      </c>
      <c r="N142" t="s">
        <v>47</v>
      </c>
      <c r="O142" t="s">
        <v>986</v>
      </c>
      <c r="P142" s="17">
        <v>45806</v>
      </c>
      <c r="Q142" s="18">
        <v>5</v>
      </c>
      <c r="R142">
        <v>2025</v>
      </c>
      <c r="T142" t="s">
        <v>780</v>
      </c>
      <c r="U142" t="s">
        <v>783</v>
      </c>
      <c r="V142" s="105">
        <v>-617097</v>
      </c>
      <c r="W142" s="42" t="s">
        <v>991</v>
      </c>
      <c r="Y142">
        <v>5</v>
      </c>
      <c r="Z142">
        <v>2025</v>
      </c>
    </row>
    <row r="143" spans="1:26">
      <c r="A143" s="17" t="s">
        <v>989</v>
      </c>
      <c r="B143" s="17">
        <v>45806</v>
      </c>
      <c r="D143" t="s">
        <v>990</v>
      </c>
      <c r="E143" t="s">
        <v>901</v>
      </c>
      <c r="F143" t="s">
        <v>53</v>
      </c>
      <c r="G143" t="s">
        <v>914</v>
      </c>
      <c r="H143" t="s">
        <v>56</v>
      </c>
      <c r="J143" t="s">
        <v>911</v>
      </c>
      <c r="K143" s="9" t="s">
        <v>912</v>
      </c>
      <c r="L143" s="9" t="s">
        <v>905</v>
      </c>
      <c r="M143" s="17" t="s">
        <v>45</v>
      </c>
      <c r="N143" t="s">
        <v>47</v>
      </c>
      <c r="O143" t="s">
        <v>986</v>
      </c>
      <c r="P143" s="17">
        <v>45806</v>
      </c>
      <c r="Q143" s="18">
        <v>5</v>
      </c>
      <c r="R143">
        <v>2025</v>
      </c>
      <c r="T143" t="s">
        <v>776</v>
      </c>
      <c r="U143" t="s">
        <v>783</v>
      </c>
      <c r="V143" s="105">
        <v>-29121</v>
      </c>
      <c r="W143" s="42" t="s">
        <v>991</v>
      </c>
      <c r="Y143">
        <v>5</v>
      </c>
      <c r="Z143">
        <v>2025</v>
      </c>
    </row>
    <row r="144" spans="1:26">
      <c r="A144" s="17" t="s">
        <v>989</v>
      </c>
      <c r="B144" s="17">
        <v>45806</v>
      </c>
      <c r="D144" t="s">
        <v>990</v>
      </c>
      <c r="E144" t="s">
        <v>901</v>
      </c>
      <c r="F144" t="s">
        <v>53</v>
      </c>
      <c r="G144" t="s">
        <v>967</v>
      </c>
      <c r="H144" t="s">
        <v>56</v>
      </c>
      <c r="J144" t="s">
        <v>911</v>
      </c>
      <c r="K144" s="9" t="s">
        <v>912</v>
      </c>
      <c r="L144" s="9" t="s">
        <v>905</v>
      </c>
      <c r="M144" s="17" t="s">
        <v>45</v>
      </c>
      <c r="N144" t="s">
        <v>47</v>
      </c>
      <c r="O144" t="s">
        <v>986</v>
      </c>
      <c r="P144" s="17">
        <v>45806</v>
      </c>
      <c r="Q144" s="18">
        <v>5</v>
      </c>
      <c r="R144">
        <v>2025</v>
      </c>
      <c r="T144" t="s">
        <v>776</v>
      </c>
      <c r="U144" t="s">
        <v>783</v>
      </c>
      <c r="V144" s="105">
        <v>-277761</v>
      </c>
      <c r="W144" s="42" t="s">
        <v>991</v>
      </c>
      <c r="Y144">
        <v>5</v>
      </c>
      <c r="Z144">
        <v>2025</v>
      </c>
    </row>
    <row r="145" spans="1:26">
      <c r="A145" s="17" t="s">
        <v>989</v>
      </c>
      <c r="B145" s="17">
        <v>45806</v>
      </c>
      <c r="D145" t="s">
        <v>990</v>
      </c>
      <c r="E145" t="s">
        <v>901</v>
      </c>
      <c r="F145" t="s">
        <v>53</v>
      </c>
      <c r="G145" t="s">
        <v>914</v>
      </c>
      <c r="H145" t="s">
        <v>56</v>
      </c>
      <c r="J145" t="s">
        <v>911</v>
      </c>
      <c r="K145" s="9" t="s">
        <v>912</v>
      </c>
      <c r="L145" s="9" t="s">
        <v>905</v>
      </c>
      <c r="M145" s="17" t="s">
        <v>45</v>
      </c>
      <c r="N145" t="s">
        <v>47</v>
      </c>
      <c r="O145" t="s">
        <v>986</v>
      </c>
      <c r="P145" s="17">
        <v>45806</v>
      </c>
      <c r="Q145" s="18">
        <v>5</v>
      </c>
      <c r="R145">
        <v>2025</v>
      </c>
      <c r="T145" t="s">
        <v>776</v>
      </c>
      <c r="U145" t="s">
        <v>783</v>
      </c>
      <c r="V145" s="105">
        <v>-11987</v>
      </c>
      <c r="W145" s="42" t="s">
        <v>991</v>
      </c>
      <c r="Y145">
        <v>5</v>
      </c>
      <c r="Z145">
        <v>2025</v>
      </c>
    </row>
    <row r="146" spans="1:26">
      <c r="A146" s="17" t="s">
        <v>989</v>
      </c>
      <c r="B146" s="17">
        <v>45806</v>
      </c>
      <c r="D146" t="s">
        <v>990</v>
      </c>
      <c r="E146" t="s">
        <v>901</v>
      </c>
      <c r="F146" t="s">
        <v>53</v>
      </c>
      <c r="G146" t="s">
        <v>915</v>
      </c>
      <c r="H146" t="s">
        <v>56</v>
      </c>
      <c r="J146" t="s">
        <v>911</v>
      </c>
      <c r="K146" s="9" t="s">
        <v>912</v>
      </c>
      <c r="L146" s="9" t="s">
        <v>905</v>
      </c>
      <c r="M146" s="17" t="s">
        <v>45</v>
      </c>
      <c r="N146" t="s">
        <v>47</v>
      </c>
      <c r="O146" t="s">
        <v>986</v>
      </c>
      <c r="P146" s="17">
        <v>45806</v>
      </c>
      <c r="Q146" s="18">
        <v>5</v>
      </c>
      <c r="R146">
        <v>2025</v>
      </c>
      <c r="T146" t="s">
        <v>776</v>
      </c>
      <c r="U146" t="s">
        <v>783</v>
      </c>
      <c r="V146" s="105">
        <v>-10358</v>
      </c>
      <c r="W146" s="42" t="s">
        <v>991</v>
      </c>
      <c r="Y146">
        <v>5</v>
      </c>
      <c r="Z146">
        <v>2025</v>
      </c>
    </row>
    <row r="147" spans="1:26">
      <c r="A147" s="17" t="s">
        <v>989</v>
      </c>
      <c r="B147" s="17">
        <v>45806</v>
      </c>
      <c r="D147" t="s">
        <v>990</v>
      </c>
      <c r="E147" t="s">
        <v>901</v>
      </c>
      <c r="F147" t="s">
        <v>53</v>
      </c>
      <c r="G147" t="s">
        <v>967</v>
      </c>
      <c r="H147" t="s">
        <v>56</v>
      </c>
      <c r="J147" t="s">
        <v>911</v>
      </c>
      <c r="K147" s="9" t="s">
        <v>912</v>
      </c>
      <c r="L147" s="9" t="s">
        <v>905</v>
      </c>
      <c r="M147" s="17" t="s">
        <v>45</v>
      </c>
      <c r="N147" t="s">
        <v>47</v>
      </c>
      <c r="O147" t="s">
        <v>986</v>
      </c>
      <c r="P147" s="17">
        <v>45806</v>
      </c>
      <c r="Q147" s="18">
        <v>5</v>
      </c>
      <c r="R147">
        <v>2025</v>
      </c>
      <c r="T147" t="s">
        <v>776</v>
      </c>
      <c r="U147" t="s">
        <v>783</v>
      </c>
      <c r="V147" s="105">
        <v>-59683</v>
      </c>
      <c r="W147" s="42" t="s">
        <v>991</v>
      </c>
      <c r="Y147">
        <v>5</v>
      </c>
      <c r="Z147">
        <v>2025</v>
      </c>
    </row>
    <row r="148" spans="1:26">
      <c r="A148" s="17" t="s">
        <v>989</v>
      </c>
      <c r="B148" s="17">
        <v>45806</v>
      </c>
      <c r="D148" t="s">
        <v>990</v>
      </c>
      <c r="E148" t="s">
        <v>901</v>
      </c>
      <c r="F148" t="s">
        <v>53</v>
      </c>
      <c r="G148" t="s">
        <v>914</v>
      </c>
      <c r="H148" t="s">
        <v>56</v>
      </c>
      <c r="J148" t="s">
        <v>911</v>
      </c>
      <c r="K148" s="9" t="s">
        <v>912</v>
      </c>
      <c r="L148" s="9" t="s">
        <v>905</v>
      </c>
      <c r="M148" s="17" t="s">
        <v>45</v>
      </c>
      <c r="N148" t="s">
        <v>47</v>
      </c>
      <c r="O148" t="s">
        <v>986</v>
      </c>
      <c r="P148" s="17">
        <v>45806</v>
      </c>
      <c r="Q148" s="18">
        <v>5</v>
      </c>
      <c r="R148">
        <v>2025</v>
      </c>
      <c r="T148" t="s">
        <v>776</v>
      </c>
      <c r="U148" t="s">
        <v>783</v>
      </c>
      <c r="V148" s="105">
        <v>-1797870</v>
      </c>
      <c r="W148" s="42" t="s">
        <v>991</v>
      </c>
      <c r="Y148">
        <v>5</v>
      </c>
      <c r="Z148">
        <v>2025</v>
      </c>
    </row>
    <row r="149" spans="1:26">
      <c r="A149" s="17" t="s">
        <v>989</v>
      </c>
      <c r="B149" s="17">
        <v>45806</v>
      </c>
      <c r="D149" t="s">
        <v>990</v>
      </c>
      <c r="E149" t="s">
        <v>901</v>
      </c>
      <c r="F149" t="s">
        <v>53</v>
      </c>
      <c r="G149" t="s">
        <v>910</v>
      </c>
      <c r="H149" t="s">
        <v>56</v>
      </c>
      <c r="J149" t="s">
        <v>911</v>
      </c>
      <c r="K149" s="9" t="s">
        <v>912</v>
      </c>
      <c r="L149" s="9" t="s">
        <v>905</v>
      </c>
      <c r="M149" s="17" t="s">
        <v>45</v>
      </c>
      <c r="N149" t="s">
        <v>47</v>
      </c>
      <c r="O149" t="s">
        <v>986</v>
      </c>
      <c r="P149" s="17">
        <v>45806</v>
      </c>
      <c r="Q149" s="18">
        <v>5</v>
      </c>
      <c r="R149">
        <v>2025</v>
      </c>
      <c r="T149" t="s">
        <v>776</v>
      </c>
      <c r="U149" t="s">
        <v>783</v>
      </c>
      <c r="V149" s="105">
        <v>-204750</v>
      </c>
      <c r="W149" s="42" t="s">
        <v>991</v>
      </c>
      <c r="Y149">
        <v>5</v>
      </c>
      <c r="Z149">
        <v>2025</v>
      </c>
    </row>
    <row r="150" spans="1:26">
      <c r="A150" s="17" t="s">
        <v>989</v>
      </c>
      <c r="B150" s="17">
        <v>45806</v>
      </c>
      <c r="D150" t="s">
        <v>990</v>
      </c>
      <c r="E150" t="s">
        <v>901</v>
      </c>
      <c r="F150" t="s">
        <v>53</v>
      </c>
      <c r="G150" t="s">
        <v>915</v>
      </c>
      <c r="H150" t="s">
        <v>56</v>
      </c>
      <c r="J150" t="s">
        <v>911</v>
      </c>
      <c r="K150" s="9" t="s">
        <v>912</v>
      </c>
      <c r="L150" s="9" t="s">
        <v>905</v>
      </c>
      <c r="M150" s="17" t="s">
        <v>45</v>
      </c>
      <c r="N150" t="s">
        <v>47</v>
      </c>
      <c r="O150" t="s">
        <v>986</v>
      </c>
      <c r="P150" s="17">
        <v>45806</v>
      </c>
      <c r="Q150" s="18">
        <v>5</v>
      </c>
      <c r="R150">
        <v>2025</v>
      </c>
      <c r="T150" t="s">
        <v>776</v>
      </c>
      <c r="U150" t="s">
        <v>783</v>
      </c>
      <c r="V150" s="105">
        <v>-195741</v>
      </c>
      <c r="W150" s="42" t="s">
        <v>991</v>
      </c>
      <c r="Y150">
        <v>5</v>
      </c>
      <c r="Z150">
        <v>2025</v>
      </c>
    </row>
    <row r="151" spans="1:26">
      <c r="A151" s="17" t="s">
        <v>989</v>
      </c>
      <c r="B151" s="17">
        <v>45806</v>
      </c>
      <c r="D151" t="s">
        <v>990</v>
      </c>
      <c r="E151" t="s">
        <v>901</v>
      </c>
      <c r="F151" t="s">
        <v>53</v>
      </c>
      <c r="G151" t="s">
        <v>967</v>
      </c>
      <c r="H151" t="s">
        <v>56</v>
      </c>
      <c r="J151" t="s">
        <v>911</v>
      </c>
      <c r="K151" s="9" t="s">
        <v>912</v>
      </c>
      <c r="L151" s="9" t="s">
        <v>905</v>
      </c>
      <c r="M151" s="17" t="s">
        <v>45</v>
      </c>
      <c r="N151" t="s">
        <v>47</v>
      </c>
      <c r="O151" t="s">
        <v>986</v>
      </c>
      <c r="P151" s="17">
        <v>45806</v>
      </c>
      <c r="Q151" s="18">
        <v>5</v>
      </c>
      <c r="R151">
        <v>2025</v>
      </c>
      <c r="T151" t="s">
        <v>776</v>
      </c>
      <c r="U151" t="s">
        <v>783</v>
      </c>
      <c r="V151" s="105">
        <v>-305212</v>
      </c>
      <c r="W151" s="42" t="s">
        <v>991</v>
      </c>
      <c r="Y151">
        <v>5</v>
      </c>
      <c r="Z151">
        <v>2025</v>
      </c>
    </row>
    <row r="152" spans="1:26">
      <c r="A152" s="17" t="s">
        <v>989</v>
      </c>
      <c r="B152" s="17">
        <v>45806</v>
      </c>
      <c r="D152" t="s">
        <v>990</v>
      </c>
      <c r="E152" t="s">
        <v>901</v>
      </c>
      <c r="F152" t="s">
        <v>53</v>
      </c>
      <c r="G152" t="s">
        <v>916</v>
      </c>
      <c r="H152" t="s">
        <v>56</v>
      </c>
      <c r="J152" t="s">
        <v>911</v>
      </c>
      <c r="K152" s="9" t="s">
        <v>912</v>
      </c>
      <c r="L152" s="9" t="s">
        <v>905</v>
      </c>
      <c r="M152" s="17" t="s">
        <v>45</v>
      </c>
      <c r="N152" t="s">
        <v>47</v>
      </c>
      <c r="O152" t="s">
        <v>986</v>
      </c>
      <c r="P152" s="17">
        <v>45806</v>
      </c>
      <c r="Q152" s="18">
        <v>5</v>
      </c>
      <c r="R152">
        <v>2025</v>
      </c>
      <c r="T152" t="s">
        <v>776</v>
      </c>
      <c r="U152" t="s">
        <v>783</v>
      </c>
      <c r="V152" s="105">
        <v>-30155</v>
      </c>
      <c r="W152" s="42" t="s">
        <v>991</v>
      </c>
      <c r="Y152">
        <v>5</v>
      </c>
      <c r="Z152">
        <v>2025</v>
      </c>
    </row>
    <row r="153" spans="1:26">
      <c r="A153" s="17" t="s">
        <v>992</v>
      </c>
      <c r="B153" s="17">
        <v>45834</v>
      </c>
      <c r="D153" t="s">
        <v>993</v>
      </c>
      <c r="E153" t="s">
        <v>901</v>
      </c>
      <c r="F153" t="s">
        <v>53</v>
      </c>
      <c r="G153" t="s">
        <v>902</v>
      </c>
      <c r="H153" t="s">
        <v>56</v>
      </c>
      <c r="J153" t="s">
        <v>903</v>
      </c>
      <c r="K153" s="9" t="s">
        <v>904</v>
      </c>
      <c r="L153" s="9" t="s">
        <v>905</v>
      </c>
      <c r="M153" s="17" t="s">
        <v>45</v>
      </c>
      <c r="N153" t="s">
        <v>47</v>
      </c>
      <c r="O153" t="s">
        <v>994</v>
      </c>
      <c r="P153" s="17">
        <v>45834</v>
      </c>
      <c r="Q153" s="18">
        <v>6</v>
      </c>
      <c r="R153">
        <v>2025</v>
      </c>
      <c r="T153" t="s">
        <v>780</v>
      </c>
      <c r="U153" t="s">
        <v>783</v>
      </c>
      <c r="V153" s="105">
        <v>-472028</v>
      </c>
      <c r="W153" s="42" t="s">
        <v>995</v>
      </c>
      <c r="Y153">
        <v>6</v>
      </c>
      <c r="Z153">
        <v>2025</v>
      </c>
    </row>
    <row r="154" spans="1:26">
      <c r="A154" s="17" t="s">
        <v>992</v>
      </c>
      <c r="B154" s="17">
        <v>45834</v>
      </c>
      <c r="D154" t="s">
        <v>993</v>
      </c>
      <c r="E154" t="s">
        <v>901</v>
      </c>
      <c r="F154" t="s">
        <v>53</v>
      </c>
      <c r="G154" t="s">
        <v>909</v>
      </c>
      <c r="H154" t="s">
        <v>56</v>
      </c>
      <c r="J154" t="s">
        <v>903</v>
      </c>
      <c r="K154" s="9" t="s">
        <v>904</v>
      </c>
      <c r="L154" s="9" t="s">
        <v>905</v>
      </c>
      <c r="M154" s="17" t="s">
        <v>45</v>
      </c>
      <c r="N154" t="s">
        <v>47</v>
      </c>
      <c r="O154" t="s">
        <v>994</v>
      </c>
      <c r="P154" s="17">
        <v>45834</v>
      </c>
      <c r="Q154" s="18">
        <v>6</v>
      </c>
      <c r="R154">
        <v>2025</v>
      </c>
      <c r="T154" t="s">
        <v>780</v>
      </c>
      <c r="U154" t="s">
        <v>783</v>
      </c>
      <c r="V154" s="105">
        <v>-235887</v>
      </c>
      <c r="W154" s="42" t="s">
        <v>995</v>
      </c>
      <c r="Y154">
        <v>6</v>
      </c>
      <c r="Z154">
        <v>2025</v>
      </c>
    </row>
    <row r="155" spans="1:26">
      <c r="A155" s="17" t="s">
        <v>992</v>
      </c>
      <c r="B155" s="17">
        <v>45834</v>
      </c>
      <c r="D155" t="s">
        <v>993</v>
      </c>
      <c r="E155" t="s">
        <v>901</v>
      </c>
      <c r="F155" t="s">
        <v>53</v>
      </c>
      <c r="G155" t="s">
        <v>910</v>
      </c>
      <c r="H155" t="s">
        <v>56</v>
      </c>
      <c r="J155" t="s">
        <v>903</v>
      </c>
      <c r="K155" s="9" t="s">
        <v>904</v>
      </c>
      <c r="L155" s="9" t="s">
        <v>905</v>
      </c>
      <c r="M155" s="17" t="s">
        <v>45</v>
      </c>
      <c r="N155" t="s">
        <v>47</v>
      </c>
      <c r="O155" t="s">
        <v>994</v>
      </c>
      <c r="P155" s="17">
        <v>45834</v>
      </c>
      <c r="Q155" s="18">
        <v>6</v>
      </c>
      <c r="R155">
        <v>2025</v>
      </c>
      <c r="T155" t="s">
        <v>780</v>
      </c>
      <c r="U155" t="s">
        <v>783</v>
      </c>
      <c r="V155" s="105">
        <v>-393060</v>
      </c>
      <c r="W155" s="42" t="s">
        <v>995</v>
      </c>
      <c r="Y155">
        <v>6</v>
      </c>
      <c r="Z155">
        <v>2025</v>
      </c>
    </row>
    <row r="156" spans="1:26">
      <c r="A156" s="17" t="s">
        <v>992</v>
      </c>
      <c r="B156" s="17">
        <v>45834</v>
      </c>
      <c r="D156" t="s">
        <v>993</v>
      </c>
      <c r="E156" t="s">
        <v>901</v>
      </c>
      <c r="F156" t="s">
        <v>53</v>
      </c>
      <c r="G156" t="s">
        <v>914</v>
      </c>
      <c r="H156" t="s">
        <v>56</v>
      </c>
      <c r="J156" t="s">
        <v>911</v>
      </c>
      <c r="K156" s="9" t="s">
        <v>912</v>
      </c>
      <c r="L156" s="9" t="s">
        <v>905</v>
      </c>
      <c r="M156" s="17" t="s">
        <v>45</v>
      </c>
      <c r="N156" t="s">
        <v>47</v>
      </c>
      <c r="O156" t="s">
        <v>996</v>
      </c>
      <c r="P156" s="17">
        <v>45834</v>
      </c>
      <c r="Q156" s="18">
        <v>6</v>
      </c>
      <c r="R156">
        <v>2025</v>
      </c>
      <c r="T156" t="s">
        <v>776</v>
      </c>
      <c r="U156" t="s">
        <v>783</v>
      </c>
      <c r="V156" s="105">
        <v>-63098</v>
      </c>
      <c r="W156" s="42" t="s">
        <v>995</v>
      </c>
      <c r="Y156">
        <v>6</v>
      </c>
      <c r="Z156">
        <v>2025</v>
      </c>
    </row>
    <row r="157" spans="1:26">
      <c r="A157" s="17" t="s">
        <v>992</v>
      </c>
      <c r="B157" s="17">
        <v>45834</v>
      </c>
      <c r="D157" t="s">
        <v>993</v>
      </c>
      <c r="E157" t="s">
        <v>901</v>
      </c>
      <c r="F157" t="s">
        <v>53</v>
      </c>
      <c r="G157" t="s">
        <v>915</v>
      </c>
      <c r="H157" t="s">
        <v>56</v>
      </c>
      <c r="J157" t="s">
        <v>911</v>
      </c>
      <c r="K157" s="9" t="s">
        <v>912</v>
      </c>
      <c r="L157" s="9" t="s">
        <v>905</v>
      </c>
      <c r="M157" s="17" t="s">
        <v>45</v>
      </c>
      <c r="N157" t="s">
        <v>47</v>
      </c>
      <c r="O157" t="s">
        <v>996</v>
      </c>
      <c r="P157" s="17">
        <v>45834</v>
      </c>
      <c r="Q157" s="18">
        <v>6</v>
      </c>
      <c r="R157">
        <v>2025</v>
      </c>
      <c r="T157" t="s">
        <v>776</v>
      </c>
      <c r="U157" t="s">
        <v>783</v>
      </c>
      <c r="V157" s="105">
        <v>-89581</v>
      </c>
      <c r="W157" s="42" t="s">
        <v>995</v>
      </c>
      <c r="Y157">
        <v>6</v>
      </c>
      <c r="Z157">
        <v>2025</v>
      </c>
    </row>
    <row r="158" spans="1:26">
      <c r="A158" s="17" t="s">
        <v>992</v>
      </c>
      <c r="B158" s="17">
        <v>45834</v>
      </c>
      <c r="D158" t="s">
        <v>993</v>
      </c>
      <c r="E158" t="s">
        <v>901</v>
      </c>
      <c r="F158" t="s">
        <v>53</v>
      </c>
      <c r="G158" t="s">
        <v>902</v>
      </c>
      <c r="H158" t="s">
        <v>56</v>
      </c>
      <c r="J158" t="s">
        <v>911</v>
      </c>
      <c r="K158" s="9" t="s">
        <v>912</v>
      </c>
      <c r="L158" s="9" t="s">
        <v>905</v>
      </c>
      <c r="M158" s="17" t="s">
        <v>45</v>
      </c>
      <c r="N158" t="s">
        <v>47</v>
      </c>
      <c r="O158" t="s">
        <v>996</v>
      </c>
      <c r="P158" s="17">
        <v>45834</v>
      </c>
      <c r="Q158" s="18">
        <v>6</v>
      </c>
      <c r="R158">
        <v>2025</v>
      </c>
      <c r="T158" t="s">
        <v>776</v>
      </c>
      <c r="U158" t="s">
        <v>783</v>
      </c>
      <c r="V158" s="105">
        <v>-11074</v>
      </c>
      <c r="W158" s="42" t="s">
        <v>995</v>
      </c>
      <c r="Y158">
        <v>6</v>
      </c>
      <c r="Z158">
        <v>2025</v>
      </c>
    </row>
    <row r="159" spans="1:26">
      <c r="A159" s="17" t="s">
        <v>992</v>
      </c>
      <c r="B159" s="17">
        <v>45834</v>
      </c>
      <c r="D159" t="s">
        <v>993</v>
      </c>
      <c r="E159" t="s">
        <v>901</v>
      </c>
      <c r="F159" t="s">
        <v>53</v>
      </c>
      <c r="G159" t="s">
        <v>914</v>
      </c>
      <c r="H159" t="s">
        <v>56</v>
      </c>
      <c r="J159" t="s">
        <v>911</v>
      </c>
      <c r="K159" s="9" t="s">
        <v>912</v>
      </c>
      <c r="L159" s="9" t="s">
        <v>905</v>
      </c>
      <c r="M159" s="17" t="s">
        <v>45</v>
      </c>
      <c r="N159" t="s">
        <v>47</v>
      </c>
      <c r="O159" t="s">
        <v>996</v>
      </c>
      <c r="P159" s="17">
        <v>45834</v>
      </c>
      <c r="Q159" s="18">
        <v>6</v>
      </c>
      <c r="R159">
        <v>2025</v>
      </c>
      <c r="T159" t="s">
        <v>776</v>
      </c>
      <c r="U159" t="s">
        <v>783</v>
      </c>
      <c r="V159" s="105">
        <v>-3432958</v>
      </c>
      <c r="W159" s="42" t="s">
        <v>995</v>
      </c>
      <c r="Y159">
        <v>6</v>
      </c>
      <c r="Z159">
        <v>2025</v>
      </c>
    </row>
    <row r="160" spans="1:26">
      <c r="A160" s="17" t="s">
        <v>992</v>
      </c>
      <c r="B160" s="17">
        <v>45834</v>
      </c>
      <c r="D160" t="s">
        <v>993</v>
      </c>
      <c r="E160" t="s">
        <v>901</v>
      </c>
      <c r="F160" t="s">
        <v>53</v>
      </c>
      <c r="G160" t="s">
        <v>915</v>
      </c>
      <c r="H160" t="s">
        <v>56</v>
      </c>
      <c r="J160" t="s">
        <v>911</v>
      </c>
      <c r="K160" s="9" t="s">
        <v>912</v>
      </c>
      <c r="L160" s="9" t="s">
        <v>905</v>
      </c>
      <c r="M160" s="17" t="s">
        <v>45</v>
      </c>
      <c r="N160" t="s">
        <v>47</v>
      </c>
      <c r="O160" t="s">
        <v>996</v>
      </c>
      <c r="P160" s="17">
        <v>45834</v>
      </c>
      <c r="Q160" s="18">
        <v>6</v>
      </c>
      <c r="R160">
        <v>2025</v>
      </c>
      <c r="T160" t="s">
        <v>776</v>
      </c>
      <c r="U160" t="s">
        <v>783</v>
      </c>
      <c r="V160" s="105">
        <v>-1445100</v>
      </c>
      <c r="W160" s="42" t="s">
        <v>995</v>
      </c>
      <c r="Y160">
        <v>6</v>
      </c>
      <c r="Z160">
        <v>2025</v>
      </c>
    </row>
    <row r="161" spans="1:29">
      <c r="A161" s="17" t="s">
        <v>992</v>
      </c>
      <c r="B161" s="17">
        <v>45834</v>
      </c>
      <c r="D161" t="s">
        <v>993</v>
      </c>
      <c r="E161" t="s">
        <v>901</v>
      </c>
      <c r="F161" t="s">
        <v>53</v>
      </c>
      <c r="G161" t="s">
        <v>916</v>
      </c>
      <c r="H161" t="s">
        <v>56</v>
      </c>
      <c r="J161" t="s">
        <v>911</v>
      </c>
      <c r="K161" s="9" t="s">
        <v>912</v>
      </c>
      <c r="L161" s="9" t="s">
        <v>905</v>
      </c>
      <c r="M161" s="17" t="s">
        <v>45</v>
      </c>
      <c r="N161" t="s">
        <v>47</v>
      </c>
      <c r="O161" t="s">
        <v>996</v>
      </c>
      <c r="P161" s="17">
        <v>45834</v>
      </c>
      <c r="Q161" s="18">
        <v>6</v>
      </c>
      <c r="R161">
        <v>2025</v>
      </c>
      <c r="T161" t="s">
        <v>776</v>
      </c>
      <c r="U161" t="s">
        <v>783</v>
      </c>
      <c r="V161" s="105">
        <v>-235198</v>
      </c>
      <c r="W161" s="42" t="s">
        <v>995</v>
      </c>
      <c r="Y161">
        <v>6</v>
      </c>
      <c r="Z161">
        <v>2025</v>
      </c>
    </row>
    <row r="162" spans="1:29" hidden="1">
      <c r="A162" s="17" t="s">
        <v>997</v>
      </c>
      <c r="B162" s="17">
        <v>45835</v>
      </c>
      <c r="D162" t="s">
        <v>998</v>
      </c>
      <c r="E162" t="s">
        <v>921</v>
      </c>
      <c r="F162" t="s">
        <v>53</v>
      </c>
      <c r="G162" t="s">
        <v>922</v>
      </c>
      <c r="H162" t="s">
        <v>56</v>
      </c>
      <c r="J162" t="s">
        <v>923</v>
      </c>
      <c r="K162" s="9" t="s">
        <v>924</v>
      </c>
      <c r="L162" s="9" t="s">
        <v>925</v>
      </c>
      <c r="M162" s="17" t="s">
        <v>926</v>
      </c>
      <c r="N162" t="s">
        <v>47</v>
      </c>
      <c r="O162" t="s">
        <v>58</v>
      </c>
      <c r="P162" s="17">
        <v>45835</v>
      </c>
      <c r="Q162" s="18">
        <v>6</v>
      </c>
      <c r="R162">
        <v>2025</v>
      </c>
      <c r="T162" t="s">
        <v>783</v>
      </c>
      <c r="U162" t="s">
        <v>783</v>
      </c>
      <c r="V162" s="105">
        <v>-425398</v>
      </c>
      <c r="W162" s="42" t="s">
        <v>999</v>
      </c>
      <c r="Y162">
        <v>6</v>
      </c>
      <c r="Z162">
        <v>2025</v>
      </c>
    </row>
    <row r="163" spans="1:29" hidden="1">
      <c r="A163" s="17" t="s">
        <v>1000</v>
      </c>
      <c r="B163" s="17">
        <v>45848</v>
      </c>
      <c r="D163" t="s">
        <v>1001</v>
      </c>
      <c r="E163" t="s">
        <v>901</v>
      </c>
      <c r="F163" t="s">
        <v>53</v>
      </c>
      <c r="G163" t="s">
        <v>908</v>
      </c>
      <c r="H163" t="s">
        <v>56</v>
      </c>
      <c r="J163" t="s">
        <v>903</v>
      </c>
      <c r="K163" s="9" t="s">
        <v>904</v>
      </c>
      <c r="L163" s="9" t="s">
        <v>905</v>
      </c>
      <c r="M163" s="17" t="s">
        <v>45</v>
      </c>
      <c r="N163" t="s">
        <v>47</v>
      </c>
      <c r="O163" t="s">
        <v>1002</v>
      </c>
      <c r="P163" s="17">
        <v>45848</v>
      </c>
      <c r="Q163" s="117">
        <v>7</v>
      </c>
      <c r="R163" s="117">
        <v>2025</v>
      </c>
      <c r="T163" s="117" t="s">
        <v>783</v>
      </c>
      <c r="U163" t="s">
        <v>783</v>
      </c>
      <c r="V163" s="105">
        <v>-2885655</v>
      </c>
      <c r="W163" s="42" t="s">
        <v>1003</v>
      </c>
      <c r="Y163">
        <v>7</v>
      </c>
      <c r="Z163">
        <v>2025</v>
      </c>
      <c r="AC163" s="117" t="s">
        <v>1189</v>
      </c>
    </row>
    <row r="164" spans="1:29" hidden="1">
      <c r="A164" s="17" t="s">
        <v>1004</v>
      </c>
      <c r="B164" s="17">
        <v>45852</v>
      </c>
      <c r="D164" t="s">
        <v>1005</v>
      </c>
      <c r="E164" t="s">
        <v>935</v>
      </c>
      <c r="F164" t="s">
        <v>53</v>
      </c>
      <c r="G164" t="s">
        <v>908</v>
      </c>
      <c r="H164" t="s">
        <v>56</v>
      </c>
      <c r="J164" t="s">
        <v>1006</v>
      </c>
      <c r="K164" s="9" t="s">
        <v>1007</v>
      </c>
      <c r="L164" s="9" t="s">
        <v>925</v>
      </c>
      <c r="M164" s="17" t="s">
        <v>926</v>
      </c>
      <c r="N164" t="s">
        <v>47</v>
      </c>
      <c r="O164" t="s">
        <v>58</v>
      </c>
      <c r="P164" s="17">
        <v>45852</v>
      </c>
      <c r="Q164" s="18">
        <v>7</v>
      </c>
      <c r="R164">
        <v>2025</v>
      </c>
      <c r="T164" t="s">
        <v>783</v>
      </c>
      <c r="U164" t="s">
        <v>783</v>
      </c>
      <c r="V164" s="105">
        <v>2885655</v>
      </c>
      <c r="W164" s="42" t="s">
        <v>1008</v>
      </c>
      <c r="Y164">
        <v>7</v>
      </c>
      <c r="Z164">
        <v>2025</v>
      </c>
    </row>
    <row r="165" spans="1:29" hidden="1">
      <c r="A165" s="17" t="s">
        <v>1009</v>
      </c>
      <c r="B165" s="17">
        <v>45866</v>
      </c>
      <c r="D165" t="s">
        <v>1010</v>
      </c>
      <c r="E165" t="s">
        <v>901</v>
      </c>
      <c r="F165" t="s">
        <v>53</v>
      </c>
      <c r="G165" t="s">
        <v>902</v>
      </c>
      <c r="H165" t="s">
        <v>56</v>
      </c>
      <c r="J165" t="s">
        <v>903</v>
      </c>
      <c r="K165" s="9" t="s">
        <v>904</v>
      </c>
      <c r="L165" s="9" t="s">
        <v>905</v>
      </c>
      <c r="M165" s="17" t="s">
        <v>45</v>
      </c>
      <c r="N165" t="s">
        <v>47</v>
      </c>
      <c r="O165" t="s">
        <v>1011</v>
      </c>
      <c r="P165" s="17">
        <v>45866</v>
      </c>
      <c r="Q165" s="18">
        <v>7</v>
      </c>
      <c r="R165">
        <v>2025</v>
      </c>
      <c r="T165" t="s">
        <v>780</v>
      </c>
      <c r="U165" t="s">
        <v>783</v>
      </c>
      <c r="V165" s="105">
        <v>-680081</v>
      </c>
      <c r="W165" s="42" t="s">
        <v>1012</v>
      </c>
      <c r="Y165">
        <v>7</v>
      </c>
      <c r="Z165">
        <v>2025</v>
      </c>
    </row>
    <row r="166" spans="1:29" hidden="1">
      <c r="A166" s="17" t="s">
        <v>1009</v>
      </c>
      <c r="B166" s="17">
        <v>45866</v>
      </c>
      <c r="D166" t="s">
        <v>1010</v>
      </c>
      <c r="E166" t="s">
        <v>901</v>
      </c>
      <c r="F166" t="s">
        <v>53</v>
      </c>
      <c r="G166" t="s">
        <v>909</v>
      </c>
      <c r="H166" t="s">
        <v>56</v>
      </c>
      <c r="J166" t="s">
        <v>903</v>
      </c>
      <c r="K166" s="9" t="s">
        <v>904</v>
      </c>
      <c r="L166" s="9" t="s">
        <v>905</v>
      </c>
      <c r="M166" s="17" t="s">
        <v>45</v>
      </c>
      <c r="N166" t="s">
        <v>47</v>
      </c>
      <c r="O166" t="s">
        <v>1011</v>
      </c>
      <c r="P166" s="17">
        <v>45866</v>
      </c>
      <c r="Q166" s="18">
        <v>7</v>
      </c>
      <c r="R166">
        <v>2025</v>
      </c>
      <c r="T166" t="s">
        <v>780</v>
      </c>
      <c r="U166" t="s">
        <v>783</v>
      </c>
      <c r="V166" s="105">
        <v>-123578</v>
      </c>
      <c r="W166" s="42" t="s">
        <v>1012</v>
      </c>
      <c r="Y166">
        <v>7</v>
      </c>
      <c r="Z166">
        <v>2025</v>
      </c>
    </row>
    <row r="167" spans="1:29" hidden="1">
      <c r="A167" s="17" t="s">
        <v>1009</v>
      </c>
      <c r="B167" s="17">
        <v>45866</v>
      </c>
      <c r="D167" t="s">
        <v>1010</v>
      </c>
      <c r="E167" t="s">
        <v>901</v>
      </c>
      <c r="F167" t="s">
        <v>53</v>
      </c>
      <c r="G167" t="s">
        <v>910</v>
      </c>
      <c r="H167" t="s">
        <v>56</v>
      </c>
      <c r="J167" t="s">
        <v>903</v>
      </c>
      <c r="K167" s="9" t="s">
        <v>904</v>
      </c>
      <c r="L167" s="9" t="s">
        <v>905</v>
      </c>
      <c r="M167" s="17" t="s">
        <v>45</v>
      </c>
      <c r="N167" t="s">
        <v>47</v>
      </c>
      <c r="O167" t="s">
        <v>1011</v>
      </c>
      <c r="P167" s="17">
        <v>45866</v>
      </c>
      <c r="Q167" s="18">
        <v>7</v>
      </c>
      <c r="R167">
        <v>2025</v>
      </c>
      <c r="T167" t="s">
        <v>780</v>
      </c>
      <c r="U167" t="s">
        <v>783</v>
      </c>
      <c r="V167" s="105">
        <v>-370934</v>
      </c>
      <c r="W167" s="42" t="s">
        <v>1012</v>
      </c>
      <c r="Y167">
        <v>7</v>
      </c>
      <c r="Z167">
        <v>2025</v>
      </c>
    </row>
    <row r="168" spans="1:29" hidden="1">
      <c r="A168" s="17" t="s">
        <v>1009</v>
      </c>
      <c r="B168" s="17">
        <v>45866</v>
      </c>
      <c r="D168" t="s">
        <v>1010</v>
      </c>
      <c r="E168" t="s">
        <v>901</v>
      </c>
      <c r="F168" t="s">
        <v>53</v>
      </c>
      <c r="G168" t="s">
        <v>914</v>
      </c>
      <c r="H168" t="s">
        <v>56</v>
      </c>
      <c r="J168" t="s">
        <v>911</v>
      </c>
      <c r="K168" s="9" t="s">
        <v>912</v>
      </c>
      <c r="L168" s="9" t="s">
        <v>905</v>
      </c>
      <c r="M168" s="17" t="s">
        <v>45</v>
      </c>
      <c r="N168" t="s">
        <v>47</v>
      </c>
      <c r="O168" t="s">
        <v>1013</v>
      </c>
      <c r="P168" s="17">
        <v>45866</v>
      </c>
      <c r="Q168" s="18">
        <v>7</v>
      </c>
      <c r="R168">
        <v>2025</v>
      </c>
      <c r="T168" t="s">
        <v>776</v>
      </c>
      <c r="U168" t="s">
        <v>783</v>
      </c>
      <c r="V168" s="105">
        <v>-65730</v>
      </c>
      <c r="W168" s="42" t="s">
        <v>1012</v>
      </c>
      <c r="Y168">
        <v>7</v>
      </c>
      <c r="Z168">
        <v>2025</v>
      </c>
    </row>
    <row r="169" spans="1:29" hidden="1">
      <c r="A169" s="17" t="s">
        <v>1009</v>
      </c>
      <c r="B169" s="17">
        <v>45866</v>
      </c>
      <c r="D169" t="s">
        <v>1010</v>
      </c>
      <c r="E169" t="s">
        <v>901</v>
      </c>
      <c r="F169" t="s">
        <v>53</v>
      </c>
      <c r="G169" t="s">
        <v>967</v>
      </c>
      <c r="H169" t="s">
        <v>56</v>
      </c>
      <c r="J169" t="s">
        <v>911</v>
      </c>
      <c r="K169" s="9" t="s">
        <v>912</v>
      </c>
      <c r="L169" s="9" t="s">
        <v>905</v>
      </c>
      <c r="M169" s="17" t="s">
        <v>45</v>
      </c>
      <c r="N169" t="s">
        <v>47</v>
      </c>
      <c r="O169" t="s">
        <v>1013</v>
      </c>
      <c r="P169" s="17">
        <v>45866</v>
      </c>
      <c r="Q169" s="18">
        <v>7</v>
      </c>
      <c r="R169">
        <v>2025</v>
      </c>
      <c r="T169" t="s">
        <v>776</v>
      </c>
      <c r="U169" t="s">
        <v>783</v>
      </c>
      <c r="V169" s="105">
        <v>-500883</v>
      </c>
      <c r="W169" s="42" t="s">
        <v>1012</v>
      </c>
      <c r="Y169">
        <v>7</v>
      </c>
      <c r="Z169">
        <v>2025</v>
      </c>
    </row>
    <row r="170" spans="1:29" hidden="1">
      <c r="A170" s="17" t="s">
        <v>1009</v>
      </c>
      <c r="B170" s="17">
        <v>45866</v>
      </c>
      <c r="D170" t="s">
        <v>1010</v>
      </c>
      <c r="E170" t="s">
        <v>901</v>
      </c>
      <c r="F170" t="s">
        <v>53</v>
      </c>
      <c r="G170" t="s">
        <v>914</v>
      </c>
      <c r="H170" t="s">
        <v>56</v>
      </c>
      <c r="J170" t="s">
        <v>911</v>
      </c>
      <c r="K170" s="9" t="s">
        <v>912</v>
      </c>
      <c r="L170" s="9" t="s">
        <v>905</v>
      </c>
      <c r="M170" s="17" t="s">
        <v>45</v>
      </c>
      <c r="N170" t="s">
        <v>47</v>
      </c>
      <c r="O170" t="s">
        <v>1013</v>
      </c>
      <c r="P170" s="17">
        <v>45866</v>
      </c>
      <c r="Q170" s="18">
        <v>7</v>
      </c>
      <c r="R170">
        <v>2025</v>
      </c>
      <c r="T170" t="s">
        <v>776</v>
      </c>
      <c r="U170" t="s">
        <v>783</v>
      </c>
      <c r="V170" s="105">
        <v>-136431</v>
      </c>
      <c r="W170" s="42" t="s">
        <v>1012</v>
      </c>
      <c r="Y170">
        <v>7</v>
      </c>
      <c r="Z170">
        <v>2025</v>
      </c>
    </row>
    <row r="171" spans="1:29" hidden="1">
      <c r="A171" s="17" t="s">
        <v>1009</v>
      </c>
      <c r="B171" s="17">
        <v>45866</v>
      </c>
      <c r="D171" t="s">
        <v>1010</v>
      </c>
      <c r="E171" t="s">
        <v>901</v>
      </c>
      <c r="F171" t="s">
        <v>53</v>
      </c>
      <c r="G171" t="s">
        <v>915</v>
      </c>
      <c r="H171" t="s">
        <v>56</v>
      </c>
      <c r="J171" t="s">
        <v>911</v>
      </c>
      <c r="K171" s="9" t="s">
        <v>912</v>
      </c>
      <c r="L171" s="9" t="s">
        <v>905</v>
      </c>
      <c r="M171" s="17" t="s">
        <v>45</v>
      </c>
      <c r="N171" t="s">
        <v>47</v>
      </c>
      <c r="O171" t="s">
        <v>1013</v>
      </c>
      <c r="P171" s="17">
        <v>45866</v>
      </c>
      <c r="Q171" s="18">
        <v>7</v>
      </c>
      <c r="R171">
        <v>2025</v>
      </c>
      <c r="T171" t="s">
        <v>776</v>
      </c>
      <c r="U171" t="s">
        <v>783</v>
      </c>
      <c r="V171" s="105">
        <v>-68285</v>
      </c>
      <c r="W171" s="42" t="s">
        <v>1012</v>
      </c>
      <c r="Y171">
        <v>7</v>
      </c>
      <c r="Z171">
        <v>2025</v>
      </c>
    </row>
    <row r="172" spans="1:29" hidden="1">
      <c r="A172" s="17" t="s">
        <v>1009</v>
      </c>
      <c r="B172" s="17">
        <v>45866</v>
      </c>
      <c r="D172" t="s">
        <v>1010</v>
      </c>
      <c r="E172" t="s">
        <v>901</v>
      </c>
      <c r="F172" t="s">
        <v>53</v>
      </c>
      <c r="G172" t="s">
        <v>902</v>
      </c>
      <c r="H172" t="s">
        <v>56</v>
      </c>
      <c r="J172" t="s">
        <v>911</v>
      </c>
      <c r="K172" s="9" t="s">
        <v>912</v>
      </c>
      <c r="L172" s="9" t="s">
        <v>905</v>
      </c>
      <c r="M172" s="17" t="s">
        <v>45</v>
      </c>
      <c r="N172" t="s">
        <v>47</v>
      </c>
      <c r="O172" t="s">
        <v>1013</v>
      </c>
      <c r="P172" s="17">
        <v>45866</v>
      </c>
      <c r="Q172" s="18">
        <v>7</v>
      </c>
      <c r="R172">
        <v>2025</v>
      </c>
      <c r="T172" t="s">
        <v>776</v>
      </c>
      <c r="U172" t="s">
        <v>783</v>
      </c>
      <c r="V172" s="105">
        <v>-444830</v>
      </c>
      <c r="W172" s="42" t="s">
        <v>1012</v>
      </c>
      <c r="Y172">
        <v>7</v>
      </c>
      <c r="Z172">
        <v>2025</v>
      </c>
    </row>
    <row r="173" spans="1:29" hidden="1">
      <c r="A173" s="17" t="s">
        <v>1009</v>
      </c>
      <c r="B173" s="17">
        <v>45866</v>
      </c>
      <c r="D173" t="s">
        <v>1010</v>
      </c>
      <c r="E173" t="s">
        <v>901</v>
      </c>
      <c r="F173" t="s">
        <v>53</v>
      </c>
      <c r="G173" t="s">
        <v>914</v>
      </c>
      <c r="H173" t="s">
        <v>56</v>
      </c>
      <c r="J173" t="s">
        <v>911</v>
      </c>
      <c r="K173" s="9" t="s">
        <v>912</v>
      </c>
      <c r="L173" s="9" t="s">
        <v>905</v>
      </c>
      <c r="M173" s="17" t="s">
        <v>45</v>
      </c>
      <c r="N173" t="s">
        <v>47</v>
      </c>
      <c r="O173" t="s">
        <v>1013</v>
      </c>
      <c r="P173" s="17">
        <v>45866</v>
      </c>
      <c r="Q173" s="18">
        <v>7</v>
      </c>
      <c r="R173">
        <v>2025</v>
      </c>
      <c r="T173" t="s">
        <v>776</v>
      </c>
      <c r="U173" t="s">
        <v>783</v>
      </c>
      <c r="V173" s="105">
        <v>-3681455</v>
      </c>
      <c r="W173" s="42" t="s">
        <v>1012</v>
      </c>
      <c r="Y173">
        <v>7</v>
      </c>
      <c r="Z173">
        <v>2025</v>
      </c>
    </row>
    <row r="174" spans="1:29" hidden="1">
      <c r="A174" s="17" t="s">
        <v>1009</v>
      </c>
      <c r="B174" s="17">
        <v>45866</v>
      </c>
      <c r="D174" t="s">
        <v>1010</v>
      </c>
      <c r="E174" t="s">
        <v>901</v>
      </c>
      <c r="F174" t="s">
        <v>53</v>
      </c>
      <c r="G174" t="s">
        <v>915</v>
      </c>
      <c r="H174" t="s">
        <v>56</v>
      </c>
      <c r="J174" t="s">
        <v>911</v>
      </c>
      <c r="K174" s="9" t="s">
        <v>912</v>
      </c>
      <c r="L174" s="9" t="s">
        <v>905</v>
      </c>
      <c r="M174" s="17" t="s">
        <v>45</v>
      </c>
      <c r="N174" t="s">
        <v>47</v>
      </c>
      <c r="O174" t="s">
        <v>1013</v>
      </c>
      <c r="P174" s="17">
        <v>45866</v>
      </c>
      <c r="Q174" s="18">
        <v>7</v>
      </c>
      <c r="R174">
        <v>2025</v>
      </c>
      <c r="T174" t="s">
        <v>776</v>
      </c>
      <c r="U174" t="s">
        <v>783</v>
      </c>
      <c r="V174" s="105">
        <v>-1091161</v>
      </c>
      <c r="W174" s="42" t="s">
        <v>1012</v>
      </c>
      <c r="Y174">
        <v>7</v>
      </c>
      <c r="Z174">
        <v>2025</v>
      </c>
    </row>
    <row r="175" spans="1:29" hidden="1">
      <c r="A175" s="17" t="s">
        <v>1009</v>
      </c>
      <c r="B175" s="17">
        <v>45866</v>
      </c>
      <c r="D175" t="s">
        <v>1010</v>
      </c>
      <c r="E175" t="s">
        <v>901</v>
      </c>
      <c r="F175" t="s">
        <v>53</v>
      </c>
      <c r="G175" t="s">
        <v>916</v>
      </c>
      <c r="H175" t="s">
        <v>56</v>
      </c>
      <c r="J175" t="s">
        <v>911</v>
      </c>
      <c r="K175" s="9" t="s">
        <v>912</v>
      </c>
      <c r="L175" s="9" t="s">
        <v>905</v>
      </c>
      <c r="M175" s="17" t="s">
        <v>45</v>
      </c>
      <c r="N175" t="s">
        <v>47</v>
      </c>
      <c r="O175" t="s">
        <v>1013</v>
      </c>
      <c r="P175" s="17">
        <v>45866</v>
      </c>
      <c r="Q175" s="18">
        <v>7</v>
      </c>
      <c r="R175">
        <v>2025</v>
      </c>
      <c r="T175" t="s">
        <v>776</v>
      </c>
      <c r="U175" t="s">
        <v>783</v>
      </c>
      <c r="V175" s="105">
        <v>-256038</v>
      </c>
      <c r="W175" s="42" t="s">
        <v>1012</v>
      </c>
      <c r="Y175">
        <v>7</v>
      </c>
      <c r="Z175">
        <v>2025</v>
      </c>
    </row>
    <row r="176" spans="1:29" hidden="1">
      <c r="A176" s="17" t="s">
        <v>1009</v>
      </c>
      <c r="B176" s="17">
        <v>45866</v>
      </c>
      <c r="D176" t="s">
        <v>1010</v>
      </c>
      <c r="E176" t="s">
        <v>901</v>
      </c>
      <c r="F176" t="s">
        <v>53</v>
      </c>
      <c r="G176" t="s">
        <v>967</v>
      </c>
      <c r="H176" t="s">
        <v>56</v>
      </c>
      <c r="J176" t="s">
        <v>911</v>
      </c>
      <c r="K176" s="9" t="s">
        <v>912</v>
      </c>
      <c r="L176" s="9" t="s">
        <v>905</v>
      </c>
      <c r="M176" s="17" t="s">
        <v>45</v>
      </c>
      <c r="N176" t="s">
        <v>47</v>
      </c>
      <c r="O176" t="s">
        <v>1013</v>
      </c>
      <c r="P176" s="17">
        <v>45866</v>
      </c>
      <c r="Q176" s="18">
        <v>7</v>
      </c>
      <c r="R176">
        <v>2025</v>
      </c>
      <c r="T176" t="s">
        <v>776</v>
      </c>
      <c r="U176" t="s">
        <v>783</v>
      </c>
      <c r="V176" s="105">
        <v>-897761</v>
      </c>
      <c r="W176" s="42" t="s">
        <v>1012</v>
      </c>
      <c r="Y176">
        <v>7</v>
      </c>
      <c r="Z176">
        <v>2025</v>
      </c>
    </row>
    <row r="177" spans="1:26" hidden="1">
      <c r="A177" s="17" t="s">
        <v>1009</v>
      </c>
      <c r="B177" s="17">
        <v>45866</v>
      </c>
      <c r="D177" t="s">
        <v>1010</v>
      </c>
      <c r="E177" t="s">
        <v>901</v>
      </c>
      <c r="F177" t="s">
        <v>53</v>
      </c>
      <c r="G177" t="s">
        <v>962</v>
      </c>
      <c r="H177" t="s">
        <v>56</v>
      </c>
      <c r="J177" t="s">
        <v>911</v>
      </c>
      <c r="K177" s="9" t="s">
        <v>912</v>
      </c>
      <c r="L177" s="9" t="s">
        <v>905</v>
      </c>
      <c r="M177" s="17" t="s">
        <v>45</v>
      </c>
      <c r="N177" t="s">
        <v>47</v>
      </c>
      <c r="O177" t="s">
        <v>1013</v>
      </c>
      <c r="P177" s="17">
        <v>45866</v>
      </c>
      <c r="Q177" s="18">
        <v>7</v>
      </c>
      <c r="R177">
        <v>2025</v>
      </c>
      <c r="T177" t="s">
        <v>776</v>
      </c>
      <c r="U177" t="s">
        <v>783</v>
      </c>
      <c r="V177" s="105">
        <v>-22584</v>
      </c>
      <c r="W177" s="42" t="s">
        <v>1012</v>
      </c>
      <c r="Y177">
        <v>7</v>
      </c>
      <c r="Z177">
        <v>2025</v>
      </c>
    </row>
    <row r="178" spans="1:26" hidden="1">
      <c r="A178" s="17" t="s">
        <v>1009</v>
      </c>
      <c r="B178" s="17">
        <v>45866</v>
      </c>
      <c r="D178" t="s">
        <v>1010</v>
      </c>
      <c r="E178" t="s">
        <v>901</v>
      </c>
      <c r="F178" t="s">
        <v>53</v>
      </c>
      <c r="G178" t="s">
        <v>1014</v>
      </c>
      <c r="H178" t="s">
        <v>757</v>
      </c>
      <c r="J178" t="s">
        <v>1015</v>
      </c>
      <c r="K178" s="9" t="s">
        <v>1016</v>
      </c>
      <c r="L178" s="9" t="s">
        <v>1017</v>
      </c>
      <c r="M178" s="17" t="s">
        <v>911</v>
      </c>
      <c r="N178" t="s">
        <v>1018</v>
      </c>
      <c r="O178" t="s">
        <v>988</v>
      </c>
      <c r="P178" s="17">
        <v>45866</v>
      </c>
      <c r="Q178" s="18">
        <v>7</v>
      </c>
      <c r="R178">
        <v>2025</v>
      </c>
      <c r="T178" t="s">
        <v>58</v>
      </c>
      <c r="U178" t="s">
        <v>783</v>
      </c>
      <c r="V178" s="105">
        <v>1</v>
      </c>
      <c r="W178" s="42" t="s">
        <v>1012</v>
      </c>
      <c r="Y178">
        <v>7</v>
      </c>
      <c r="Z178">
        <v>2025</v>
      </c>
    </row>
    <row r="179" spans="1:26" hidden="1">
      <c r="A179" s="17" t="s">
        <v>1019</v>
      </c>
      <c r="B179" s="17">
        <v>45930</v>
      </c>
      <c r="D179" t="s">
        <v>1020</v>
      </c>
      <c r="E179" t="s">
        <v>901</v>
      </c>
      <c r="F179" t="s">
        <v>53</v>
      </c>
      <c r="G179" t="s">
        <v>914</v>
      </c>
      <c r="H179" t="s">
        <v>56</v>
      </c>
      <c r="J179" t="s">
        <v>911</v>
      </c>
      <c r="K179" s="9" t="s">
        <v>912</v>
      </c>
      <c r="L179" s="9" t="s">
        <v>905</v>
      </c>
      <c r="M179" s="17" t="s">
        <v>45</v>
      </c>
      <c r="N179" t="s">
        <v>47</v>
      </c>
      <c r="O179" t="s">
        <v>1021</v>
      </c>
      <c r="P179" s="17">
        <v>45930</v>
      </c>
      <c r="Q179" s="18">
        <v>9</v>
      </c>
      <c r="R179">
        <v>2025</v>
      </c>
      <c r="T179" t="s">
        <v>776</v>
      </c>
      <c r="U179" t="s">
        <v>783</v>
      </c>
      <c r="V179" s="105">
        <v>-556885</v>
      </c>
      <c r="W179" s="42" t="s">
        <v>1022</v>
      </c>
      <c r="Y179">
        <v>9</v>
      </c>
      <c r="Z179">
        <v>2025</v>
      </c>
    </row>
    <row r="180" spans="1:26" hidden="1">
      <c r="A180" s="17" t="s">
        <v>1019</v>
      </c>
      <c r="B180" s="17">
        <v>45930</v>
      </c>
      <c r="D180" t="s">
        <v>1020</v>
      </c>
      <c r="E180" t="s">
        <v>901</v>
      </c>
      <c r="F180" t="s">
        <v>53</v>
      </c>
      <c r="G180" t="s">
        <v>916</v>
      </c>
      <c r="H180" t="s">
        <v>56</v>
      </c>
      <c r="J180" t="s">
        <v>911</v>
      </c>
      <c r="K180" s="9" t="s">
        <v>912</v>
      </c>
      <c r="L180" s="9" t="s">
        <v>905</v>
      </c>
      <c r="M180" s="17" t="s">
        <v>45</v>
      </c>
      <c r="N180" t="s">
        <v>47</v>
      </c>
      <c r="O180" t="s">
        <v>1021</v>
      </c>
      <c r="P180" s="17">
        <v>45930</v>
      </c>
      <c r="Q180" s="18">
        <v>9</v>
      </c>
      <c r="R180">
        <v>2025</v>
      </c>
      <c r="T180" t="s">
        <v>776</v>
      </c>
      <c r="U180" t="s">
        <v>783</v>
      </c>
      <c r="V180" s="105">
        <v>-59196</v>
      </c>
      <c r="W180" s="42" t="s">
        <v>1022</v>
      </c>
      <c r="Y180">
        <v>9</v>
      </c>
      <c r="Z180">
        <v>2025</v>
      </c>
    </row>
    <row r="181" spans="1:26" hidden="1">
      <c r="A181" s="17" t="s">
        <v>1019</v>
      </c>
      <c r="B181" s="17">
        <v>45930</v>
      </c>
      <c r="D181" t="s">
        <v>1020</v>
      </c>
      <c r="E181" t="s">
        <v>901</v>
      </c>
      <c r="F181" t="s">
        <v>53</v>
      </c>
      <c r="G181" t="s">
        <v>967</v>
      </c>
      <c r="H181" t="s">
        <v>56</v>
      </c>
      <c r="J181" t="s">
        <v>911</v>
      </c>
      <c r="K181" s="9" t="s">
        <v>912</v>
      </c>
      <c r="L181" s="9" t="s">
        <v>905</v>
      </c>
      <c r="M181" s="17" t="s">
        <v>45</v>
      </c>
      <c r="N181" t="s">
        <v>47</v>
      </c>
      <c r="O181" t="s">
        <v>1021</v>
      </c>
      <c r="P181" s="17">
        <v>45930</v>
      </c>
      <c r="Q181" s="18">
        <v>9</v>
      </c>
      <c r="R181">
        <v>2025</v>
      </c>
      <c r="T181" t="s">
        <v>776</v>
      </c>
      <c r="U181" t="s">
        <v>783</v>
      </c>
      <c r="V181" s="105">
        <v>-628196</v>
      </c>
      <c r="W181" s="42" t="s">
        <v>1022</v>
      </c>
      <c r="Y181">
        <v>9</v>
      </c>
      <c r="Z181">
        <v>2025</v>
      </c>
    </row>
    <row r="182" spans="1:26" hidden="1">
      <c r="A182" s="17" t="s">
        <v>1019</v>
      </c>
      <c r="B182" s="17">
        <v>45930</v>
      </c>
      <c r="D182" t="s">
        <v>1020</v>
      </c>
      <c r="E182" t="s">
        <v>901</v>
      </c>
      <c r="F182" t="s">
        <v>53</v>
      </c>
      <c r="G182" t="s">
        <v>943</v>
      </c>
      <c r="H182" t="s">
        <v>56</v>
      </c>
      <c r="J182" t="s">
        <v>911</v>
      </c>
      <c r="K182" s="9" t="s">
        <v>912</v>
      </c>
      <c r="L182" s="9" t="s">
        <v>905</v>
      </c>
      <c r="M182" s="17" t="s">
        <v>45</v>
      </c>
      <c r="N182" t="s">
        <v>47</v>
      </c>
      <c r="O182" t="s">
        <v>1021</v>
      </c>
      <c r="P182" s="17">
        <v>45930</v>
      </c>
      <c r="Q182" s="18">
        <v>9</v>
      </c>
      <c r="R182">
        <v>2025</v>
      </c>
      <c r="T182" t="s">
        <v>776</v>
      </c>
      <c r="U182" t="s">
        <v>783</v>
      </c>
      <c r="V182" s="105">
        <v>-10202</v>
      </c>
      <c r="W182" s="42" t="s">
        <v>1022</v>
      </c>
      <c r="Y182">
        <v>9</v>
      </c>
      <c r="Z182">
        <v>2025</v>
      </c>
    </row>
    <row r="183" spans="1:26" hidden="1">
      <c r="A183" s="17" t="s">
        <v>1019</v>
      </c>
      <c r="B183" s="17">
        <v>45930</v>
      </c>
      <c r="D183" t="s">
        <v>1020</v>
      </c>
      <c r="E183" t="s">
        <v>901</v>
      </c>
      <c r="F183" t="s">
        <v>53</v>
      </c>
      <c r="G183" t="s">
        <v>914</v>
      </c>
      <c r="H183" t="s">
        <v>56</v>
      </c>
      <c r="J183" t="s">
        <v>911</v>
      </c>
      <c r="K183" s="9" t="s">
        <v>912</v>
      </c>
      <c r="L183" s="9" t="s">
        <v>905</v>
      </c>
      <c r="M183" s="17" t="s">
        <v>45</v>
      </c>
      <c r="N183" t="s">
        <v>47</v>
      </c>
      <c r="O183" t="s">
        <v>1021</v>
      </c>
      <c r="P183" s="17">
        <v>45930</v>
      </c>
      <c r="Q183" s="18">
        <v>9</v>
      </c>
      <c r="R183">
        <v>2025</v>
      </c>
      <c r="T183" t="s">
        <v>776</v>
      </c>
      <c r="U183" t="s">
        <v>783</v>
      </c>
      <c r="V183" s="105">
        <v>-551912</v>
      </c>
      <c r="W183" s="42" t="s">
        <v>1022</v>
      </c>
      <c r="Y183">
        <v>9</v>
      </c>
      <c r="Z183">
        <v>2025</v>
      </c>
    </row>
    <row r="184" spans="1:26" hidden="1">
      <c r="A184" s="17" t="s">
        <v>1019</v>
      </c>
      <c r="B184" s="17">
        <v>45930</v>
      </c>
      <c r="D184" t="s">
        <v>1020</v>
      </c>
      <c r="E184" t="s">
        <v>901</v>
      </c>
      <c r="F184" t="s">
        <v>53</v>
      </c>
      <c r="G184" t="s">
        <v>916</v>
      </c>
      <c r="H184" t="s">
        <v>56</v>
      </c>
      <c r="J184" t="s">
        <v>911</v>
      </c>
      <c r="K184" s="9" t="s">
        <v>912</v>
      </c>
      <c r="L184" s="9" t="s">
        <v>905</v>
      </c>
      <c r="M184" s="17" t="s">
        <v>45</v>
      </c>
      <c r="N184" t="s">
        <v>47</v>
      </c>
      <c r="O184" t="s">
        <v>1021</v>
      </c>
      <c r="P184" s="17">
        <v>45930</v>
      </c>
      <c r="Q184" s="18">
        <v>9</v>
      </c>
      <c r="R184">
        <v>2025</v>
      </c>
      <c r="T184" t="s">
        <v>776</v>
      </c>
      <c r="U184" t="s">
        <v>783</v>
      </c>
      <c r="V184" s="105">
        <v>-57307</v>
      </c>
      <c r="W184" s="42" t="s">
        <v>1022</v>
      </c>
      <c r="Y184">
        <v>9</v>
      </c>
      <c r="Z184">
        <v>2025</v>
      </c>
    </row>
    <row r="185" spans="1:26" hidden="1">
      <c r="A185" s="17" t="s">
        <v>1019</v>
      </c>
      <c r="B185" s="17">
        <v>45930</v>
      </c>
      <c r="D185" t="s">
        <v>1020</v>
      </c>
      <c r="E185" t="s">
        <v>901</v>
      </c>
      <c r="F185" t="s">
        <v>53</v>
      </c>
      <c r="G185" t="s">
        <v>943</v>
      </c>
      <c r="H185" t="s">
        <v>56</v>
      </c>
      <c r="J185" t="s">
        <v>911</v>
      </c>
      <c r="K185" s="9" t="s">
        <v>912</v>
      </c>
      <c r="L185" s="9" t="s">
        <v>905</v>
      </c>
      <c r="M185" s="17" t="s">
        <v>45</v>
      </c>
      <c r="N185" t="s">
        <v>47</v>
      </c>
      <c r="O185" t="s">
        <v>1021</v>
      </c>
      <c r="P185" s="17">
        <v>45930</v>
      </c>
      <c r="Q185" s="18">
        <v>9</v>
      </c>
      <c r="R185">
        <v>2025</v>
      </c>
      <c r="T185" t="s">
        <v>776</v>
      </c>
      <c r="U185" t="s">
        <v>783</v>
      </c>
      <c r="V185" s="105">
        <v>-4505</v>
      </c>
      <c r="W185" s="42" t="s">
        <v>1022</v>
      </c>
      <c r="Y185">
        <v>9</v>
      </c>
      <c r="Z185">
        <v>2025</v>
      </c>
    </row>
    <row r="186" spans="1:26" hidden="1">
      <c r="A186" s="17" t="s">
        <v>1019</v>
      </c>
      <c r="B186" s="17">
        <v>45930</v>
      </c>
      <c r="D186" t="s">
        <v>1020</v>
      </c>
      <c r="E186" t="s">
        <v>901</v>
      </c>
      <c r="F186" t="s">
        <v>53</v>
      </c>
      <c r="G186" t="s">
        <v>902</v>
      </c>
      <c r="H186" t="s">
        <v>56</v>
      </c>
      <c r="J186" t="s">
        <v>911</v>
      </c>
      <c r="K186" s="9" t="s">
        <v>912</v>
      </c>
      <c r="L186" s="9" t="s">
        <v>905</v>
      </c>
      <c r="M186" s="17" t="s">
        <v>45</v>
      </c>
      <c r="N186" t="s">
        <v>47</v>
      </c>
      <c r="O186" t="s">
        <v>1021</v>
      </c>
      <c r="P186" s="17">
        <v>45930</v>
      </c>
      <c r="Q186" s="18">
        <v>9</v>
      </c>
      <c r="R186">
        <v>2025</v>
      </c>
      <c r="T186" t="s">
        <v>776</v>
      </c>
      <c r="U186" t="s">
        <v>783</v>
      </c>
      <c r="V186" s="105">
        <v>-165859</v>
      </c>
      <c r="W186" s="42" t="s">
        <v>1022</v>
      </c>
      <c r="Y186">
        <v>9</v>
      </c>
      <c r="Z186">
        <v>2025</v>
      </c>
    </row>
    <row r="187" spans="1:26" hidden="1">
      <c r="A187" s="17" t="s">
        <v>1019</v>
      </c>
      <c r="B187" s="17">
        <v>45930</v>
      </c>
      <c r="D187" t="s">
        <v>1020</v>
      </c>
      <c r="E187" t="s">
        <v>901</v>
      </c>
      <c r="F187" t="s">
        <v>53</v>
      </c>
      <c r="G187" t="s">
        <v>914</v>
      </c>
      <c r="H187" t="s">
        <v>56</v>
      </c>
      <c r="J187" t="s">
        <v>911</v>
      </c>
      <c r="K187" s="9" t="s">
        <v>912</v>
      </c>
      <c r="L187" s="9" t="s">
        <v>905</v>
      </c>
      <c r="M187" s="17" t="s">
        <v>45</v>
      </c>
      <c r="N187" t="s">
        <v>47</v>
      </c>
      <c r="O187" t="s">
        <v>1021</v>
      </c>
      <c r="P187" s="17">
        <v>45930</v>
      </c>
      <c r="Q187" s="18">
        <v>9</v>
      </c>
      <c r="R187">
        <v>2025</v>
      </c>
      <c r="T187" t="s">
        <v>776</v>
      </c>
      <c r="U187" t="s">
        <v>783</v>
      </c>
      <c r="V187" s="105">
        <v>-6938851</v>
      </c>
      <c r="W187" s="42" t="s">
        <v>1022</v>
      </c>
      <c r="Y187">
        <v>9</v>
      </c>
      <c r="Z187">
        <v>2025</v>
      </c>
    </row>
    <row r="188" spans="1:26" hidden="1">
      <c r="A188" s="17" t="s">
        <v>1019</v>
      </c>
      <c r="B188" s="17">
        <v>45930</v>
      </c>
      <c r="D188" t="s">
        <v>1020</v>
      </c>
      <c r="E188" t="s">
        <v>901</v>
      </c>
      <c r="F188" t="s">
        <v>53</v>
      </c>
      <c r="G188" t="s">
        <v>915</v>
      </c>
      <c r="H188" t="s">
        <v>56</v>
      </c>
      <c r="J188" t="s">
        <v>911</v>
      </c>
      <c r="K188" s="9" t="s">
        <v>912</v>
      </c>
      <c r="L188" s="9" t="s">
        <v>905</v>
      </c>
      <c r="M188" s="17" t="s">
        <v>45</v>
      </c>
      <c r="N188" t="s">
        <v>47</v>
      </c>
      <c r="O188" t="s">
        <v>1021</v>
      </c>
      <c r="P188" s="17">
        <v>45930</v>
      </c>
      <c r="Q188" s="18">
        <v>9</v>
      </c>
      <c r="R188">
        <v>2025</v>
      </c>
      <c r="T188" t="s">
        <v>776</v>
      </c>
      <c r="U188" t="s">
        <v>783</v>
      </c>
      <c r="V188" s="105">
        <v>-1129380</v>
      </c>
      <c r="W188" s="42" t="s">
        <v>1022</v>
      </c>
      <c r="Y188">
        <v>9</v>
      </c>
      <c r="Z188">
        <v>2025</v>
      </c>
    </row>
    <row r="189" spans="1:26" hidden="1">
      <c r="A189" s="17" t="s">
        <v>1019</v>
      </c>
      <c r="B189" s="17">
        <v>45930</v>
      </c>
      <c r="D189" t="s">
        <v>1020</v>
      </c>
      <c r="E189" t="s">
        <v>901</v>
      </c>
      <c r="F189" t="s">
        <v>53</v>
      </c>
      <c r="G189" t="s">
        <v>916</v>
      </c>
      <c r="H189" t="s">
        <v>56</v>
      </c>
      <c r="J189" t="s">
        <v>911</v>
      </c>
      <c r="K189" s="9" t="s">
        <v>912</v>
      </c>
      <c r="L189" s="9" t="s">
        <v>905</v>
      </c>
      <c r="M189" s="17" t="s">
        <v>45</v>
      </c>
      <c r="N189" t="s">
        <v>47</v>
      </c>
      <c r="O189" t="s">
        <v>1021</v>
      </c>
      <c r="P189" s="17">
        <v>45930</v>
      </c>
      <c r="Q189" s="18">
        <v>9</v>
      </c>
      <c r="R189">
        <v>2025</v>
      </c>
      <c r="T189" t="s">
        <v>776</v>
      </c>
      <c r="U189" t="s">
        <v>783</v>
      </c>
      <c r="V189" s="105">
        <v>-674380</v>
      </c>
      <c r="W189" s="42" t="s">
        <v>1022</v>
      </c>
      <c r="Y189">
        <v>9</v>
      </c>
      <c r="Z189">
        <v>2025</v>
      </c>
    </row>
    <row r="190" spans="1:26" hidden="1">
      <c r="A190" s="17" t="s">
        <v>1019</v>
      </c>
      <c r="B190" s="17">
        <v>45930</v>
      </c>
      <c r="D190" t="s">
        <v>1020</v>
      </c>
      <c r="E190" t="s">
        <v>901</v>
      </c>
      <c r="F190" t="s">
        <v>53</v>
      </c>
      <c r="G190" t="s">
        <v>967</v>
      </c>
      <c r="H190" t="s">
        <v>56</v>
      </c>
      <c r="J190" t="s">
        <v>911</v>
      </c>
      <c r="K190" s="9" t="s">
        <v>912</v>
      </c>
      <c r="L190" s="9" t="s">
        <v>905</v>
      </c>
      <c r="M190" s="17" t="s">
        <v>45</v>
      </c>
      <c r="N190" t="s">
        <v>47</v>
      </c>
      <c r="O190" t="s">
        <v>1021</v>
      </c>
      <c r="P190" s="17">
        <v>45930</v>
      </c>
      <c r="Q190" s="18">
        <v>9</v>
      </c>
      <c r="R190">
        <v>2025</v>
      </c>
      <c r="T190" t="s">
        <v>776</v>
      </c>
      <c r="U190" t="s">
        <v>783</v>
      </c>
      <c r="V190" s="105">
        <v>-386273</v>
      </c>
      <c r="W190" s="42" t="s">
        <v>1022</v>
      </c>
      <c r="Y190">
        <v>9</v>
      </c>
      <c r="Z190">
        <v>2025</v>
      </c>
    </row>
    <row r="191" spans="1:26" hidden="1">
      <c r="A191" s="17" t="s">
        <v>1019</v>
      </c>
      <c r="B191" s="17">
        <v>45930</v>
      </c>
      <c r="D191" t="s">
        <v>1020</v>
      </c>
      <c r="E191" t="s">
        <v>901</v>
      </c>
      <c r="F191" t="s">
        <v>53</v>
      </c>
      <c r="G191" t="s">
        <v>956</v>
      </c>
      <c r="H191" t="s">
        <v>56</v>
      </c>
      <c r="J191" t="s">
        <v>911</v>
      </c>
      <c r="K191" s="9" t="s">
        <v>912</v>
      </c>
      <c r="L191" s="9" t="s">
        <v>905</v>
      </c>
      <c r="M191" s="17" t="s">
        <v>45</v>
      </c>
      <c r="N191" t="s">
        <v>47</v>
      </c>
      <c r="O191" t="s">
        <v>1021</v>
      </c>
      <c r="P191" s="17">
        <v>45930</v>
      </c>
      <c r="Q191" s="18">
        <v>9</v>
      </c>
      <c r="R191">
        <v>2025</v>
      </c>
      <c r="T191" t="s">
        <v>776</v>
      </c>
      <c r="U191" t="s">
        <v>783</v>
      </c>
      <c r="V191" s="105">
        <v>-1417988</v>
      </c>
      <c r="W191" s="42" t="s">
        <v>1022</v>
      </c>
      <c r="Y191">
        <v>9</v>
      </c>
      <c r="Z191">
        <v>2025</v>
      </c>
    </row>
    <row r="192" spans="1:26" hidden="1">
      <c r="A192" s="17" t="s">
        <v>1019</v>
      </c>
      <c r="B192" s="17">
        <v>45930</v>
      </c>
      <c r="D192" t="s">
        <v>1020</v>
      </c>
      <c r="E192" t="s">
        <v>901</v>
      </c>
      <c r="F192" t="s">
        <v>53</v>
      </c>
      <c r="G192" t="s">
        <v>943</v>
      </c>
      <c r="H192" t="s">
        <v>56</v>
      </c>
      <c r="J192" t="s">
        <v>911</v>
      </c>
      <c r="K192" s="9" t="s">
        <v>912</v>
      </c>
      <c r="L192" s="9" t="s">
        <v>905</v>
      </c>
      <c r="M192" s="17" t="s">
        <v>45</v>
      </c>
      <c r="N192" t="s">
        <v>47</v>
      </c>
      <c r="O192" t="s">
        <v>1021</v>
      </c>
      <c r="P192" s="17">
        <v>45930</v>
      </c>
      <c r="Q192" s="18">
        <v>9</v>
      </c>
      <c r="R192">
        <v>2025</v>
      </c>
      <c r="T192" t="s">
        <v>776</v>
      </c>
      <c r="U192" t="s">
        <v>783</v>
      </c>
      <c r="V192" s="105">
        <v>-65956</v>
      </c>
      <c r="W192" s="42" t="s">
        <v>1022</v>
      </c>
      <c r="Y192">
        <v>9</v>
      </c>
      <c r="Z192">
        <v>2025</v>
      </c>
    </row>
    <row r="193" spans="1:26" hidden="1">
      <c r="A193" s="17" t="s">
        <v>1019</v>
      </c>
      <c r="B193" s="17">
        <v>45930</v>
      </c>
      <c r="D193" t="s">
        <v>1020</v>
      </c>
      <c r="E193" t="s">
        <v>901</v>
      </c>
      <c r="F193" t="s">
        <v>53</v>
      </c>
      <c r="G193" t="s">
        <v>946</v>
      </c>
      <c r="H193" t="s">
        <v>56</v>
      </c>
      <c r="J193" t="s">
        <v>911</v>
      </c>
      <c r="K193" s="9" t="s">
        <v>912</v>
      </c>
      <c r="L193" s="9" t="s">
        <v>905</v>
      </c>
      <c r="M193" s="17" t="s">
        <v>45</v>
      </c>
      <c r="N193" t="s">
        <v>47</v>
      </c>
      <c r="O193" t="s">
        <v>1021</v>
      </c>
      <c r="P193" s="17">
        <v>45930</v>
      </c>
      <c r="Q193" s="18">
        <v>9</v>
      </c>
      <c r="R193">
        <v>2025</v>
      </c>
      <c r="T193" t="s">
        <v>776</v>
      </c>
      <c r="U193" t="s">
        <v>783</v>
      </c>
      <c r="V193" s="105">
        <v>-121288</v>
      </c>
      <c r="W193" s="42" t="s">
        <v>1022</v>
      </c>
      <c r="Y193">
        <v>9</v>
      </c>
      <c r="Z193">
        <v>2025</v>
      </c>
    </row>
    <row r="194" spans="1:26" hidden="1">
      <c r="A194" s="17" t="s">
        <v>1019</v>
      </c>
      <c r="B194" s="17">
        <v>45930</v>
      </c>
      <c r="D194" t="s">
        <v>1020</v>
      </c>
      <c r="E194" t="s">
        <v>901</v>
      </c>
      <c r="F194" t="s">
        <v>53</v>
      </c>
      <c r="G194" t="s">
        <v>902</v>
      </c>
      <c r="H194" t="s">
        <v>56</v>
      </c>
      <c r="J194" t="s">
        <v>903</v>
      </c>
      <c r="K194" s="9" t="s">
        <v>1023</v>
      </c>
      <c r="L194" s="9" t="s">
        <v>905</v>
      </c>
      <c r="M194" s="17" t="s">
        <v>45</v>
      </c>
      <c r="N194" t="s">
        <v>47</v>
      </c>
      <c r="O194" t="s">
        <v>1024</v>
      </c>
      <c r="P194" s="17">
        <v>45930</v>
      </c>
      <c r="Q194" s="18">
        <v>9</v>
      </c>
      <c r="R194">
        <v>2025</v>
      </c>
      <c r="T194" t="s">
        <v>780</v>
      </c>
      <c r="U194" t="s">
        <v>783</v>
      </c>
      <c r="V194" s="105">
        <v>-1318284</v>
      </c>
      <c r="W194" s="42" t="s">
        <v>1022</v>
      </c>
      <c r="Y194">
        <v>9</v>
      </c>
      <c r="Z194">
        <v>2025</v>
      </c>
    </row>
    <row r="195" spans="1:26" hidden="1">
      <c r="A195" s="17" t="s">
        <v>1019</v>
      </c>
      <c r="B195" s="17">
        <v>45930</v>
      </c>
      <c r="D195" t="s">
        <v>1020</v>
      </c>
      <c r="E195" t="s">
        <v>901</v>
      </c>
      <c r="F195" t="s">
        <v>53</v>
      </c>
      <c r="G195" t="s">
        <v>908</v>
      </c>
      <c r="H195" t="s">
        <v>56</v>
      </c>
      <c r="J195" t="s">
        <v>903</v>
      </c>
      <c r="K195" s="9" t="s">
        <v>1023</v>
      </c>
      <c r="L195" s="9" t="s">
        <v>905</v>
      </c>
      <c r="M195" s="17" t="s">
        <v>45</v>
      </c>
      <c r="N195" t="s">
        <v>47</v>
      </c>
      <c r="O195" t="s">
        <v>1024</v>
      </c>
      <c r="P195" s="17">
        <v>45930</v>
      </c>
      <c r="Q195" s="18">
        <v>9</v>
      </c>
      <c r="R195">
        <v>2025</v>
      </c>
      <c r="T195" t="s">
        <v>780</v>
      </c>
      <c r="U195" t="s">
        <v>783</v>
      </c>
      <c r="V195" s="105">
        <v>-436521</v>
      </c>
      <c r="W195" s="42" t="s">
        <v>1022</v>
      </c>
      <c r="Y195">
        <v>9</v>
      </c>
      <c r="Z195">
        <v>2025</v>
      </c>
    </row>
    <row r="196" spans="1:26" hidden="1">
      <c r="A196" s="17" t="s">
        <v>1019</v>
      </c>
      <c r="B196" s="17">
        <v>45930</v>
      </c>
      <c r="D196" t="s">
        <v>1020</v>
      </c>
      <c r="E196" t="s">
        <v>901</v>
      </c>
      <c r="F196" t="s">
        <v>53</v>
      </c>
      <c r="G196" t="s">
        <v>909</v>
      </c>
      <c r="H196" t="s">
        <v>56</v>
      </c>
      <c r="J196" t="s">
        <v>903</v>
      </c>
      <c r="K196" s="9" t="s">
        <v>1023</v>
      </c>
      <c r="L196" s="9" t="s">
        <v>905</v>
      </c>
      <c r="M196" s="17" t="s">
        <v>45</v>
      </c>
      <c r="N196" t="s">
        <v>47</v>
      </c>
      <c r="O196" t="s">
        <v>1024</v>
      </c>
      <c r="P196" s="17">
        <v>45930</v>
      </c>
      <c r="Q196" s="18">
        <v>9</v>
      </c>
      <c r="R196">
        <v>2025</v>
      </c>
      <c r="T196" t="s">
        <v>780</v>
      </c>
      <c r="U196" t="s">
        <v>783</v>
      </c>
      <c r="V196" s="105">
        <v>-389764</v>
      </c>
      <c r="W196" s="42" t="s">
        <v>1022</v>
      </c>
      <c r="Y196">
        <v>9</v>
      </c>
      <c r="Z196">
        <v>2025</v>
      </c>
    </row>
    <row r="197" spans="1:26" hidden="1">
      <c r="A197" s="17" t="s">
        <v>1019</v>
      </c>
      <c r="B197" s="17">
        <v>45930</v>
      </c>
      <c r="D197" t="s">
        <v>1020</v>
      </c>
      <c r="E197" t="s">
        <v>901</v>
      </c>
      <c r="F197" t="s">
        <v>53</v>
      </c>
      <c r="G197" t="s">
        <v>910</v>
      </c>
      <c r="H197" t="s">
        <v>56</v>
      </c>
      <c r="J197" t="s">
        <v>903</v>
      </c>
      <c r="K197" s="9" t="s">
        <v>1023</v>
      </c>
      <c r="L197" s="9" t="s">
        <v>905</v>
      </c>
      <c r="M197" s="17" t="s">
        <v>45</v>
      </c>
      <c r="N197" t="s">
        <v>47</v>
      </c>
      <c r="O197" t="s">
        <v>1024</v>
      </c>
      <c r="P197" s="17">
        <v>45930</v>
      </c>
      <c r="Q197" s="18">
        <v>9</v>
      </c>
      <c r="R197">
        <v>2025</v>
      </c>
      <c r="T197" t="s">
        <v>780</v>
      </c>
      <c r="U197" t="s">
        <v>783</v>
      </c>
      <c r="V197" s="105">
        <v>-581522</v>
      </c>
      <c r="W197" s="42" t="s">
        <v>1022</v>
      </c>
      <c r="Y197">
        <v>9</v>
      </c>
      <c r="Z197">
        <v>2025</v>
      </c>
    </row>
    <row r="198" spans="1:26" hidden="1">
      <c r="A198" s="17" t="s">
        <v>1019</v>
      </c>
      <c r="B198" s="17">
        <v>45930</v>
      </c>
      <c r="D198" t="s">
        <v>1020</v>
      </c>
      <c r="E198" t="s">
        <v>901</v>
      </c>
      <c r="F198" t="s">
        <v>53</v>
      </c>
      <c r="G198" t="s">
        <v>1025</v>
      </c>
      <c r="H198" t="s">
        <v>757</v>
      </c>
      <c r="J198" t="s">
        <v>1026</v>
      </c>
      <c r="K198" s="9" t="s">
        <v>1027</v>
      </c>
      <c r="L198" s="9" t="s">
        <v>905</v>
      </c>
      <c r="M198" s="17" t="s">
        <v>45</v>
      </c>
      <c r="N198" t="s">
        <v>47</v>
      </c>
      <c r="O198" t="s">
        <v>988</v>
      </c>
      <c r="P198" s="17">
        <v>45930</v>
      </c>
      <c r="Q198" s="18">
        <v>9</v>
      </c>
      <c r="R198">
        <v>2025</v>
      </c>
      <c r="T198" t="s">
        <v>776</v>
      </c>
      <c r="U198" t="s">
        <v>783</v>
      </c>
      <c r="V198" s="105">
        <v>-3</v>
      </c>
      <c r="W198" s="42" t="s">
        <v>1022</v>
      </c>
      <c r="Y198">
        <v>9</v>
      </c>
      <c r="Z198">
        <v>2025</v>
      </c>
    </row>
    <row r="199" spans="1:26" hidden="1">
      <c r="A199" s="17" t="s">
        <v>1028</v>
      </c>
      <c r="B199" s="17">
        <v>45930</v>
      </c>
      <c r="D199" t="s">
        <v>1029</v>
      </c>
      <c r="E199" t="s">
        <v>901</v>
      </c>
      <c r="F199" t="s">
        <v>53</v>
      </c>
      <c r="G199" t="s">
        <v>902</v>
      </c>
      <c r="H199" t="s">
        <v>56</v>
      </c>
      <c r="J199" t="s">
        <v>903</v>
      </c>
      <c r="K199" s="9" t="s">
        <v>1023</v>
      </c>
      <c r="L199" s="9" t="s">
        <v>905</v>
      </c>
      <c r="M199" s="17" t="s">
        <v>45</v>
      </c>
      <c r="N199" t="s">
        <v>47</v>
      </c>
      <c r="O199" t="s">
        <v>1030</v>
      </c>
      <c r="P199" s="17">
        <v>45930</v>
      </c>
      <c r="Q199" s="18">
        <v>9</v>
      </c>
      <c r="R199">
        <v>2025</v>
      </c>
      <c r="T199" t="s">
        <v>780</v>
      </c>
      <c r="U199" t="s">
        <v>783</v>
      </c>
      <c r="V199" s="105">
        <v>-990366</v>
      </c>
      <c r="W199" s="42" t="s">
        <v>1031</v>
      </c>
      <c r="Y199">
        <v>9</v>
      </c>
      <c r="Z199">
        <v>2025</v>
      </c>
    </row>
    <row r="200" spans="1:26" hidden="1">
      <c r="A200" s="17" t="s">
        <v>1028</v>
      </c>
      <c r="B200" s="17">
        <v>45930</v>
      </c>
      <c r="D200" t="s">
        <v>1029</v>
      </c>
      <c r="E200" t="s">
        <v>901</v>
      </c>
      <c r="F200" t="s">
        <v>53</v>
      </c>
      <c r="G200" t="s">
        <v>908</v>
      </c>
      <c r="H200" t="s">
        <v>56</v>
      </c>
      <c r="J200" t="s">
        <v>903</v>
      </c>
      <c r="K200" s="9" t="s">
        <v>1023</v>
      </c>
      <c r="L200" s="9" t="s">
        <v>905</v>
      </c>
      <c r="M200" s="17" t="s">
        <v>45</v>
      </c>
      <c r="N200" t="s">
        <v>47</v>
      </c>
      <c r="O200" t="s">
        <v>1030</v>
      </c>
      <c r="P200" s="17">
        <v>45930</v>
      </c>
      <c r="Q200" s="18">
        <v>9</v>
      </c>
      <c r="R200">
        <v>2025</v>
      </c>
      <c r="T200" t="s">
        <v>780</v>
      </c>
      <c r="U200" t="s">
        <v>783</v>
      </c>
      <c r="V200" s="105">
        <v>-1097103</v>
      </c>
      <c r="W200" s="42" t="s">
        <v>1031</v>
      </c>
      <c r="Y200">
        <v>9</v>
      </c>
      <c r="Z200">
        <v>2025</v>
      </c>
    </row>
    <row r="201" spans="1:26" hidden="1">
      <c r="A201" s="17" t="s">
        <v>1028</v>
      </c>
      <c r="B201" s="17">
        <v>45930</v>
      </c>
      <c r="D201" t="s">
        <v>1029</v>
      </c>
      <c r="E201" t="s">
        <v>901</v>
      </c>
      <c r="F201" t="s">
        <v>53</v>
      </c>
      <c r="G201" t="s">
        <v>910</v>
      </c>
      <c r="H201" t="s">
        <v>56</v>
      </c>
      <c r="J201" t="s">
        <v>903</v>
      </c>
      <c r="K201" s="9" t="s">
        <v>1023</v>
      </c>
      <c r="L201" s="9" t="s">
        <v>905</v>
      </c>
      <c r="M201" s="17" t="s">
        <v>45</v>
      </c>
      <c r="N201" t="s">
        <v>47</v>
      </c>
      <c r="O201" t="s">
        <v>1030</v>
      </c>
      <c r="P201" s="17">
        <v>45930</v>
      </c>
      <c r="Q201" s="18">
        <v>9</v>
      </c>
      <c r="R201">
        <v>2025</v>
      </c>
      <c r="T201" t="s">
        <v>780</v>
      </c>
      <c r="U201" t="s">
        <v>783</v>
      </c>
      <c r="V201" s="105">
        <v>-693128</v>
      </c>
      <c r="W201" s="42" t="s">
        <v>1031</v>
      </c>
      <c r="Y201">
        <v>9</v>
      </c>
      <c r="Z201">
        <v>2025</v>
      </c>
    </row>
    <row r="202" spans="1:26" hidden="1">
      <c r="A202" s="17" t="s">
        <v>1028</v>
      </c>
      <c r="B202" s="17">
        <v>45930</v>
      </c>
      <c r="D202" t="s">
        <v>1029</v>
      </c>
      <c r="E202" t="s">
        <v>901</v>
      </c>
      <c r="F202" t="s">
        <v>53</v>
      </c>
      <c r="G202" t="s">
        <v>946</v>
      </c>
      <c r="H202" t="s">
        <v>56</v>
      </c>
      <c r="J202" t="s">
        <v>903</v>
      </c>
      <c r="K202" s="9" t="s">
        <v>1023</v>
      </c>
      <c r="L202" s="9" t="s">
        <v>905</v>
      </c>
      <c r="M202" s="17" t="s">
        <v>45</v>
      </c>
      <c r="N202" t="s">
        <v>47</v>
      </c>
      <c r="O202" t="s">
        <v>1030</v>
      </c>
      <c r="P202" s="17">
        <v>45930</v>
      </c>
      <c r="Q202" s="18">
        <v>9</v>
      </c>
      <c r="R202">
        <v>2025</v>
      </c>
      <c r="T202" t="s">
        <v>780</v>
      </c>
      <c r="U202" t="s">
        <v>783</v>
      </c>
      <c r="V202" s="105">
        <v>-255252</v>
      </c>
      <c r="W202" s="42" t="s">
        <v>1031</v>
      </c>
      <c r="Y202">
        <v>9</v>
      </c>
      <c r="Z202">
        <v>2025</v>
      </c>
    </row>
    <row r="203" spans="1:26" hidden="1">
      <c r="A203" s="17" t="s">
        <v>1028</v>
      </c>
      <c r="B203" s="17">
        <v>45930</v>
      </c>
      <c r="D203" t="s">
        <v>1029</v>
      </c>
      <c r="E203" t="s">
        <v>901</v>
      </c>
      <c r="F203" t="s">
        <v>53</v>
      </c>
      <c r="G203" t="s">
        <v>902</v>
      </c>
      <c r="H203" t="s">
        <v>56</v>
      </c>
      <c r="J203" t="s">
        <v>911</v>
      </c>
      <c r="K203" s="9" t="s">
        <v>912</v>
      </c>
      <c r="L203" s="9" t="s">
        <v>905</v>
      </c>
      <c r="M203" s="17" t="s">
        <v>45</v>
      </c>
      <c r="N203" t="s">
        <v>47</v>
      </c>
      <c r="O203" t="s">
        <v>1032</v>
      </c>
      <c r="P203" s="17">
        <v>45930</v>
      </c>
      <c r="Q203" s="18">
        <v>9</v>
      </c>
      <c r="R203">
        <v>2025</v>
      </c>
      <c r="T203" t="s">
        <v>776</v>
      </c>
      <c r="U203" t="s">
        <v>783</v>
      </c>
      <c r="V203" s="105">
        <v>-40144</v>
      </c>
      <c r="W203" s="42" t="s">
        <v>1031</v>
      </c>
      <c r="Y203">
        <v>9</v>
      </c>
      <c r="Z203">
        <v>2025</v>
      </c>
    </row>
    <row r="204" spans="1:26" hidden="1">
      <c r="A204" s="17" t="s">
        <v>1028</v>
      </c>
      <c r="B204" s="17">
        <v>45930</v>
      </c>
      <c r="D204" t="s">
        <v>1029</v>
      </c>
      <c r="E204" t="s">
        <v>901</v>
      </c>
      <c r="F204" t="s">
        <v>53</v>
      </c>
      <c r="G204" t="s">
        <v>914</v>
      </c>
      <c r="H204" t="s">
        <v>56</v>
      </c>
      <c r="J204" t="s">
        <v>911</v>
      </c>
      <c r="K204" s="9" t="s">
        <v>912</v>
      </c>
      <c r="L204" s="9" t="s">
        <v>905</v>
      </c>
      <c r="M204" s="17" t="s">
        <v>45</v>
      </c>
      <c r="N204" t="s">
        <v>47</v>
      </c>
      <c r="O204" t="s">
        <v>1032</v>
      </c>
      <c r="P204" s="17">
        <v>45930</v>
      </c>
      <c r="Q204" s="18">
        <v>9</v>
      </c>
      <c r="R204">
        <v>2025</v>
      </c>
      <c r="T204" t="s">
        <v>776</v>
      </c>
      <c r="U204" t="s">
        <v>783</v>
      </c>
      <c r="V204" s="105">
        <v>-1352452</v>
      </c>
      <c r="W204" s="42" t="s">
        <v>1031</v>
      </c>
      <c r="Y204">
        <v>9</v>
      </c>
      <c r="Z204">
        <v>2025</v>
      </c>
    </row>
    <row r="205" spans="1:26" hidden="1">
      <c r="A205" s="17" t="s">
        <v>1028</v>
      </c>
      <c r="B205" s="17">
        <v>45930</v>
      </c>
      <c r="D205" t="s">
        <v>1029</v>
      </c>
      <c r="E205" t="s">
        <v>901</v>
      </c>
      <c r="F205" t="s">
        <v>53</v>
      </c>
      <c r="G205" t="s">
        <v>967</v>
      </c>
      <c r="H205" t="s">
        <v>56</v>
      </c>
      <c r="J205" t="s">
        <v>911</v>
      </c>
      <c r="K205" s="9" t="s">
        <v>912</v>
      </c>
      <c r="L205" s="9" t="s">
        <v>905</v>
      </c>
      <c r="M205" s="17" t="s">
        <v>45</v>
      </c>
      <c r="N205" t="s">
        <v>47</v>
      </c>
      <c r="O205" t="s">
        <v>1032</v>
      </c>
      <c r="P205" s="17">
        <v>45930</v>
      </c>
      <c r="Q205" s="18">
        <v>9</v>
      </c>
      <c r="R205">
        <v>2025</v>
      </c>
      <c r="T205" t="s">
        <v>776</v>
      </c>
      <c r="U205" t="s">
        <v>783</v>
      </c>
      <c r="V205" s="105">
        <v>-802304</v>
      </c>
      <c r="W205" s="42" t="s">
        <v>1031</v>
      </c>
      <c r="Y205">
        <v>9</v>
      </c>
      <c r="Z205">
        <v>2025</v>
      </c>
    </row>
    <row r="206" spans="1:26" hidden="1">
      <c r="A206" s="17" t="s">
        <v>1028</v>
      </c>
      <c r="B206" s="17">
        <v>45930</v>
      </c>
      <c r="D206" t="s">
        <v>1029</v>
      </c>
      <c r="E206" t="s">
        <v>901</v>
      </c>
      <c r="F206" t="s">
        <v>53</v>
      </c>
      <c r="G206" t="s">
        <v>914</v>
      </c>
      <c r="H206" t="s">
        <v>56</v>
      </c>
      <c r="J206" t="s">
        <v>911</v>
      </c>
      <c r="K206" s="9" t="s">
        <v>912</v>
      </c>
      <c r="L206" s="9" t="s">
        <v>905</v>
      </c>
      <c r="M206" s="17" t="s">
        <v>45</v>
      </c>
      <c r="N206" t="s">
        <v>47</v>
      </c>
      <c r="O206" t="s">
        <v>1032</v>
      </c>
      <c r="P206" s="17">
        <v>45930</v>
      </c>
      <c r="Q206" s="18">
        <v>9</v>
      </c>
      <c r="R206">
        <v>2025</v>
      </c>
      <c r="T206" t="s">
        <v>776</v>
      </c>
      <c r="U206" t="s">
        <v>783</v>
      </c>
      <c r="V206" s="105">
        <v>-580279</v>
      </c>
      <c r="W206" s="42" t="s">
        <v>1031</v>
      </c>
      <c r="Y206">
        <v>9</v>
      </c>
      <c r="Z206">
        <v>2025</v>
      </c>
    </row>
    <row r="207" spans="1:26" hidden="1">
      <c r="A207" s="17" t="s">
        <v>1028</v>
      </c>
      <c r="B207" s="17">
        <v>45930</v>
      </c>
      <c r="D207" t="s">
        <v>1029</v>
      </c>
      <c r="E207" t="s">
        <v>901</v>
      </c>
      <c r="F207" t="s">
        <v>53</v>
      </c>
      <c r="G207" t="s">
        <v>915</v>
      </c>
      <c r="H207" t="s">
        <v>56</v>
      </c>
      <c r="J207" t="s">
        <v>911</v>
      </c>
      <c r="K207" s="9" t="s">
        <v>912</v>
      </c>
      <c r="L207" s="9" t="s">
        <v>905</v>
      </c>
      <c r="M207" s="17" t="s">
        <v>45</v>
      </c>
      <c r="N207" t="s">
        <v>47</v>
      </c>
      <c r="O207" t="s">
        <v>1032</v>
      </c>
      <c r="P207" s="17">
        <v>45930</v>
      </c>
      <c r="Q207" s="18">
        <v>9</v>
      </c>
      <c r="R207">
        <v>2025</v>
      </c>
      <c r="T207" t="s">
        <v>776</v>
      </c>
      <c r="U207" t="s">
        <v>783</v>
      </c>
      <c r="V207" s="105">
        <v>-9206</v>
      </c>
      <c r="W207" s="42" t="s">
        <v>1031</v>
      </c>
      <c r="Y207">
        <v>9</v>
      </c>
      <c r="Z207">
        <v>2025</v>
      </c>
    </row>
    <row r="208" spans="1:26" hidden="1">
      <c r="A208" s="17" t="s">
        <v>1028</v>
      </c>
      <c r="B208" s="17">
        <v>45930</v>
      </c>
      <c r="D208" t="s">
        <v>1029</v>
      </c>
      <c r="E208" t="s">
        <v>901</v>
      </c>
      <c r="F208" t="s">
        <v>53</v>
      </c>
      <c r="G208" t="s">
        <v>902</v>
      </c>
      <c r="H208" t="s">
        <v>56</v>
      </c>
      <c r="J208" t="s">
        <v>911</v>
      </c>
      <c r="K208" s="9" t="s">
        <v>912</v>
      </c>
      <c r="L208" s="9" t="s">
        <v>905</v>
      </c>
      <c r="M208" s="17" t="s">
        <v>45</v>
      </c>
      <c r="N208" t="s">
        <v>47</v>
      </c>
      <c r="O208" t="s">
        <v>1032</v>
      </c>
      <c r="P208" s="17">
        <v>45930</v>
      </c>
      <c r="Q208" s="18">
        <v>9</v>
      </c>
      <c r="R208">
        <v>2025</v>
      </c>
      <c r="T208" t="s">
        <v>776</v>
      </c>
      <c r="U208" t="s">
        <v>783</v>
      </c>
      <c r="V208" s="105">
        <v>-193026</v>
      </c>
      <c r="W208" s="42" t="s">
        <v>1031</v>
      </c>
      <c r="Y208">
        <v>9</v>
      </c>
      <c r="Z208">
        <v>2025</v>
      </c>
    </row>
    <row r="209" spans="1:26" hidden="1">
      <c r="A209" s="17" t="s">
        <v>1028</v>
      </c>
      <c r="B209" s="17">
        <v>45930</v>
      </c>
      <c r="D209" t="s">
        <v>1029</v>
      </c>
      <c r="E209" t="s">
        <v>901</v>
      </c>
      <c r="F209" t="s">
        <v>53</v>
      </c>
      <c r="G209" t="s">
        <v>914</v>
      </c>
      <c r="H209" t="s">
        <v>56</v>
      </c>
      <c r="J209" t="s">
        <v>911</v>
      </c>
      <c r="K209" s="9" t="s">
        <v>912</v>
      </c>
      <c r="L209" s="9" t="s">
        <v>905</v>
      </c>
      <c r="M209" s="17" t="s">
        <v>45</v>
      </c>
      <c r="N209" t="s">
        <v>47</v>
      </c>
      <c r="O209" t="s">
        <v>1032</v>
      </c>
      <c r="P209" s="17">
        <v>45930</v>
      </c>
      <c r="Q209" s="18">
        <v>9</v>
      </c>
      <c r="R209">
        <v>2025</v>
      </c>
      <c r="T209" t="s">
        <v>776</v>
      </c>
      <c r="U209" t="s">
        <v>783</v>
      </c>
      <c r="V209" s="105">
        <v>-9459920</v>
      </c>
      <c r="W209" s="42" t="s">
        <v>1031</v>
      </c>
      <c r="Y209">
        <v>9</v>
      </c>
      <c r="Z209">
        <v>2025</v>
      </c>
    </row>
    <row r="210" spans="1:26" hidden="1">
      <c r="A210" s="17" t="s">
        <v>1028</v>
      </c>
      <c r="B210" s="17">
        <v>45930</v>
      </c>
      <c r="D210" t="s">
        <v>1029</v>
      </c>
      <c r="E210" t="s">
        <v>901</v>
      </c>
      <c r="F210" t="s">
        <v>53</v>
      </c>
      <c r="G210" t="s">
        <v>915</v>
      </c>
      <c r="H210" t="s">
        <v>56</v>
      </c>
      <c r="J210" t="s">
        <v>911</v>
      </c>
      <c r="K210" s="9" t="s">
        <v>912</v>
      </c>
      <c r="L210" s="9" t="s">
        <v>905</v>
      </c>
      <c r="M210" s="17" t="s">
        <v>45</v>
      </c>
      <c r="N210" t="s">
        <v>47</v>
      </c>
      <c r="O210" t="s">
        <v>1032</v>
      </c>
      <c r="P210" s="17">
        <v>45930</v>
      </c>
      <c r="Q210" s="18">
        <v>9</v>
      </c>
      <c r="R210">
        <v>2025</v>
      </c>
      <c r="T210" t="s">
        <v>776</v>
      </c>
      <c r="U210" t="s">
        <v>783</v>
      </c>
      <c r="V210" s="105">
        <v>-1802257</v>
      </c>
      <c r="W210" s="42" t="s">
        <v>1031</v>
      </c>
      <c r="Y210">
        <v>9</v>
      </c>
      <c r="Z210">
        <v>2025</v>
      </c>
    </row>
    <row r="211" spans="1:26" hidden="1">
      <c r="A211" s="17" t="s">
        <v>1028</v>
      </c>
      <c r="B211" s="17">
        <v>45930</v>
      </c>
      <c r="D211" t="s">
        <v>1029</v>
      </c>
      <c r="E211" t="s">
        <v>901</v>
      </c>
      <c r="F211" t="s">
        <v>53</v>
      </c>
      <c r="G211" t="s">
        <v>916</v>
      </c>
      <c r="H211" t="s">
        <v>56</v>
      </c>
      <c r="J211" t="s">
        <v>911</v>
      </c>
      <c r="K211" s="9" t="s">
        <v>912</v>
      </c>
      <c r="L211" s="9" t="s">
        <v>905</v>
      </c>
      <c r="M211" s="17" t="s">
        <v>45</v>
      </c>
      <c r="N211" t="s">
        <v>47</v>
      </c>
      <c r="O211" t="s">
        <v>1032</v>
      </c>
      <c r="P211" s="17">
        <v>45930</v>
      </c>
      <c r="Q211" s="18">
        <v>9</v>
      </c>
      <c r="R211">
        <v>2025</v>
      </c>
      <c r="T211" t="s">
        <v>776</v>
      </c>
      <c r="U211" t="s">
        <v>783</v>
      </c>
      <c r="V211" s="105">
        <v>-62492</v>
      </c>
      <c r="W211" s="42" t="s">
        <v>1031</v>
      </c>
      <c r="Y211">
        <v>9</v>
      </c>
      <c r="Z211">
        <v>2025</v>
      </c>
    </row>
    <row r="212" spans="1:26" hidden="1">
      <c r="A212" s="17" t="s">
        <v>1028</v>
      </c>
      <c r="B212" s="17">
        <v>45930</v>
      </c>
      <c r="D212" t="s">
        <v>1029</v>
      </c>
      <c r="E212" t="s">
        <v>901</v>
      </c>
      <c r="F212" t="s">
        <v>53</v>
      </c>
      <c r="G212" t="s">
        <v>967</v>
      </c>
      <c r="H212" t="s">
        <v>56</v>
      </c>
      <c r="J212" t="s">
        <v>911</v>
      </c>
      <c r="K212" s="9" t="s">
        <v>912</v>
      </c>
      <c r="L212" s="9" t="s">
        <v>905</v>
      </c>
      <c r="M212" s="17" t="s">
        <v>45</v>
      </c>
      <c r="N212" t="s">
        <v>47</v>
      </c>
      <c r="O212" t="s">
        <v>1032</v>
      </c>
      <c r="P212" s="17">
        <v>45930</v>
      </c>
      <c r="Q212" s="18">
        <v>9</v>
      </c>
      <c r="R212">
        <v>2025</v>
      </c>
      <c r="T212" t="s">
        <v>776</v>
      </c>
      <c r="U212" t="s">
        <v>783</v>
      </c>
      <c r="V212" s="105">
        <v>-379562</v>
      </c>
      <c r="W212" s="42" t="s">
        <v>1031</v>
      </c>
      <c r="Y212">
        <v>9</v>
      </c>
      <c r="Z212">
        <v>2025</v>
      </c>
    </row>
    <row r="213" spans="1:26" hidden="1">
      <c r="A213" s="17" t="s">
        <v>1028</v>
      </c>
      <c r="B213" s="17">
        <v>45930</v>
      </c>
      <c r="D213" t="s">
        <v>1029</v>
      </c>
      <c r="E213" t="s">
        <v>901</v>
      </c>
      <c r="F213" t="s">
        <v>53</v>
      </c>
      <c r="G213" t="s">
        <v>956</v>
      </c>
      <c r="H213" t="s">
        <v>56</v>
      </c>
      <c r="J213" t="s">
        <v>911</v>
      </c>
      <c r="K213" s="9" t="s">
        <v>912</v>
      </c>
      <c r="L213" s="9" t="s">
        <v>905</v>
      </c>
      <c r="M213" s="17" t="s">
        <v>45</v>
      </c>
      <c r="N213" t="s">
        <v>47</v>
      </c>
      <c r="O213" t="s">
        <v>1032</v>
      </c>
      <c r="P213" s="17">
        <v>45930</v>
      </c>
      <c r="Q213" s="18">
        <v>9</v>
      </c>
      <c r="R213">
        <v>2025</v>
      </c>
      <c r="T213" t="s">
        <v>776</v>
      </c>
      <c r="U213" t="s">
        <v>783</v>
      </c>
      <c r="V213" s="105">
        <v>-2765635</v>
      </c>
      <c r="W213" s="42" t="s">
        <v>1031</v>
      </c>
      <c r="Y213">
        <v>9</v>
      </c>
      <c r="Z213">
        <v>2025</v>
      </c>
    </row>
    <row r="214" spans="1:26" hidden="1">
      <c r="A214" s="17" t="s">
        <v>1028</v>
      </c>
      <c r="B214" s="17">
        <v>45930</v>
      </c>
      <c r="D214" t="s">
        <v>1029</v>
      </c>
      <c r="E214" t="s">
        <v>901</v>
      </c>
      <c r="F214" t="s">
        <v>53</v>
      </c>
      <c r="G214" t="s">
        <v>1025</v>
      </c>
      <c r="H214" t="s">
        <v>757</v>
      </c>
      <c r="J214" t="s">
        <v>1026</v>
      </c>
      <c r="K214" s="9" t="s">
        <v>1027</v>
      </c>
      <c r="L214" s="9" t="s">
        <v>905</v>
      </c>
      <c r="M214" s="17" t="s">
        <v>45</v>
      </c>
      <c r="N214" t="s">
        <v>47</v>
      </c>
      <c r="O214" t="s">
        <v>988</v>
      </c>
      <c r="P214" s="17">
        <v>45930</v>
      </c>
      <c r="Q214" s="18">
        <v>9</v>
      </c>
      <c r="R214">
        <v>2025</v>
      </c>
      <c r="T214" t="s">
        <v>776</v>
      </c>
      <c r="U214" t="s">
        <v>783</v>
      </c>
      <c r="V214" s="105">
        <v>-1</v>
      </c>
      <c r="W214" s="42" t="s">
        <v>1031</v>
      </c>
      <c r="Y214">
        <v>9</v>
      </c>
      <c r="Z214">
        <v>2025</v>
      </c>
    </row>
    <row r="215" spans="1:26" hidden="1">
      <c r="A215" s="17" t="s">
        <v>1033</v>
      </c>
      <c r="B215" s="17">
        <v>45951</v>
      </c>
      <c r="D215" t="s">
        <v>1034</v>
      </c>
      <c r="E215" t="s">
        <v>921</v>
      </c>
      <c r="F215" t="s">
        <v>53</v>
      </c>
      <c r="G215" t="s">
        <v>922</v>
      </c>
      <c r="H215" t="s">
        <v>56</v>
      </c>
      <c r="J215" t="s">
        <v>923</v>
      </c>
      <c r="K215" s="9" t="s">
        <v>924</v>
      </c>
      <c r="L215" s="9" t="s">
        <v>925</v>
      </c>
      <c r="M215" s="17" t="s">
        <v>926</v>
      </c>
      <c r="N215" t="s">
        <v>47</v>
      </c>
      <c r="O215" t="s">
        <v>58</v>
      </c>
      <c r="P215" s="17">
        <v>45951</v>
      </c>
      <c r="Q215" s="18">
        <v>10</v>
      </c>
      <c r="R215">
        <v>2025</v>
      </c>
      <c r="T215" t="s">
        <v>783</v>
      </c>
      <c r="U215" t="s">
        <v>783</v>
      </c>
      <c r="V215" s="105">
        <v>-374459</v>
      </c>
      <c r="W215" s="42" t="s">
        <v>1035</v>
      </c>
      <c r="Y215">
        <v>10</v>
      </c>
      <c r="Z215">
        <v>2025</v>
      </c>
    </row>
    <row r="216" spans="1:26" hidden="1">
      <c r="A216" s="17" t="s">
        <v>1036</v>
      </c>
      <c r="B216" s="17">
        <v>45959</v>
      </c>
      <c r="D216" t="s">
        <v>1037</v>
      </c>
      <c r="E216" t="s">
        <v>901</v>
      </c>
      <c r="F216" t="s">
        <v>53</v>
      </c>
      <c r="G216" t="s">
        <v>1038</v>
      </c>
      <c r="H216" t="s">
        <v>758</v>
      </c>
      <c r="J216" t="s">
        <v>1026</v>
      </c>
      <c r="K216" s="9" t="s">
        <v>1027</v>
      </c>
      <c r="L216" s="9" t="s">
        <v>905</v>
      </c>
      <c r="M216" s="17" t="s">
        <v>45</v>
      </c>
      <c r="N216" t="s">
        <v>47</v>
      </c>
      <c r="O216" t="s">
        <v>988</v>
      </c>
      <c r="P216" s="17">
        <v>45959</v>
      </c>
      <c r="Q216" s="18">
        <v>10</v>
      </c>
      <c r="R216">
        <v>2025</v>
      </c>
      <c r="T216" t="s">
        <v>776</v>
      </c>
      <c r="U216" t="s">
        <v>783</v>
      </c>
      <c r="V216" s="105">
        <v>-1</v>
      </c>
      <c r="W216" s="42" t="s">
        <v>1039</v>
      </c>
      <c r="Y216">
        <v>10</v>
      </c>
      <c r="Z216">
        <v>2025</v>
      </c>
    </row>
    <row r="217" spans="1:26" hidden="1">
      <c r="A217" s="17" t="s">
        <v>1036</v>
      </c>
      <c r="B217" s="17">
        <v>45959</v>
      </c>
      <c r="D217" t="s">
        <v>1037</v>
      </c>
      <c r="E217" t="s">
        <v>901</v>
      </c>
      <c r="F217" t="s">
        <v>53</v>
      </c>
      <c r="G217" t="s">
        <v>902</v>
      </c>
      <c r="H217" t="s">
        <v>56</v>
      </c>
      <c r="J217" t="s">
        <v>903</v>
      </c>
      <c r="K217" s="9" t="s">
        <v>904</v>
      </c>
      <c r="L217" s="9" t="s">
        <v>905</v>
      </c>
      <c r="M217" s="17" t="s">
        <v>45</v>
      </c>
      <c r="N217" t="s">
        <v>47</v>
      </c>
      <c r="O217" t="s">
        <v>1040</v>
      </c>
      <c r="P217" s="17">
        <v>45959</v>
      </c>
      <c r="Q217" s="18">
        <v>10</v>
      </c>
      <c r="R217">
        <v>2025</v>
      </c>
      <c r="T217" t="s">
        <v>780</v>
      </c>
      <c r="U217" t="s">
        <v>783</v>
      </c>
      <c r="V217" s="105">
        <v>-1140570</v>
      </c>
      <c r="W217" s="42" t="s">
        <v>1039</v>
      </c>
      <c r="Y217">
        <v>10</v>
      </c>
      <c r="Z217">
        <v>2025</v>
      </c>
    </row>
    <row r="218" spans="1:26" hidden="1">
      <c r="A218" s="17" t="s">
        <v>1036</v>
      </c>
      <c r="B218" s="17">
        <v>45959</v>
      </c>
      <c r="D218" t="s">
        <v>1037</v>
      </c>
      <c r="E218" t="s">
        <v>901</v>
      </c>
      <c r="F218" t="s">
        <v>53</v>
      </c>
      <c r="G218" t="s">
        <v>908</v>
      </c>
      <c r="H218" t="s">
        <v>56</v>
      </c>
      <c r="J218" t="s">
        <v>903</v>
      </c>
      <c r="K218" s="9" t="s">
        <v>904</v>
      </c>
      <c r="L218" s="9" t="s">
        <v>905</v>
      </c>
      <c r="M218" s="17" t="s">
        <v>45</v>
      </c>
      <c r="N218" t="s">
        <v>47</v>
      </c>
      <c r="O218" t="s">
        <v>1040</v>
      </c>
      <c r="P218" s="17">
        <v>45959</v>
      </c>
      <c r="Q218" s="18">
        <v>10</v>
      </c>
      <c r="R218">
        <v>2025</v>
      </c>
      <c r="T218" t="s">
        <v>780</v>
      </c>
      <c r="U218" t="s">
        <v>783</v>
      </c>
      <c r="V218" s="105">
        <v>-885706</v>
      </c>
      <c r="W218" s="42" t="s">
        <v>1039</v>
      </c>
      <c r="Y218">
        <v>10</v>
      </c>
      <c r="Z218">
        <v>2025</v>
      </c>
    </row>
    <row r="219" spans="1:26" hidden="1">
      <c r="A219" s="17" t="s">
        <v>1036</v>
      </c>
      <c r="B219" s="17">
        <v>45959</v>
      </c>
      <c r="D219" t="s">
        <v>1037</v>
      </c>
      <c r="E219" t="s">
        <v>901</v>
      </c>
      <c r="F219" t="s">
        <v>53</v>
      </c>
      <c r="G219" t="s">
        <v>910</v>
      </c>
      <c r="H219" t="s">
        <v>56</v>
      </c>
      <c r="J219" t="s">
        <v>903</v>
      </c>
      <c r="K219" s="9" t="s">
        <v>904</v>
      </c>
      <c r="L219" s="9" t="s">
        <v>905</v>
      </c>
      <c r="M219" s="17" t="s">
        <v>45</v>
      </c>
      <c r="N219" t="s">
        <v>47</v>
      </c>
      <c r="O219" t="s">
        <v>1040</v>
      </c>
      <c r="P219" s="17">
        <v>45959</v>
      </c>
      <c r="Q219" s="18">
        <v>10</v>
      </c>
      <c r="R219">
        <v>2025</v>
      </c>
      <c r="T219" t="s">
        <v>780</v>
      </c>
      <c r="U219" t="s">
        <v>783</v>
      </c>
      <c r="V219" s="105">
        <v>-651566</v>
      </c>
      <c r="W219" s="42" t="s">
        <v>1039</v>
      </c>
      <c r="Y219">
        <v>10</v>
      </c>
      <c r="Z219">
        <v>2025</v>
      </c>
    </row>
    <row r="220" spans="1:26" hidden="1">
      <c r="A220" s="17" t="s">
        <v>1036</v>
      </c>
      <c r="B220" s="17">
        <v>45959</v>
      </c>
      <c r="D220" t="s">
        <v>1037</v>
      </c>
      <c r="E220" t="s">
        <v>901</v>
      </c>
      <c r="F220" t="s">
        <v>53</v>
      </c>
      <c r="G220" t="s">
        <v>909</v>
      </c>
      <c r="H220" t="s">
        <v>56</v>
      </c>
      <c r="J220" t="s">
        <v>903</v>
      </c>
      <c r="K220" s="9" t="s">
        <v>904</v>
      </c>
      <c r="L220" s="9" t="s">
        <v>905</v>
      </c>
      <c r="M220" s="17" t="s">
        <v>45</v>
      </c>
      <c r="N220" t="s">
        <v>47</v>
      </c>
      <c r="O220" t="s">
        <v>1040</v>
      </c>
      <c r="P220" s="17">
        <v>45959</v>
      </c>
      <c r="Q220" s="18">
        <v>10</v>
      </c>
      <c r="R220">
        <v>2025</v>
      </c>
      <c r="T220" t="s">
        <v>780</v>
      </c>
      <c r="U220" t="s">
        <v>783</v>
      </c>
      <c r="V220" s="105">
        <v>-162825</v>
      </c>
      <c r="W220" s="42" t="s">
        <v>1039</v>
      </c>
      <c r="Y220">
        <v>10</v>
      </c>
      <c r="Z220">
        <v>2025</v>
      </c>
    </row>
    <row r="221" spans="1:26" hidden="1">
      <c r="A221" s="17" t="s">
        <v>1036</v>
      </c>
      <c r="B221" s="17">
        <v>45959</v>
      </c>
      <c r="D221" t="s">
        <v>1037</v>
      </c>
      <c r="E221" t="s">
        <v>901</v>
      </c>
      <c r="F221" t="s">
        <v>53</v>
      </c>
      <c r="G221" t="s">
        <v>914</v>
      </c>
      <c r="H221" t="s">
        <v>56</v>
      </c>
      <c r="J221" t="s">
        <v>911</v>
      </c>
      <c r="K221" s="9" t="s">
        <v>912</v>
      </c>
      <c r="L221" s="9" t="s">
        <v>905</v>
      </c>
      <c r="M221" s="17" t="s">
        <v>45</v>
      </c>
      <c r="N221" t="s">
        <v>47</v>
      </c>
      <c r="O221" t="s">
        <v>1041</v>
      </c>
      <c r="P221" s="17">
        <v>45959</v>
      </c>
      <c r="Q221" s="18">
        <v>10</v>
      </c>
      <c r="R221">
        <v>2025</v>
      </c>
      <c r="T221" t="s">
        <v>776</v>
      </c>
      <c r="U221" t="s">
        <v>783</v>
      </c>
      <c r="V221" s="105">
        <v>-3897716</v>
      </c>
      <c r="W221" s="42" t="s">
        <v>1039</v>
      </c>
      <c r="Y221">
        <v>10</v>
      </c>
      <c r="Z221">
        <v>2025</v>
      </c>
    </row>
    <row r="222" spans="1:26" hidden="1">
      <c r="A222" s="17" t="s">
        <v>1036</v>
      </c>
      <c r="B222" s="17">
        <v>45959</v>
      </c>
      <c r="D222" t="s">
        <v>1037</v>
      </c>
      <c r="E222" t="s">
        <v>901</v>
      </c>
      <c r="F222" t="s">
        <v>53</v>
      </c>
      <c r="G222" t="s">
        <v>915</v>
      </c>
      <c r="H222" t="s">
        <v>56</v>
      </c>
      <c r="J222" t="s">
        <v>911</v>
      </c>
      <c r="K222" s="9" t="s">
        <v>912</v>
      </c>
      <c r="L222" s="9" t="s">
        <v>905</v>
      </c>
      <c r="M222" s="17" t="s">
        <v>45</v>
      </c>
      <c r="N222" t="s">
        <v>47</v>
      </c>
      <c r="O222" t="s">
        <v>1041</v>
      </c>
      <c r="P222" s="17">
        <v>45959</v>
      </c>
      <c r="Q222" s="18">
        <v>10</v>
      </c>
      <c r="R222">
        <v>2025</v>
      </c>
      <c r="T222" t="s">
        <v>776</v>
      </c>
      <c r="U222" t="s">
        <v>783</v>
      </c>
      <c r="V222" s="105">
        <v>-53288</v>
      </c>
      <c r="W222" s="42" t="s">
        <v>1039</v>
      </c>
      <c r="Y222">
        <v>10</v>
      </c>
      <c r="Z222">
        <v>2025</v>
      </c>
    </row>
    <row r="223" spans="1:26" hidden="1">
      <c r="A223" s="17" t="s">
        <v>1036</v>
      </c>
      <c r="B223" s="17">
        <v>45959</v>
      </c>
      <c r="D223" t="s">
        <v>1037</v>
      </c>
      <c r="E223" t="s">
        <v>901</v>
      </c>
      <c r="F223" t="s">
        <v>53</v>
      </c>
      <c r="G223" t="s">
        <v>914</v>
      </c>
      <c r="H223" t="s">
        <v>56</v>
      </c>
      <c r="J223" t="s">
        <v>911</v>
      </c>
      <c r="K223" s="9" t="s">
        <v>912</v>
      </c>
      <c r="L223" s="9" t="s">
        <v>905</v>
      </c>
      <c r="M223" s="17" t="s">
        <v>45</v>
      </c>
      <c r="N223" t="s">
        <v>47</v>
      </c>
      <c r="O223" t="s">
        <v>1041</v>
      </c>
      <c r="P223" s="17">
        <v>45959</v>
      </c>
      <c r="Q223" s="18">
        <v>10</v>
      </c>
      <c r="R223">
        <v>2025</v>
      </c>
      <c r="T223" t="s">
        <v>776</v>
      </c>
      <c r="U223" t="s">
        <v>783</v>
      </c>
      <c r="V223" s="105">
        <v>-213602</v>
      </c>
      <c r="W223" s="42" t="s">
        <v>1039</v>
      </c>
      <c r="Y223">
        <v>10</v>
      </c>
      <c r="Z223">
        <v>2025</v>
      </c>
    </row>
    <row r="224" spans="1:26" hidden="1">
      <c r="A224" s="17" t="s">
        <v>1036</v>
      </c>
      <c r="B224" s="17">
        <v>45959</v>
      </c>
      <c r="D224" t="s">
        <v>1037</v>
      </c>
      <c r="E224" t="s">
        <v>901</v>
      </c>
      <c r="F224" t="s">
        <v>53</v>
      </c>
      <c r="G224" t="s">
        <v>916</v>
      </c>
      <c r="H224" t="s">
        <v>56</v>
      </c>
      <c r="J224" t="s">
        <v>911</v>
      </c>
      <c r="K224" s="9" t="s">
        <v>912</v>
      </c>
      <c r="L224" s="9" t="s">
        <v>905</v>
      </c>
      <c r="M224" s="17" t="s">
        <v>45</v>
      </c>
      <c r="N224" t="s">
        <v>47</v>
      </c>
      <c r="O224" t="s">
        <v>1041</v>
      </c>
      <c r="P224" s="17">
        <v>45959</v>
      </c>
      <c r="Q224" s="18">
        <v>10</v>
      </c>
      <c r="R224">
        <v>2025</v>
      </c>
      <c r="T224" t="s">
        <v>776</v>
      </c>
      <c r="U224" t="s">
        <v>783</v>
      </c>
      <c r="V224" s="105">
        <v>-107693</v>
      </c>
      <c r="W224" s="42" t="s">
        <v>1039</v>
      </c>
      <c r="Y224">
        <v>10</v>
      </c>
      <c r="Z224">
        <v>2025</v>
      </c>
    </row>
    <row r="225" spans="1:26" hidden="1">
      <c r="A225" s="17" t="s">
        <v>1036</v>
      </c>
      <c r="B225" s="17">
        <v>45959</v>
      </c>
      <c r="D225" t="s">
        <v>1037</v>
      </c>
      <c r="E225" t="s">
        <v>901</v>
      </c>
      <c r="F225" t="s">
        <v>53</v>
      </c>
      <c r="G225" t="s">
        <v>956</v>
      </c>
      <c r="H225" t="s">
        <v>56</v>
      </c>
      <c r="J225" t="s">
        <v>911</v>
      </c>
      <c r="K225" s="9" t="s">
        <v>912</v>
      </c>
      <c r="L225" s="9" t="s">
        <v>905</v>
      </c>
      <c r="M225" s="17" t="s">
        <v>45</v>
      </c>
      <c r="N225" t="s">
        <v>47</v>
      </c>
      <c r="O225" t="s">
        <v>1041</v>
      </c>
      <c r="P225" s="17">
        <v>45959</v>
      </c>
      <c r="Q225" s="18">
        <v>10</v>
      </c>
      <c r="R225">
        <v>2025</v>
      </c>
      <c r="T225" t="s">
        <v>776</v>
      </c>
      <c r="U225" t="s">
        <v>783</v>
      </c>
      <c r="V225" s="105">
        <v>-23181</v>
      </c>
      <c r="W225" s="42" t="s">
        <v>1039</v>
      </c>
      <c r="Y225">
        <v>10</v>
      </c>
      <c r="Z225">
        <v>2025</v>
      </c>
    </row>
    <row r="226" spans="1:26" hidden="1">
      <c r="A226" s="17" t="s">
        <v>1036</v>
      </c>
      <c r="B226" s="17">
        <v>45959</v>
      </c>
      <c r="D226" t="s">
        <v>1037</v>
      </c>
      <c r="E226" t="s">
        <v>901</v>
      </c>
      <c r="F226" t="s">
        <v>53</v>
      </c>
      <c r="G226" t="s">
        <v>902</v>
      </c>
      <c r="H226" t="s">
        <v>56</v>
      </c>
      <c r="J226" t="s">
        <v>911</v>
      </c>
      <c r="K226" s="9" t="s">
        <v>912</v>
      </c>
      <c r="L226" s="9" t="s">
        <v>905</v>
      </c>
      <c r="M226" s="17" t="s">
        <v>45</v>
      </c>
      <c r="N226" t="s">
        <v>47</v>
      </c>
      <c r="O226" t="s">
        <v>1041</v>
      </c>
      <c r="P226" s="17">
        <v>45959</v>
      </c>
      <c r="Q226" s="18">
        <v>10</v>
      </c>
      <c r="R226">
        <v>2025</v>
      </c>
      <c r="T226" t="s">
        <v>776</v>
      </c>
      <c r="U226" t="s">
        <v>783</v>
      </c>
      <c r="V226" s="105">
        <v>-117346</v>
      </c>
      <c r="W226" s="42" t="s">
        <v>1039</v>
      </c>
      <c r="Y226">
        <v>10</v>
      </c>
      <c r="Z226">
        <v>2025</v>
      </c>
    </row>
    <row r="227" spans="1:26" hidden="1">
      <c r="A227" s="17" t="s">
        <v>1036</v>
      </c>
      <c r="B227" s="17">
        <v>45959</v>
      </c>
      <c r="D227" t="s">
        <v>1037</v>
      </c>
      <c r="E227" t="s">
        <v>901</v>
      </c>
      <c r="F227" t="s">
        <v>53</v>
      </c>
      <c r="G227" t="s">
        <v>914</v>
      </c>
      <c r="H227" t="s">
        <v>56</v>
      </c>
      <c r="J227" t="s">
        <v>911</v>
      </c>
      <c r="K227" s="9" t="s">
        <v>912</v>
      </c>
      <c r="L227" s="9" t="s">
        <v>905</v>
      </c>
      <c r="M227" s="17" t="s">
        <v>45</v>
      </c>
      <c r="N227" t="s">
        <v>47</v>
      </c>
      <c r="O227" t="s">
        <v>1041</v>
      </c>
      <c r="P227" s="17">
        <v>45959</v>
      </c>
      <c r="Q227" s="18">
        <v>10</v>
      </c>
      <c r="R227">
        <v>2025</v>
      </c>
      <c r="T227" t="s">
        <v>776</v>
      </c>
      <c r="U227" t="s">
        <v>783</v>
      </c>
      <c r="V227" s="105">
        <v>-9852648</v>
      </c>
      <c r="W227" s="42" t="s">
        <v>1039</v>
      </c>
      <c r="Y227">
        <v>10</v>
      </c>
      <c r="Z227">
        <v>2025</v>
      </c>
    </row>
    <row r="228" spans="1:26" hidden="1">
      <c r="A228" s="17" t="s">
        <v>1036</v>
      </c>
      <c r="B228" s="17">
        <v>45959</v>
      </c>
      <c r="D228" t="s">
        <v>1037</v>
      </c>
      <c r="E228" t="s">
        <v>901</v>
      </c>
      <c r="F228" t="s">
        <v>53</v>
      </c>
      <c r="G228" t="s">
        <v>915</v>
      </c>
      <c r="H228" t="s">
        <v>56</v>
      </c>
      <c r="J228" t="s">
        <v>911</v>
      </c>
      <c r="K228" s="9" t="s">
        <v>912</v>
      </c>
      <c r="L228" s="9" t="s">
        <v>905</v>
      </c>
      <c r="M228" s="17" t="s">
        <v>45</v>
      </c>
      <c r="N228" t="s">
        <v>47</v>
      </c>
      <c r="O228" t="s">
        <v>1041</v>
      </c>
      <c r="P228" s="17">
        <v>45959</v>
      </c>
      <c r="Q228" s="18">
        <v>10</v>
      </c>
      <c r="R228">
        <v>2025</v>
      </c>
      <c r="T228" t="s">
        <v>776</v>
      </c>
      <c r="U228" t="s">
        <v>783</v>
      </c>
      <c r="V228" s="105">
        <v>-2610614</v>
      </c>
      <c r="W228" s="42" t="s">
        <v>1039</v>
      </c>
      <c r="Y228">
        <v>10</v>
      </c>
      <c r="Z228">
        <v>2025</v>
      </c>
    </row>
    <row r="229" spans="1:26" hidden="1">
      <c r="A229" s="17" t="s">
        <v>1036</v>
      </c>
      <c r="B229" s="17">
        <v>45959</v>
      </c>
      <c r="D229" t="s">
        <v>1037</v>
      </c>
      <c r="E229" t="s">
        <v>901</v>
      </c>
      <c r="F229" t="s">
        <v>53</v>
      </c>
      <c r="G229" t="s">
        <v>916</v>
      </c>
      <c r="H229" t="s">
        <v>56</v>
      </c>
      <c r="J229" t="s">
        <v>911</v>
      </c>
      <c r="K229" s="9" t="s">
        <v>912</v>
      </c>
      <c r="L229" s="9" t="s">
        <v>905</v>
      </c>
      <c r="M229" s="17" t="s">
        <v>45</v>
      </c>
      <c r="N229" t="s">
        <v>47</v>
      </c>
      <c r="O229" t="s">
        <v>1041</v>
      </c>
      <c r="P229" s="17">
        <v>45959</v>
      </c>
      <c r="Q229" s="18">
        <v>10</v>
      </c>
      <c r="R229">
        <v>2025</v>
      </c>
      <c r="T229" t="s">
        <v>776</v>
      </c>
      <c r="U229" t="s">
        <v>783</v>
      </c>
      <c r="V229" s="105">
        <v>-208123</v>
      </c>
      <c r="W229" s="42" t="s">
        <v>1039</v>
      </c>
      <c r="Y229">
        <v>10</v>
      </c>
      <c r="Z229">
        <v>2025</v>
      </c>
    </row>
    <row r="230" spans="1:26" hidden="1">
      <c r="A230" s="17" t="s">
        <v>1036</v>
      </c>
      <c r="B230" s="17">
        <v>45959</v>
      </c>
      <c r="D230" t="s">
        <v>1037</v>
      </c>
      <c r="E230" t="s">
        <v>901</v>
      </c>
      <c r="F230" t="s">
        <v>53</v>
      </c>
      <c r="G230" t="s">
        <v>967</v>
      </c>
      <c r="H230" t="s">
        <v>56</v>
      </c>
      <c r="J230" t="s">
        <v>911</v>
      </c>
      <c r="K230" s="9" t="s">
        <v>912</v>
      </c>
      <c r="L230" s="9" t="s">
        <v>905</v>
      </c>
      <c r="M230" s="17" t="s">
        <v>45</v>
      </c>
      <c r="N230" t="s">
        <v>47</v>
      </c>
      <c r="O230" t="s">
        <v>1041</v>
      </c>
      <c r="P230" s="17">
        <v>45959</v>
      </c>
      <c r="Q230" s="18">
        <v>10</v>
      </c>
      <c r="R230">
        <v>2025</v>
      </c>
      <c r="T230" t="s">
        <v>776</v>
      </c>
      <c r="U230" t="s">
        <v>783</v>
      </c>
      <c r="V230" s="105">
        <v>-311947</v>
      </c>
      <c r="W230" s="42" t="s">
        <v>1039</v>
      </c>
      <c r="Y230">
        <v>10</v>
      </c>
      <c r="Z230">
        <v>2025</v>
      </c>
    </row>
    <row r="231" spans="1:26" hidden="1">
      <c r="A231" s="17" t="s">
        <v>1036</v>
      </c>
      <c r="B231" s="17">
        <v>45959</v>
      </c>
      <c r="D231" t="s">
        <v>1037</v>
      </c>
      <c r="E231" t="s">
        <v>901</v>
      </c>
      <c r="F231" t="s">
        <v>53</v>
      </c>
      <c r="G231" t="s">
        <v>956</v>
      </c>
      <c r="H231" t="s">
        <v>56</v>
      </c>
      <c r="J231" t="s">
        <v>911</v>
      </c>
      <c r="K231" s="9" t="s">
        <v>912</v>
      </c>
      <c r="L231" s="9" t="s">
        <v>905</v>
      </c>
      <c r="M231" s="17" t="s">
        <v>45</v>
      </c>
      <c r="N231" t="s">
        <v>47</v>
      </c>
      <c r="O231" t="s">
        <v>1041</v>
      </c>
      <c r="P231" s="17">
        <v>45959</v>
      </c>
      <c r="Q231" s="18">
        <v>10</v>
      </c>
      <c r="R231">
        <v>2025</v>
      </c>
      <c r="T231" t="s">
        <v>776</v>
      </c>
      <c r="U231" t="s">
        <v>783</v>
      </c>
      <c r="V231" s="105">
        <v>-1011169</v>
      </c>
      <c r="W231" s="42" t="s">
        <v>1039</v>
      </c>
      <c r="Y231">
        <v>10</v>
      </c>
      <c r="Z231">
        <v>2025</v>
      </c>
    </row>
    <row r="232" spans="1:26" hidden="1">
      <c r="A232" s="17" t="s">
        <v>1036</v>
      </c>
      <c r="B232" s="17">
        <v>45959</v>
      </c>
      <c r="D232" t="s">
        <v>1037</v>
      </c>
      <c r="E232" t="s">
        <v>901</v>
      </c>
      <c r="F232" t="s">
        <v>53</v>
      </c>
      <c r="G232" t="s">
        <v>946</v>
      </c>
      <c r="H232" t="s">
        <v>56</v>
      </c>
      <c r="J232" t="s">
        <v>911</v>
      </c>
      <c r="K232" s="9" t="s">
        <v>912</v>
      </c>
      <c r="L232" s="9" t="s">
        <v>905</v>
      </c>
      <c r="M232" s="17" t="s">
        <v>45</v>
      </c>
      <c r="N232" t="s">
        <v>47</v>
      </c>
      <c r="O232" t="s">
        <v>1041</v>
      </c>
      <c r="P232" s="17">
        <v>45959</v>
      </c>
      <c r="Q232" s="18">
        <v>10</v>
      </c>
      <c r="R232">
        <v>2025</v>
      </c>
      <c r="T232" t="s">
        <v>776</v>
      </c>
      <c r="U232" t="s">
        <v>783</v>
      </c>
      <c r="V232" s="105">
        <v>-106581</v>
      </c>
      <c r="W232" s="42" t="s">
        <v>1039</v>
      </c>
      <c r="Y232">
        <v>10</v>
      </c>
      <c r="Z232">
        <v>2025</v>
      </c>
    </row>
    <row r="233" spans="1:26" hidden="1">
      <c r="A233" s="17" t="s">
        <v>1036</v>
      </c>
      <c r="B233" s="17">
        <v>45959</v>
      </c>
      <c r="D233" t="s">
        <v>1037</v>
      </c>
      <c r="E233" t="s">
        <v>901</v>
      </c>
      <c r="F233" t="s">
        <v>53</v>
      </c>
      <c r="G233" t="s">
        <v>955</v>
      </c>
      <c r="H233" t="s">
        <v>56</v>
      </c>
      <c r="J233" t="s">
        <v>911</v>
      </c>
      <c r="K233" s="9" t="s">
        <v>912</v>
      </c>
      <c r="L233" s="9" t="s">
        <v>905</v>
      </c>
      <c r="M233" s="17" t="s">
        <v>45</v>
      </c>
      <c r="N233" t="s">
        <v>47</v>
      </c>
      <c r="O233" t="s">
        <v>1041</v>
      </c>
      <c r="P233" s="17">
        <v>45959</v>
      </c>
      <c r="Q233" s="18">
        <v>10</v>
      </c>
      <c r="R233">
        <v>2025</v>
      </c>
      <c r="T233" t="s">
        <v>776</v>
      </c>
      <c r="U233" t="s">
        <v>783</v>
      </c>
      <c r="V233" s="105">
        <v>-749317</v>
      </c>
      <c r="W233" s="42" t="s">
        <v>1039</v>
      </c>
      <c r="Y233">
        <v>10</v>
      </c>
      <c r="Z233">
        <v>2025</v>
      </c>
    </row>
    <row r="234" spans="1:26" hidden="1">
      <c r="A234" s="17" t="s">
        <v>1036</v>
      </c>
      <c r="B234" s="17">
        <v>45959</v>
      </c>
      <c r="D234" t="s">
        <v>1037</v>
      </c>
      <c r="E234" t="s">
        <v>901</v>
      </c>
      <c r="F234" t="s">
        <v>53</v>
      </c>
      <c r="G234" t="s">
        <v>949</v>
      </c>
      <c r="H234" t="s">
        <v>56</v>
      </c>
      <c r="J234" t="s">
        <v>911</v>
      </c>
      <c r="K234" s="9" t="s">
        <v>912</v>
      </c>
      <c r="L234" s="9" t="s">
        <v>905</v>
      </c>
      <c r="M234" s="17" t="s">
        <v>45</v>
      </c>
      <c r="N234" t="s">
        <v>47</v>
      </c>
      <c r="O234" t="s">
        <v>1041</v>
      </c>
      <c r="P234" s="17">
        <v>45959</v>
      </c>
      <c r="Q234" s="18">
        <v>10</v>
      </c>
      <c r="R234">
        <v>2025</v>
      </c>
      <c r="T234" t="s">
        <v>776</v>
      </c>
      <c r="U234" t="s">
        <v>783</v>
      </c>
      <c r="V234" s="105">
        <v>-48017</v>
      </c>
      <c r="W234" s="42" t="s">
        <v>1039</v>
      </c>
      <c r="Y234">
        <v>10</v>
      </c>
      <c r="Z234">
        <v>2025</v>
      </c>
    </row>
    <row r="235" spans="1:26" hidden="1">
      <c r="A235" s="17" t="s">
        <v>1042</v>
      </c>
      <c r="B235" s="17">
        <v>45985</v>
      </c>
      <c r="D235" t="s">
        <v>1043</v>
      </c>
      <c r="E235" t="s">
        <v>921</v>
      </c>
      <c r="F235" t="s">
        <v>53</v>
      </c>
      <c r="G235" t="s">
        <v>922</v>
      </c>
      <c r="H235" t="s">
        <v>56</v>
      </c>
      <c r="J235" t="s">
        <v>923</v>
      </c>
      <c r="K235" s="9" t="s">
        <v>924</v>
      </c>
      <c r="L235" s="9" t="s">
        <v>925</v>
      </c>
      <c r="M235" s="17" t="s">
        <v>926</v>
      </c>
      <c r="N235" t="s">
        <v>47</v>
      </c>
      <c r="O235" t="s">
        <v>58</v>
      </c>
      <c r="P235" s="17">
        <v>45985</v>
      </c>
      <c r="Q235" s="18">
        <v>11</v>
      </c>
      <c r="R235">
        <v>2025</v>
      </c>
      <c r="T235" t="s">
        <v>783</v>
      </c>
      <c r="U235" t="s">
        <v>783</v>
      </c>
      <c r="V235" s="105">
        <v>-73001</v>
      </c>
      <c r="W235" s="42" t="s">
        <v>1044</v>
      </c>
      <c r="Y235">
        <v>11</v>
      </c>
      <c r="Z235">
        <v>2025</v>
      </c>
    </row>
    <row r="236" spans="1:26" hidden="1">
      <c r="A236" s="17" t="s">
        <v>1045</v>
      </c>
      <c r="B236" s="17">
        <v>45988</v>
      </c>
      <c r="D236" t="s">
        <v>1046</v>
      </c>
      <c r="E236" t="s">
        <v>901</v>
      </c>
      <c r="F236" t="s">
        <v>53</v>
      </c>
      <c r="G236" t="s">
        <v>902</v>
      </c>
      <c r="H236" t="s">
        <v>56</v>
      </c>
      <c r="J236" t="s">
        <v>903</v>
      </c>
      <c r="K236" s="9" t="s">
        <v>904</v>
      </c>
      <c r="L236" s="9" t="s">
        <v>905</v>
      </c>
      <c r="M236" s="17" t="s">
        <v>45</v>
      </c>
      <c r="N236" t="s">
        <v>47</v>
      </c>
      <c r="O236" t="s">
        <v>1047</v>
      </c>
      <c r="P236" s="17">
        <v>45988</v>
      </c>
      <c r="Q236" s="18">
        <v>11</v>
      </c>
      <c r="R236">
        <v>2025</v>
      </c>
      <c r="T236" t="s">
        <v>780</v>
      </c>
      <c r="U236" t="s">
        <v>783</v>
      </c>
      <c r="V236" s="105">
        <v>-492265</v>
      </c>
      <c r="W236" s="42" t="s">
        <v>1048</v>
      </c>
      <c r="Y236">
        <v>11</v>
      </c>
      <c r="Z236">
        <v>2025</v>
      </c>
    </row>
    <row r="237" spans="1:26" hidden="1">
      <c r="A237" s="17" t="s">
        <v>1045</v>
      </c>
      <c r="B237" s="17">
        <v>45988</v>
      </c>
      <c r="D237" t="s">
        <v>1046</v>
      </c>
      <c r="E237" t="s">
        <v>901</v>
      </c>
      <c r="F237" t="s">
        <v>53</v>
      </c>
      <c r="G237" t="s">
        <v>908</v>
      </c>
      <c r="H237" t="s">
        <v>56</v>
      </c>
      <c r="J237" t="s">
        <v>903</v>
      </c>
      <c r="K237" s="9" t="s">
        <v>904</v>
      </c>
      <c r="L237" s="9" t="s">
        <v>905</v>
      </c>
      <c r="M237" s="17" t="s">
        <v>45</v>
      </c>
      <c r="N237" t="s">
        <v>47</v>
      </c>
      <c r="O237" t="s">
        <v>1047</v>
      </c>
      <c r="P237" s="17">
        <v>45988</v>
      </c>
      <c r="Q237" s="18">
        <v>11</v>
      </c>
      <c r="R237">
        <v>2025</v>
      </c>
      <c r="T237" t="s">
        <v>780</v>
      </c>
      <c r="U237" t="s">
        <v>783</v>
      </c>
      <c r="V237" s="105">
        <v>-564355</v>
      </c>
      <c r="W237" s="42" t="s">
        <v>1048</v>
      </c>
      <c r="Y237">
        <v>11</v>
      </c>
      <c r="Z237">
        <v>2025</v>
      </c>
    </row>
    <row r="238" spans="1:26" hidden="1">
      <c r="A238" s="17" t="s">
        <v>1045</v>
      </c>
      <c r="B238" s="17">
        <v>45988</v>
      </c>
      <c r="D238" t="s">
        <v>1046</v>
      </c>
      <c r="E238" t="s">
        <v>901</v>
      </c>
      <c r="F238" t="s">
        <v>53</v>
      </c>
      <c r="G238" t="s">
        <v>910</v>
      </c>
      <c r="H238" t="s">
        <v>56</v>
      </c>
      <c r="J238" t="s">
        <v>903</v>
      </c>
      <c r="K238" s="9" t="s">
        <v>904</v>
      </c>
      <c r="L238" s="9" t="s">
        <v>905</v>
      </c>
      <c r="M238" s="17" t="s">
        <v>45</v>
      </c>
      <c r="N238" t="s">
        <v>47</v>
      </c>
      <c r="O238" t="s">
        <v>1047</v>
      </c>
      <c r="P238" s="17">
        <v>45988</v>
      </c>
      <c r="Q238" s="18">
        <v>11</v>
      </c>
      <c r="R238">
        <v>2025</v>
      </c>
      <c r="T238" t="s">
        <v>780</v>
      </c>
      <c r="U238" t="s">
        <v>783</v>
      </c>
      <c r="V238" s="105">
        <v>-357945</v>
      </c>
      <c r="W238" s="42" t="s">
        <v>1048</v>
      </c>
      <c r="Y238">
        <v>11</v>
      </c>
      <c r="Z238">
        <v>2025</v>
      </c>
    </row>
    <row r="239" spans="1:26" hidden="1">
      <c r="A239" s="17" t="s">
        <v>1045</v>
      </c>
      <c r="B239" s="17">
        <v>45988</v>
      </c>
      <c r="D239" t="s">
        <v>1046</v>
      </c>
      <c r="E239" t="s">
        <v>901</v>
      </c>
      <c r="F239" t="s">
        <v>53</v>
      </c>
      <c r="G239" t="s">
        <v>967</v>
      </c>
      <c r="H239" t="s">
        <v>56</v>
      </c>
      <c r="J239" t="s">
        <v>903</v>
      </c>
      <c r="K239" s="9" t="s">
        <v>904</v>
      </c>
      <c r="L239" s="9" t="s">
        <v>905</v>
      </c>
      <c r="M239" s="17" t="s">
        <v>45</v>
      </c>
      <c r="N239" t="s">
        <v>47</v>
      </c>
      <c r="O239" t="s">
        <v>1047</v>
      </c>
      <c r="P239" s="17">
        <v>45988</v>
      </c>
      <c r="Q239" s="18">
        <v>11</v>
      </c>
      <c r="R239">
        <v>2025</v>
      </c>
      <c r="T239" t="s">
        <v>780</v>
      </c>
      <c r="U239" t="s">
        <v>783</v>
      </c>
      <c r="V239" s="105">
        <v>-4554</v>
      </c>
      <c r="W239" s="42" t="s">
        <v>1048</v>
      </c>
      <c r="Y239">
        <v>11</v>
      </c>
      <c r="Z239">
        <v>2025</v>
      </c>
    </row>
    <row r="240" spans="1:26" hidden="1">
      <c r="A240" s="17" t="s">
        <v>1045</v>
      </c>
      <c r="B240" s="17">
        <v>45988</v>
      </c>
      <c r="D240" t="s">
        <v>1046</v>
      </c>
      <c r="E240" t="s">
        <v>901</v>
      </c>
      <c r="F240" t="s">
        <v>53</v>
      </c>
      <c r="G240" t="s">
        <v>909</v>
      </c>
      <c r="H240" t="s">
        <v>56</v>
      </c>
      <c r="J240" t="s">
        <v>903</v>
      </c>
      <c r="K240" s="9" t="s">
        <v>904</v>
      </c>
      <c r="L240" s="9" t="s">
        <v>905</v>
      </c>
      <c r="M240" s="17" t="s">
        <v>45</v>
      </c>
      <c r="N240" t="s">
        <v>47</v>
      </c>
      <c r="O240" t="s">
        <v>1047</v>
      </c>
      <c r="P240" s="17">
        <v>45988</v>
      </c>
      <c r="Q240" s="18">
        <v>11</v>
      </c>
      <c r="R240">
        <v>2025</v>
      </c>
      <c r="T240" t="s">
        <v>780</v>
      </c>
      <c r="U240" t="s">
        <v>783</v>
      </c>
      <c r="V240" s="105">
        <v>-137073</v>
      </c>
      <c r="W240" s="42" t="s">
        <v>1048</v>
      </c>
      <c r="Y240">
        <v>11</v>
      </c>
      <c r="Z240">
        <v>2025</v>
      </c>
    </row>
    <row r="241" spans="1:26" hidden="1">
      <c r="A241" s="17" t="s">
        <v>1045</v>
      </c>
      <c r="B241" s="17">
        <v>45988</v>
      </c>
      <c r="D241" t="s">
        <v>1046</v>
      </c>
      <c r="E241" t="s">
        <v>901</v>
      </c>
      <c r="F241" t="s">
        <v>53</v>
      </c>
      <c r="G241" t="s">
        <v>914</v>
      </c>
      <c r="H241" t="s">
        <v>56</v>
      </c>
      <c r="J241" t="s">
        <v>911</v>
      </c>
      <c r="K241" s="9" t="s">
        <v>912</v>
      </c>
      <c r="L241" s="9" t="s">
        <v>905</v>
      </c>
      <c r="M241" s="17" t="s">
        <v>45</v>
      </c>
      <c r="N241" t="s">
        <v>47</v>
      </c>
      <c r="O241" t="s">
        <v>1049</v>
      </c>
      <c r="P241" s="17">
        <v>45988</v>
      </c>
      <c r="Q241" s="18">
        <v>11</v>
      </c>
      <c r="R241">
        <v>2025</v>
      </c>
      <c r="T241" t="s">
        <v>776</v>
      </c>
      <c r="U241" t="s">
        <v>783</v>
      </c>
      <c r="V241" s="105">
        <v>-386615</v>
      </c>
      <c r="W241" s="42" t="s">
        <v>1048</v>
      </c>
      <c r="Y241">
        <v>11</v>
      </c>
      <c r="Z241">
        <v>2025</v>
      </c>
    </row>
    <row r="242" spans="1:26" hidden="1">
      <c r="A242" s="17" t="s">
        <v>1045</v>
      </c>
      <c r="B242" s="17">
        <v>45988</v>
      </c>
      <c r="D242" t="s">
        <v>1046</v>
      </c>
      <c r="E242" t="s">
        <v>901</v>
      </c>
      <c r="F242" t="s">
        <v>53</v>
      </c>
      <c r="G242" t="s">
        <v>914</v>
      </c>
      <c r="H242" t="s">
        <v>56</v>
      </c>
      <c r="J242" t="s">
        <v>911</v>
      </c>
      <c r="K242" s="9" t="s">
        <v>912</v>
      </c>
      <c r="L242" s="9" t="s">
        <v>905</v>
      </c>
      <c r="M242" s="17" t="s">
        <v>45</v>
      </c>
      <c r="N242" t="s">
        <v>47</v>
      </c>
      <c r="O242" t="s">
        <v>1049</v>
      </c>
      <c r="P242" s="17">
        <v>45988</v>
      </c>
      <c r="Q242" s="18">
        <v>11</v>
      </c>
      <c r="R242">
        <v>2025</v>
      </c>
      <c r="T242" t="s">
        <v>776</v>
      </c>
      <c r="U242" t="s">
        <v>783</v>
      </c>
      <c r="V242" s="105">
        <v>-167535</v>
      </c>
      <c r="W242" s="42" t="s">
        <v>1048</v>
      </c>
      <c r="Y242">
        <v>11</v>
      </c>
      <c r="Z242">
        <v>2025</v>
      </c>
    </row>
    <row r="243" spans="1:26" hidden="1">
      <c r="A243" s="17" t="s">
        <v>1045</v>
      </c>
      <c r="B243" s="17">
        <v>45988</v>
      </c>
      <c r="D243" t="s">
        <v>1046</v>
      </c>
      <c r="E243" t="s">
        <v>901</v>
      </c>
      <c r="F243" t="s">
        <v>53</v>
      </c>
      <c r="G243" t="s">
        <v>967</v>
      </c>
      <c r="H243" t="s">
        <v>56</v>
      </c>
      <c r="J243" t="s">
        <v>911</v>
      </c>
      <c r="K243" s="9" t="s">
        <v>912</v>
      </c>
      <c r="L243" s="9" t="s">
        <v>905</v>
      </c>
      <c r="M243" s="17" t="s">
        <v>45</v>
      </c>
      <c r="N243" t="s">
        <v>47</v>
      </c>
      <c r="O243" t="s">
        <v>1049</v>
      </c>
      <c r="P243" s="17">
        <v>45988</v>
      </c>
      <c r="Q243" s="18">
        <v>11</v>
      </c>
      <c r="R243">
        <v>2025</v>
      </c>
      <c r="T243" t="s">
        <v>776</v>
      </c>
      <c r="U243" t="s">
        <v>783</v>
      </c>
      <c r="V243" s="105">
        <v>-45907</v>
      </c>
      <c r="W243" s="42" t="s">
        <v>1048</v>
      </c>
      <c r="Y243">
        <v>11</v>
      </c>
      <c r="Z243">
        <v>2025</v>
      </c>
    </row>
    <row r="244" spans="1:26" hidden="1">
      <c r="A244" s="17" t="s">
        <v>1045</v>
      </c>
      <c r="B244" s="17">
        <v>45988</v>
      </c>
      <c r="D244" t="s">
        <v>1046</v>
      </c>
      <c r="E244" t="s">
        <v>901</v>
      </c>
      <c r="F244" t="s">
        <v>53</v>
      </c>
      <c r="G244" t="s">
        <v>914</v>
      </c>
      <c r="H244" t="s">
        <v>56</v>
      </c>
      <c r="J244" t="s">
        <v>911</v>
      </c>
      <c r="K244" s="9" t="s">
        <v>912</v>
      </c>
      <c r="L244" s="9" t="s">
        <v>905</v>
      </c>
      <c r="M244" s="17" t="s">
        <v>45</v>
      </c>
      <c r="N244" t="s">
        <v>47</v>
      </c>
      <c r="O244" t="s">
        <v>1049</v>
      </c>
      <c r="P244" s="17">
        <v>45988</v>
      </c>
      <c r="Q244" s="18">
        <v>11</v>
      </c>
      <c r="R244">
        <v>2025</v>
      </c>
      <c r="T244" t="s">
        <v>776</v>
      </c>
      <c r="U244" t="s">
        <v>783</v>
      </c>
      <c r="V244" s="105">
        <v>-5308576</v>
      </c>
      <c r="W244" s="42" t="s">
        <v>1048</v>
      </c>
      <c r="Y244">
        <v>11</v>
      </c>
      <c r="Z244">
        <v>2025</v>
      </c>
    </row>
    <row r="245" spans="1:26" hidden="1">
      <c r="A245" s="17" t="s">
        <v>1045</v>
      </c>
      <c r="B245" s="17">
        <v>45988</v>
      </c>
      <c r="D245" t="s">
        <v>1046</v>
      </c>
      <c r="E245" t="s">
        <v>901</v>
      </c>
      <c r="F245" t="s">
        <v>53</v>
      </c>
      <c r="G245" t="s">
        <v>916</v>
      </c>
      <c r="H245" t="s">
        <v>56</v>
      </c>
      <c r="J245" t="s">
        <v>911</v>
      </c>
      <c r="K245" s="9" t="s">
        <v>912</v>
      </c>
      <c r="L245" s="9" t="s">
        <v>905</v>
      </c>
      <c r="M245" s="17" t="s">
        <v>45</v>
      </c>
      <c r="N245" t="s">
        <v>47</v>
      </c>
      <c r="O245" t="s">
        <v>1049</v>
      </c>
      <c r="P245" s="17">
        <v>45988</v>
      </c>
      <c r="Q245" s="18">
        <v>11</v>
      </c>
      <c r="R245">
        <v>2025</v>
      </c>
      <c r="T245" t="s">
        <v>776</v>
      </c>
      <c r="U245" t="s">
        <v>783</v>
      </c>
      <c r="V245" s="105">
        <v>-7791</v>
      </c>
      <c r="W245" s="42" t="s">
        <v>1048</v>
      </c>
      <c r="Y245">
        <v>11</v>
      </c>
      <c r="Z245">
        <v>2025</v>
      </c>
    </row>
    <row r="246" spans="1:26" hidden="1">
      <c r="A246" s="17" t="s">
        <v>1045</v>
      </c>
      <c r="B246" s="17">
        <v>45988</v>
      </c>
      <c r="D246" t="s">
        <v>1046</v>
      </c>
      <c r="E246" t="s">
        <v>901</v>
      </c>
      <c r="F246" t="s">
        <v>53</v>
      </c>
      <c r="G246" t="s">
        <v>967</v>
      </c>
      <c r="H246" t="s">
        <v>56</v>
      </c>
      <c r="J246" t="s">
        <v>911</v>
      </c>
      <c r="K246" s="9" t="s">
        <v>912</v>
      </c>
      <c r="L246" s="9" t="s">
        <v>905</v>
      </c>
      <c r="M246" s="17" t="s">
        <v>45</v>
      </c>
      <c r="N246" t="s">
        <v>47</v>
      </c>
      <c r="O246" t="s">
        <v>1049</v>
      </c>
      <c r="P246" s="17">
        <v>45988</v>
      </c>
      <c r="Q246" s="18">
        <v>11</v>
      </c>
      <c r="R246">
        <v>2025</v>
      </c>
      <c r="T246" t="s">
        <v>776</v>
      </c>
      <c r="U246" t="s">
        <v>783</v>
      </c>
      <c r="V246" s="105">
        <v>-217597</v>
      </c>
      <c r="W246" s="42" t="s">
        <v>1048</v>
      </c>
      <c r="Y246">
        <v>11</v>
      </c>
      <c r="Z246">
        <v>2025</v>
      </c>
    </row>
    <row r="247" spans="1:26" hidden="1">
      <c r="A247" s="17" t="s">
        <v>1045</v>
      </c>
      <c r="B247" s="17">
        <v>45988</v>
      </c>
      <c r="D247" t="s">
        <v>1046</v>
      </c>
      <c r="E247" t="s">
        <v>901</v>
      </c>
      <c r="F247" t="s">
        <v>53</v>
      </c>
      <c r="G247" t="s">
        <v>956</v>
      </c>
      <c r="H247" t="s">
        <v>56</v>
      </c>
      <c r="J247" t="s">
        <v>911</v>
      </c>
      <c r="K247" s="9" t="s">
        <v>912</v>
      </c>
      <c r="L247" s="9" t="s">
        <v>905</v>
      </c>
      <c r="M247" s="17" t="s">
        <v>45</v>
      </c>
      <c r="N247" t="s">
        <v>47</v>
      </c>
      <c r="O247" t="s">
        <v>1049</v>
      </c>
      <c r="P247" s="17">
        <v>45988</v>
      </c>
      <c r="Q247" s="18">
        <v>11</v>
      </c>
      <c r="R247">
        <v>2025</v>
      </c>
      <c r="T247" t="s">
        <v>776</v>
      </c>
      <c r="U247" t="s">
        <v>783</v>
      </c>
      <c r="V247" s="105">
        <v>-698446</v>
      </c>
      <c r="W247" s="42" t="s">
        <v>1048</v>
      </c>
      <c r="Y247">
        <v>11</v>
      </c>
      <c r="Z247">
        <v>2025</v>
      </c>
    </row>
    <row r="248" spans="1:26" hidden="1">
      <c r="A248" s="17" t="s">
        <v>1045</v>
      </c>
      <c r="B248" s="17">
        <v>45988</v>
      </c>
      <c r="D248" t="s">
        <v>1046</v>
      </c>
      <c r="E248" t="s">
        <v>901</v>
      </c>
      <c r="F248" t="s">
        <v>53</v>
      </c>
      <c r="G248" t="s">
        <v>1050</v>
      </c>
      <c r="H248" t="s">
        <v>56</v>
      </c>
      <c r="J248" t="s">
        <v>911</v>
      </c>
      <c r="K248" s="9" t="s">
        <v>912</v>
      </c>
      <c r="L248" s="9" t="s">
        <v>905</v>
      </c>
      <c r="M248" s="17" t="s">
        <v>45</v>
      </c>
      <c r="N248" t="s">
        <v>47</v>
      </c>
      <c r="O248" t="s">
        <v>1049</v>
      </c>
      <c r="P248" s="17">
        <v>45988</v>
      </c>
      <c r="Q248" s="18">
        <v>11</v>
      </c>
      <c r="R248">
        <v>2025</v>
      </c>
      <c r="T248" t="s">
        <v>776</v>
      </c>
      <c r="U248" t="s">
        <v>783</v>
      </c>
      <c r="V248" s="105">
        <v>-23390</v>
      </c>
      <c r="W248" s="42" t="s">
        <v>1048</v>
      </c>
      <c r="Y248">
        <v>11</v>
      </c>
      <c r="Z248">
        <v>2025</v>
      </c>
    </row>
    <row r="249" spans="1:26" hidden="1">
      <c r="A249" s="17" t="s">
        <v>1045</v>
      </c>
      <c r="B249" s="17">
        <v>45988</v>
      </c>
      <c r="D249" t="s">
        <v>1046</v>
      </c>
      <c r="E249" t="s">
        <v>901</v>
      </c>
      <c r="F249" t="s">
        <v>53</v>
      </c>
      <c r="G249" t="s">
        <v>1051</v>
      </c>
      <c r="H249" t="s">
        <v>56</v>
      </c>
      <c r="J249" t="s">
        <v>1015</v>
      </c>
      <c r="K249" s="9" t="s">
        <v>1016</v>
      </c>
      <c r="L249" s="9" t="s">
        <v>905</v>
      </c>
      <c r="M249" s="17" t="s">
        <v>45</v>
      </c>
      <c r="N249" t="s">
        <v>47</v>
      </c>
      <c r="O249" t="s">
        <v>988</v>
      </c>
      <c r="P249" s="17">
        <v>45988</v>
      </c>
      <c r="Q249" s="18">
        <v>11</v>
      </c>
      <c r="R249">
        <v>2025</v>
      </c>
      <c r="T249" t="s">
        <v>58</v>
      </c>
      <c r="U249" t="s">
        <v>783</v>
      </c>
      <c r="V249" s="105">
        <v>-1</v>
      </c>
      <c r="W249" s="42" t="s">
        <v>1048</v>
      </c>
      <c r="Y249">
        <v>11</v>
      </c>
      <c r="Z249">
        <v>2025</v>
      </c>
    </row>
    <row r="250" spans="1:26" hidden="1">
      <c r="A250" s="17" t="s">
        <v>1052</v>
      </c>
      <c r="B250" s="17">
        <v>45988</v>
      </c>
      <c r="D250" t="s">
        <v>1053</v>
      </c>
      <c r="E250" t="s">
        <v>921</v>
      </c>
      <c r="F250" t="s">
        <v>53</v>
      </c>
      <c r="G250" t="s">
        <v>922</v>
      </c>
      <c r="H250" t="s">
        <v>56</v>
      </c>
      <c r="J250" t="s">
        <v>923</v>
      </c>
      <c r="K250" s="9" t="s">
        <v>924</v>
      </c>
      <c r="L250" s="9" t="s">
        <v>925</v>
      </c>
      <c r="M250" s="17" t="s">
        <v>926</v>
      </c>
      <c r="N250" t="s">
        <v>47</v>
      </c>
      <c r="O250" t="s">
        <v>58</v>
      </c>
      <c r="P250" s="17">
        <v>45988</v>
      </c>
      <c r="Q250" s="18">
        <v>11</v>
      </c>
      <c r="R250">
        <v>2025</v>
      </c>
      <c r="T250" t="s">
        <v>783</v>
      </c>
      <c r="U250" t="s">
        <v>783</v>
      </c>
      <c r="V250" s="105">
        <v>-9365</v>
      </c>
      <c r="W250" s="42" t="s">
        <v>1054</v>
      </c>
      <c r="Y250">
        <v>11</v>
      </c>
      <c r="Z250">
        <v>2025</v>
      </c>
    </row>
    <row r="251" spans="1:26" hidden="1">
      <c r="A251" s="17" t="s">
        <v>1055</v>
      </c>
      <c r="B251" s="17">
        <v>46020</v>
      </c>
      <c r="D251" t="s">
        <v>1056</v>
      </c>
      <c r="E251" t="s">
        <v>921</v>
      </c>
      <c r="F251" t="s">
        <v>53</v>
      </c>
      <c r="G251" t="s">
        <v>936</v>
      </c>
      <c r="H251" t="s">
        <v>56</v>
      </c>
      <c r="J251" t="s">
        <v>1006</v>
      </c>
      <c r="K251" s="9" t="s">
        <v>1007</v>
      </c>
      <c r="L251" s="9" t="s">
        <v>925</v>
      </c>
      <c r="M251" s="17" t="s">
        <v>926</v>
      </c>
      <c r="N251" t="s">
        <v>47</v>
      </c>
      <c r="O251" t="s">
        <v>58</v>
      </c>
      <c r="P251" s="17">
        <v>46020</v>
      </c>
      <c r="Q251" s="18">
        <v>12</v>
      </c>
      <c r="R251">
        <v>2025</v>
      </c>
      <c r="T251" t="s">
        <v>783</v>
      </c>
      <c r="U251" t="s">
        <v>783</v>
      </c>
      <c r="V251" s="105">
        <v>-135914</v>
      </c>
      <c r="W251" s="42" t="s">
        <v>1057</v>
      </c>
      <c r="Y251">
        <v>12</v>
      </c>
      <c r="Z251">
        <v>2025</v>
      </c>
    </row>
    <row r="252" spans="1:26" hidden="1">
      <c r="A252" s="17" t="s">
        <v>1055</v>
      </c>
      <c r="B252" s="17">
        <v>46020</v>
      </c>
      <c r="D252" t="s">
        <v>1056</v>
      </c>
      <c r="E252" t="s">
        <v>921</v>
      </c>
      <c r="F252" t="s">
        <v>53</v>
      </c>
      <c r="G252" t="s">
        <v>940</v>
      </c>
      <c r="H252" t="s">
        <v>56</v>
      </c>
      <c r="J252" t="s">
        <v>1006</v>
      </c>
      <c r="K252" s="9" t="s">
        <v>1007</v>
      </c>
      <c r="L252" s="9" t="s">
        <v>925</v>
      </c>
      <c r="M252" s="17" t="s">
        <v>926</v>
      </c>
      <c r="N252" t="s">
        <v>47</v>
      </c>
      <c r="O252" t="s">
        <v>58</v>
      </c>
      <c r="P252" s="17">
        <v>46020</v>
      </c>
      <c r="Q252" s="18">
        <v>12</v>
      </c>
      <c r="R252">
        <v>2025</v>
      </c>
      <c r="T252" t="s">
        <v>783</v>
      </c>
      <c r="U252" t="s">
        <v>783</v>
      </c>
      <c r="V252" s="105">
        <v>-135897</v>
      </c>
      <c r="W252" s="42" t="s">
        <v>1057</v>
      </c>
      <c r="Y252">
        <v>12</v>
      </c>
      <c r="Z252">
        <v>2025</v>
      </c>
    </row>
    <row r="253" spans="1:26" hidden="1">
      <c r="A253" s="17" t="s">
        <v>1055</v>
      </c>
      <c r="B253" s="17">
        <v>46020</v>
      </c>
      <c r="D253" t="s">
        <v>1056</v>
      </c>
      <c r="E253" t="s">
        <v>921</v>
      </c>
      <c r="F253" t="s">
        <v>53</v>
      </c>
      <c r="G253" t="s">
        <v>941</v>
      </c>
      <c r="H253" t="s">
        <v>56</v>
      </c>
      <c r="J253" t="s">
        <v>1006</v>
      </c>
      <c r="K253" s="9" t="s">
        <v>1007</v>
      </c>
      <c r="L253" s="9" t="s">
        <v>925</v>
      </c>
      <c r="M253" s="17" t="s">
        <v>926</v>
      </c>
      <c r="N253" t="s">
        <v>47</v>
      </c>
      <c r="O253" t="s">
        <v>58</v>
      </c>
      <c r="P253" s="17">
        <v>46020</v>
      </c>
      <c r="Q253" s="18">
        <v>12</v>
      </c>
      <c r="R253">
        <v>2025</v>
      </c>
      <c r="T253" t="s">
        <v>783</v>
      </c>
      <c r="U253" t="s">
        <v>783</v>
      </c>
      <c r="V253" s="105">
        <v>-135897</v>
      </c>
      <c r="W253" s="42" t="s">
        <v>1057</v>
      </c>
      <c r="Y253">
        <v>12</v>
      </c>
      <c r="Z253">
        <v>2025</v>
      </c>
    </row>
    <row r="254" spans="1:26" hidden="1">
      <c r="A254" s="17" t="s">
        <v>1055</v>
      </c>
      <c r="B254" s="17">
        <v>46020</v>
      </c>
      <c r="D254" t="s">
        <v>1056</v>
      </c>
      <c r="E254" t="s">
        <v>921</v>
      </c>
      <c r="F254" t="s">
        <v>53</v>
      </c>
      <c r="G254" t="s">
        <v>942</v>
      </c>
      <c r="H254" t="s">
        <v>56</v>
      </c>
      <c r="J254" t="s">
        <v>1006</v>
      </c>
      <c r="K254" s="9" t="s">
        <v>1007</v>
      </c>
      <c r="L254" s="9" t="s">
        <v>925</v>
      </c>
      <c r="M254" s="17" t="s">
        <v>926</v>
      </c>
      <c r="N254" t="s">
        <v>47</v>
      </c>
      <c r="O254" t="s">
        <v>58</v>
      </c>
      <c r="P254" s="17">
        <v>46020</v>
      </c>
      <c r="Q254" s="18">
        <v>12</v>
      </c>
      <c r="R254">
        <v>2025</v>
      </c>
      <c r="T254" t="s">
        <v>783</v>
      </c>
      <c r="U254" t="s">
        <v>783</v>
      </c>
      <c r="V254" s="105">
        <v>-135897</v>
      </c>
      <c r="W254" s="42" t="s">
        <v>1057</v>
      </c>
      <c r="Y254">
        <v>12</v>
      </c>
      <c r="Z254">
        <v>2025</v>
      </c>
    </row>
    <row r="255" spans="1:26" hidden="1">
      <c r="A255" s="17" t="s">
        <v>1055</v>
      </c>
      <c r="B255" s="17">
        <v>46020</v>
      </c>
      <c r="D255" t="s">
        <v>1056</v>
      </c>
      <c r="E255" t="s">
        <v>921</v>
      </c>
      <c r="F255" t="s">
        <v>53</v>
      </c>
      <c r="G255" t="s">
        <v>915</v>
      </c>
      <c r="H255" t="s">
        <v>56</v>
      </c>
      <c r="J255" t="s">
        <v>1006</v>
      </c>
      <c r="K255" s="9" t="s">
        <v>1007</v>
      </c>
      <c r="L255" s="9" t="s">
        <v>925</v>
      </c>
      <c r="M255" s="17" t="s">
        <v>926</v>
      </c>
      <c r="N255" t="s">
        <v>47</v>
      </c>
      <c r="O255" t="s">
        <v>58</v>
      </c>
      <c r="P255" s="17">
        <v>46020</v>
      </c>
      <c r="Q255" s="18">
        <v>12</v>
      </c>
      <c r="R255">
        <v>2025</v>
      </c>
      <c r="T255" t="s">
        <v>783</v>
      </c>
      <c r="U255" t="s">
        <v>783</v>
      </c>
      <c r="V255" s="105">
        <v>-135897</v>
      </c>
      <c r="W255" s="42" t="s">
        <v>1057</v>
      </c>
      <c r="Y255">
        <v>12</v>
      </c>
      <c r="Z255">
        <v>2025</v>
      </c>
    </row>
    <row r="256" spans="1:26" hidden="1">
      <c r="A256" s="17" t="s">
        <v>1055</v>
      </c>
      <c r="B256" s="17">
        <v>46020</v>
      </c>
      <c r="D256" t="s">
        <v>1056</v>
      </c>
      <c r="E256" t="s">
        <v>921</v>
      </c>
      <c r="F256" t="s">
        <v>53</v>
      </c>
      <c r="G256" t="s">
        <v>916</v>
      </c>
      <c r="H256" t="s">
        <v>56</v>
      </c>
      <c r="J256" t="s">
        <v>1006</v>
      </c>
      <c r="K256" s="9" t="s">
        <v>1007</v>
      </c>
      <c r="L256" s="9" t="s">
        <v>925</v>
      </c>
      <c r="M256" s="17" t="s">
        <v>926</v>
      </c>
      <c r="N256" t="s">
        <v>47</v>
      </c>
      <c r="O256" t="s">
        <v>58</v>
      </c>
      <c r="P256" s="17">
        <v>46020</v>
      </c>
      <c r="Q256" s="18">
        <v>12</v>
      </c>
      <c r="R256">
        <v>2025</v>
      </c>
      <c r="T256" t="s">
        <v>783</v>
      </c>
      <c r="U256" t="s">
        <v>783</v>
      </c>
      <c r="V256" s="105">
        <v>-135897</v>
      </c>
      <c r="W256" s="42" t="s">
        <v>1057</v>
      </c>
      <c r="Y256">
        <v>12</v>
      </c>
      <c r="Z256">
        <v>2025</v>
      </c>
    </row>
    <row r="257" spans="1:26" hidden="1">
      <c r="A257" s="17" t="s">
        <v>1055</v>
      </c>
      <c r="B257" s="17">
        <v>46020</v>
      </c>
      <c r="D257" t="s">
        <v>1056</v>
      </c>
      <c r="E257" t="s">
        <v>921</v>
      </c>
      <c r="F257" t="s">
        <v>53</v>
      </c>
      <c r="G257" t="s">
        <v>943</v>
      </c>
      <c r="H257" t="s">
        <v>56</v>
      </c>
      <c r="J257" t="s">
        <v>1006</v>
      </c>
      <c r="K257" s="9" t="s">
        <v>1007</v>
      </c>
      <c r="L257" s="9" t="s">
        <v>925</v>
      </c>
      <c r="M257" s="17" t="s">
        <v>926</v>
      </c>
      <c r="N257" t="s">
        <v>47</v>
      </c>
      <c r="O257" t="s">
        <v>58</v>
      </c>
      <c r="P257" s="17">
        <v>46020</v>
      </c>
      <c r="Q257" s="18">
        <v>12</v>
      </c>
      <c r="R257">
        <v>2025</v>
      </c>
      <c r="T257" t="s">
        <v>783</v>
      </c>
      <c r="U257" t="s">
        <v>783</v>
      </c>
      <c r="V257" s="105">
        <v>-135897</v>
      </c>
      <c r="W257" s="42" t="s">
        <v>1057</v>
      </c>
      <c r="Y257">
        <v>12</v>
      </c>
      <c r="Z257">
        <v>2025</v>
      </c>
    </row>
    <row r="258" spans="1:26" hidden="1">
      <c r="A258" s="17" t="s">
        <v>1055</v>
      </c>
      <c r="B258" s="17">
        <v>46020</v>
      </c>
      <c r="D258" t="s">
        <v>1056</v>
      </c>
      <c r="E258" t="s">
        <v>921</v>
      </c>
      <c r="F258" t="s">
        <v>53</v>
      </c>
      <c r="G258" t="s">
        <v>944</v>
      </c>
      <c r="H258" t="s">
        <v>56</v>
      </c>
      <c r="J258" t="s">
        <v>1006</v>
      </c>
      <c r="K258" s="9" t="s">
        <v>1007</v>
      </c>
      <c r="L258" s="9" t="s">
        <v>925</v>
      </c>
      <c r="M258" s="17" t="s">
        <v>926</v>
      </c>
      <c r="N258" t="s">
        <v>47</v>
      </c>
      <c r="O258" t="s">
        <v>58</v>
      </c>
      <c r="P258" s="17">
        <v>46020</v>
      </c>
      <c r="Q258" s="18">
        <v>12</v>
      </c>
      <c r="R258">
        <v>2025</v>
      </c>
      <c r="T258" t="s">
        <v>783</v>
      </c>
      <c r="U258" t="s">
        <v>783</v>
      </c>
      <c r="V258" s="105">
        <v>-135897</v>
      </c>
      <c r="W258" s="42" t="s">
        <v>1057</v>
      </c>
      <c r="Y258">
        <v>12</v>
      </c>
      <c r="Z258">
        <v>2025</v>
      </c>
    </row>
    <row r="259" spans="1:26" hidden="1">
      <c r="A259" s="17" t="s">
        <v>1055</v>
      </c>
      <c r="B259" s="17">
        <v>46020</v>
      </c>
      <c r="D259" t="s">
        <v>1056</v>
      </c>
      <c r="E259" t="s">
        <v>921</v>
      </c>
      <c r="F259" t="s">
        <v>53</v>
      </c>
      <c r="G259" t="s">
        <v>902</v>
      </c>
      <c r="H259" t="s">
        <v>56</v>
      </c>
      <c r="J259" t="s">
        <v>1006</v>
      </c>
      <c r="K259" s="9" t="s">
        <v>1007</v>
      </c>
      <c r="L259" s="9" t="s">
        <v>925</v>
      </c>
      <c r="M259" s="17" t="s">
        <v>926</v>
      </c>
      <c r="N259" t="s">
        <v>47</v>
      </c>
      <c r="O259" t="s">
        <v>58</v>
      </c>
      <c r="P259" s="17">
        <v>46020</v>
      </c>
      <c r="Q259" s="18">
        <v>12</v>
      </c>
      <c r="R259">
        <v>2025</v>
      </c>
      <c r="T259" t="s">
        <v>783</v>
      </c>
      <c r="U259" t="s">
        <v>783</v>
      </c>
      <c r="V259" s="105">
        <v>-135897</v>
      </c>
      <c r="W259" s="42" t="s">
        <v>1057</v>
      </c>
      <c r="Y259">
        <v>12</v>
      </c>
      <c r="Z259">
        <v>2025</v>
      </c>
    </row>
    <row r="260" spans="1:26" hidden="1">
      <c r="A260" s="17" t="s">
        <v>1055</v>
      </c>
      <c r="B260" s="17">
        <v>46020</v>
      </c>
      <c r="D260" t="s">
        <v>1056</v>
      </c>
      <c r="E260" t="s">
        <v>921</v>
      </c>
      <c r="F260" t="s">
        <v>53</v>
      </c>
      <c r="G260" t="s">
        <v>945</v>
      </c>
      <c r="H260" t="s">
        <v>56</v>
      </c>
      <c r="J260" t="s">
        <v>1006</v>
      </c>
      <c r="K260" s="9" t="s">
        <v>1007</v>
      </c>
      <c r="L260" s="9" t="s">
        <v>925</v>
      </c>
      <c r="M260" s="17" t="s">
        <v>926</v>
      </c>
      <c r="N260" t="s">
        <v>47</v>
      </c>
      <c r="O260" t="s">
        <v>58</v>
      </c>
      <c r="P260" s="17">
        <v>46020</v>
      </c>
      <c r="Q260" s="18">
        <v>12</v>
      </c>
      <c r="R260">
        <v>2025</v>
      </c>
      <c r="T260" t="s">
        <v>783</v>
      </c>
      <c r="U260" t="s">
        <v>783</v>
      </c>
      <c r="V260" s="105">
        <v>-135897</v>
      </c>
      <c r="W260" s="42" t="s">
        <v>1057</v>
      </c>
      <c r="Y260">
        <v>12</v>
      </c>
      <c r="Z260">
        <v>2025</v>
      </c>
    </row>
    <row r="261" spans="1:26" hidden="1">
      <c r="A261" s="17" t="s">
        <v>1055</v>
      </c>
      <c r="B261" s="17">
        <v>46020</v>
      </c>
      <c r="D261" t="s">
        <v>1056</v>
      </c>
      <c r="E261" t="s">
        <v>921</v>
      </c>
      <c r="F261" t="s">
        <v>53</v>
      </c>
      <c r="G261" t="s">
        <v>918</v>
      </c>
      <c r="H261" t="s">
        <v>56</v>
      </c>
      <c r="J261" t="s">
        <v>1006</v>
      </c>
      <c r="K261" s="9" t="s">
        <v>1007</v>
      </c>
      <c r="L261" s="9" t="s">
        <v>925</v>
      </c>
      <c r="M261" s="17" t="s">
        <v>926</v>
      </c>
      <c r="N261" t="s">
        <v>47</v>
      </c>
      <c r="O261" t="s">
        <v>58</v>
      </c>
      <c r="P261" s="17">
        <v>46020</v>
      </c>
      <c r="Q261" s="18">
        <v>12</v>
      </c>
      <c r="R261">
        <v>2025</v>
      </c>
      <c r="T261" t="s">
        <v>783</v>
      </c>
      <c r="U261" t="s">
        <v>783</v>
      </c>
      <c r="V261" s="105">
        <v>-135897</v>
      </c>
      <c r="W261" s="42" t="s">
        <v>1057</v>
      </c>
      <c r="Y261">
        <v>12</v>
      </c>
      <c r="Z261">
        <v>2025</v>
      </c>
    </row>
    <row r="262" spans="1:26" hidden="1">
      <c r="A262" s="17" t="s">
        <v>1055</v>
      </c>
      <c r="B262" s="17">
        <v>46020</v>
      </c>
      <c r="D262" t="s">
        <v>1056</v>
      </c>
      <c r="E262" t="s">
        <v>921</v>
      </c>
      <c r="F262" t="s">
        <v>53</v>
      </c>
      <c r="G262" t="s">
        <v>946</v>
      </c>
      <c r="H262" t="s">
        <v>56</v>
      </c>
      <c r="J262" t="s">
        <v>1006</v>
      </c>
      <c r="K262" s="9" t="s">
        <v>1007</v>
      </c>
      <c r="L262" s="9" t="s">
        <v>925</v>
      </c>
      <c r="M262" s="17" t="s">
        <v>926</v>
      </c>
      <c r="N262" t="s">
        <v>47</v>
      </c>
      <c r="O262" t="s">
        <v>58</v>
      </c>
      <c r="P262" s="17">
        <v>46020</v>
      </c>
      <c r="Q262" s="18">
        <v>12</v>
      </c>
      <c r="R262">
        <v>2025</v>
      </c>
      <c r="T262" t="s">
        <v>783</v>
      </c>
      <c r="U262" t="s">
        <v>783</v>
      </c>
      <c r="V262" s="105">
        <v>-135897</v>
      </c>
      <c r="W262" s="42" t="s">
        <v>1057</v>
      </c>
      <c r="Y262">
        <v>12</v>
      </c>
      <c r="Z262">
        <v>2025</v>
      </c>
    </row>
    <row r="263" spans="1:26" hidden="1">
      <c r="A263" s="17" t="s">
        <v>1055</v>
      </c>
      <c r="B263" s="17">
        <v>46020</v>
      </c>
      <c r="D263" t="s">
        <v>1056</v>
      </c>
      <c r="E263" t="s">
        <v>921</v>
      </c>
      <c r="F263" t="s">
        <v>53</v>
      </c>
      <c r="G263" t="s">
        <v>947</v>
      </c>
      <c r="H263" t="s">
        <v>56</v>
      </c>
      <c r="J263" t="s">
        <v>1006</v>
      </c>
      <c r="K263" s="9" t="s">
        <v>1007</v>
      </c>
      <c r="L263" s="9" t="s">
        <v>925</v>
      </c>
      <c r="M263" s="17" t="s">
        <v>926</v>
      </c>
      <c r="N263" t="s">
        <v>47</v>
      </c>
      <c r="O263" t="s">
        <v>58</v>
      </c>
      <c r="P263" s="17">
        <v>46020</v>
      </c>
      <c r="Q263" s="18">
        <v>12</v>
      </c>
      <c r="R263">
        <v>2025</v>
      </c>
      <c r="T263" t="s">
        <v>783</v>
      </c>
      <c r="U263" t="s">
        <v>783</v>
      </c>
      <c r="V263" s="105">
        <v>-135897</v>
      </c>
      <c r="W263" s="42" t="s">
        <v>1057</v>
      </c>
      <c r="Y263">
        <v>12</v>
      </c>
      <c r="Z263">
        <v>2025</v>
      </c>
    </row>
    <row r="264" spans="1:26" hidden="1">
      <c r="A264" s="17" t="s">
        <v>1055</v>
      </c>
      <c r="B264" s="17">
        <v>46020</v>
      </c>
      <c r="D264" t="s">
        <v>1056</v>
      </c>
      <c r="E264" t="s">
        <v>921</v>
      </c>
      <c r="F264" t="s">
        <v>53</v>
      </c>
      <c r="G264" t="s">
        <v>948</v>
      </c>
      <c r="H264" t="s">
        <v>56</v>
      </c>
      <c r="J264" t="s">
        <v>1006</v>
      </c>
      <c r="K264" s="9" t="s">
        <v>1007</v>
      </c>
      <c r="L264" s="9" t="s">
        <v>925</v>
      </c>
      <c r="M264" s="17" t="s">
        <v>926</v>
      </c>
      <c r="N264" t="s">
        <v>47</v>
      </c>
      <c r="O264" t="s">
        <v>58</v>
      </c>
      <c r="P264" s="17">
        <v>46020</v>
      </c>
      <c r="Q264" s="18">
        <v>12</v>
      </c>
      <c r="R264">
        <v>2025</v>
      </c>
      <c r="T264" t="s">
        <v>783</v>
      </c>
      <c r="U264" t="s">
        <v>783</v>
      </c>
      <c r="V264" s="105">
        <v>-135897</v>
      </c>
      <c r="W264" s="42" t="s">
        <v>1057</v>
      </c>
      <c r="Y264">
        <v>12</v>
      </c>
      <c r="Z264">
        <v>2025</v>
      </c>
    </row>
    <row r="265" spans="1:26" hidden="1">
      <c r="A265" s="17" t="s">
        <v>1055</v>
      </c>
      <c r="B265" s="17">
        <v>46020</v>
      </c>
      <c r="D265" t="s">
        <v>1056</v>
      </c>
      <c r="E265" t="s">
        <v>921</v>
      </c>
      <c r="F265" t="s">
        <v>53</v>
      </c>
      <c r="G265" t="s">
        <v>908</v>
      </c>
      <c r="H265" t="s">
        <v>56</v>
      </c>
      <c r="J265" t="s">
        <v>1006</v>
      </c>
      <c r="K265" s="9" t="s">
        <v>1007</v>
      </c>
      <c r="L265" s="9" t="s">
        <v>925</v>
      </c>
      <c r="M265" s="17" t="s">
        <v>926</v>
      </c>
      <c r="N265" t="s">
        <v>47</v>
      </c>
      <c r="O265" t="s">
        <v>58</v>
      </c>
      <c r="P265" s="17">
        <v>46020</v>
      </c>
      <c r="Q265" s="18">
        <v>12</v>
      </c>
      <c r="R265">
        <v>2025</v>
      </c>
      <c r="T265" t="s">
        <v>783</v>
      </c>
      <c r="U265" t="s">
        <v>783</v>
      </c>
      <c r="V265" s="105">
        <v>-135897</v>
      </c>
      <c r="W265" s="42" t="s">
        <v>1057</v>
      </c>
      <c r="Y265">
        <v>12</v>
      </c>
      <c r="Z265">
        <v>2025</v>
      </c>
    </row>
    <row r="266" spans="1:26" hidden="1">
      <c r="A266" s="17" t="s">
        <v>1055</v>
      </c>
      <c r="B266" s="17">
        <v>46020</v>
      </c>
      <c r="D266" t="s">
        <v>1056</v>
      </c>
      <c r="E266" t="s">
        <v>921</v>
      </c>
      <c r="F266" t="s">
        <v>53</v>
      </c>
      <c r="G266" t="s">
        <v>949</v>
      </c>
      <c r="H266" t="s">
        <v>56</v>
      </c>
      <c r="J266" t="s">
        <v>1006</v>
      </c>
      <c r="K266" s="9" t="s">
        <v>1007</v>
      </c>
      <c r="L266" s="9" t="s">
        <v>925</v>
      </c>
      <c r="M266" s="17" t="s">
        <v>926</v>
      </c>
      <c r="N266" t="s">
        <v>47</v>
      </c>
      <c r="O266" t="s">
        <v>58</v>
      </c>
      <c r="P266" s="17">
        <v>46020</v>
      </c>
      <c r="Q266" s="18">
        <v>12</v>
      </c>
      <c r="R266">
        <v>2025</v>
      </c>
      <c r="T266" t="s">
        <v>783</v>
      </c>
      <c r="U266" t="s">
        <v>783</v>
      </c>
      <c r="V266" s="105">
        <v>-135897</v>
      </c>
      <c r="W266" s="42" t="s">
        <v>1057</v>
      </c>
      <c r="Y266">
        <v>12</v>
      </c>
      <c r="Z266">
        <v>2025</v>
      </c>
    </row>
    <row r="267" spans="1:26" hidden="1">
      <c r="A267" s="17" t="s">
        <v>1055</v>
      </c>
      <c r="B267" s="17">
        <v>46020</v>
      </c>
      <c r="D267" t="s">
        <v>1056</v>
      </c>
      <c r="E267" t="s">
        <v>921</v>
      </c>
      <c r="F267" t="s">
        <v>53</v>
      </c>
      <c r="G267" t="s">
        <v>950</v>
      </c>
      <c r="H267" t="s">
        <v>56</v>
      </c>
      <c r="J267" t="s">
        <v>1006</v>
      </c>
      <c r="K267" s="9" t="s">
        <v>1007</v>
      </c>
      <c r="L267" s="9" t="s">
        <v>925</v>
      </c>
      <c r="M267" s="17" t="s">
        <v>926</v>
      </c>
      <c r="N267" t="s">
        <v>47</v>
      </c>
      <c r="O267" t="s">
        <v>58</v>
      </c>
      <c r="P267" s="17">
        <v>46020</v>
      </c>
      <c r="Q267" s="18">
        <v>12</v>
      </c>
      <c r="R267">
        <v>2025</v>
      </c>
      <c r="T267" t="s">
        <v>783</v>
      </c>
      <c r="U267" t="s">
        <v>783</v>
      </c>
      <c r="V267" s="105">
        <v>-135897</v>
      </c>
      <c r="W267" s="42" t="s">
        <v>1057</v>
      </c>
      <c r="Y267">
        <v>12</v>
      </c>
      <c r="Z267">
        <v>2025</v>
      </c>
    </row>
    <row r="268" spans="1:26" hidden="1">
      <c r="A268" s="17" t="s">
        <v>1055</v>
      </c>
      <c r="B268" s="17">
        <v>46020</v>
      </c>
      <c r="D268" t="s">
        <v>1056</v>
      </c>
      <c r="E268" t="s">
        <v>921</v>
      </c>
      <c r="F268" t="s">
        <v>53</v>
      </c>
      <c r="G268" t="s">
        <v>951</v>
      </c>
      <c r="H268" t="s">
        <v>56</v>
      </c>
      <c r="J268" t="s">
        <v>1006</v>
      </c>
      <c r="K268" s="9" t="s">
        <v>1007</v>
      </c>
      <c r="L268" s="9" t="s">
        <v>925</v>
      </c>
      <c r="M268" s="17" t="s">
        <v>926</v>
      </c>
      <c r="N268" t="s">
        <v>47</v>
      </c>
      <c r="O268" t="s">
        <v>58</v>
      </c>
      <c r="P268" s="17">
        <v>46020</v>
      </c>
      <c r="Q268" s="18">
        <v>12</v>
      </c>
      <c r="R268">
        <v>2025</v>
      </c>
      <c r="T268" t="s">
        <v>783</v>
      </c>
      <c r="U268" t="s">
        <v>783</v>
      </c>
      <c r="V268" s="105">
        <v>-135897</v>
      </c>
      <c r="W268" s="42" t="s">
        <v>1057</v>
      </c>
      <c r="Y268">
        <v>12</v>
      </c>
      <c r="Z268">
        <v>2025</v>
      </c>
    </row>
    <row r="269" spans="1:26" hidden="1">
      <c r="A269" s="17" t="s">
        <v>1055</v>
      </c>
      <c r="B269" s="17">
        <v>46020</v>
      </c>
      <c r="D269" t="s">
        <v>1056</v>
      </c>
      <c r="E269" t="s">
        <v>921</v>
      </c>
      <c r="F269" t="s">
        <v>53</v>
      </c>
      <c r="G269" t="s">
        <v>952</v>
      </c>
      <c r="H269" t="s">
        <v>56</v>
      </c>
      <c r="J269" t="s">
        <v>1006</v>
      </c>
      <c r="K269" s="9" t="s">
        <v>1007</v>
      </c>
      <c r="L269" s="9" t="s">
        <v>925</v>
      </c>
      <c r="M269" s="17" t="s">
        <v>926</v>
      </c>
      <c r="N269" t="s">
        <v>47</v>
      </c>
      <c r="O269" t="s">
        <v>58</v>
      </c>
      <c r="P269" s="17">
        <v>46020</v>
      </c>
      <c r="Q269" s="18">
        <v>12</v>
      </c>
      <c r="R269">
        <v>2025</v>
      </c>
      <c r="T269" t="s">
        <v>783</v>
      </c>
      <c r="U269" t="s">
        <v>783</v>
      </c>
      <c r="V269" s="105">
        <v>-135897</v>
      </c>
      <c r="W269" s="42" t="s">
        <v>1057</v>
      </c>
      <c r="Y269">
        <v>12</v>
      </c>
      <c r="Z269">
        <v>2025</v>
      </c>
    </row>
    <row r="270" spans="1:26" hidden="1">
      <c r="A270" s="17" t="s">
        <v>1055</v>
      </c>
      <c r="B270" s="17">
        <v>46020</v>
      </c>
      <c r="D270" t="s">
        <v>1056</v>
      </c>
      <c r="E270" t="s">
        <v>921</v>
      </c>
      <c r="F270" t="s">
        <v>53</v>
      </c>
      <c r="G270" t="s">
        <v>953</v>
      </c>
      <c r="H270" t="s">
        <v>56</v>
      </c>
      <c r="J270" t="s">
        <v>1006</v>
      </c>
      <c r="K270" s="9" t="s">
        <v>1007</v>
      </c>
      <c r="L270" s="9" t="s">
        <v>925</v>
      </c>
      <c r="M270" s="17" t="s">
        <v>926</v>
      </c>
      <c r="N270" t="s">
        <v>47</v>
      </c>
      <c r="O270" t="s">
        <v>58</v>
      </c>
      <c r="P270" s="17">
        <v>46020</v>
      </c>
      <c r="Q270" s="18">
        <v>12</v>
      </c>
      <c r="R270">
        <v>2025</v>
      </c>
      <c r="T270" t="s">
        <v>783</v>
      </c>
      <c r="U270" t="s">
        <v>783</v>
      </c>
      <c r="V270" s="105">
        <v>-135897</v>
      </c>
      <c r="W270" s="42" t="s">
        <v>1057</v>
      </c>
      <c r="Y270">
        <v>12</v>
      </c>
      <c r="Z270">
        <v>2025</v>
      </c>
    </row>
    <row r="271" spans="1:26" hidden="1">
      <c r="A271" s="17" t="s">
        <v>1055</v>
      </c>
      <c r="B271" s="17">
        <v>46020</v>
      </c>
      <c r="D271" t="s">
        <v>1056</v>
      </c>
      <c r="E271" t="s">
        <v>921</v>
      </c>
      <c r="F271" t="s">
        <v>53</v>
      </c>
      <c r="G271" t="s">
        <v>954</v>
      </c>
      <c r="H271" t="s">
        <v>56</v>
      </c>
      <c r="J271" t="s">
        <v>1006</v>
      </c>
      <c r="K271" s="9" t="s">
        <v>1007</v>
      </c>
      <c r="L271" s="9" t="s">
        <v>925</v>
      </c>
      <c r="M271" s="17" t="s">
        <v>926</v>
      </c>
      <c r="N271" t="s">
        <v>47</v>
      </c>
      <c r="O271" t="s">
        <v>58</v>
      </c>
      <c r="P271" s="17">
        <v>46020</v>
      </c>
      <c r="Q271" s="18">
        <v>12</v>
      </c>
      <c r="R271">
        <v>2025</v>
      </c>
      <c r="T271" t="s">
        <v>783</v>
      </c>
      <c r="U271" t="s">
        <v>783</v>
      </c>
      <c r="V271" s="105">
        <v>-135897</v>
      </c>
      <c r="W271" s="42" t="s">
        <v>1057</v>
      </c>
      <c r="Y271">
        <v>12</v>
      </c>
      <c r="Z271">
        <v>2025</v>
      </c>
    </row>
    <row r="272" spans="1:26" hidden="1">
      <c r="A272" s="17" t="s">
        <v>1055</v>
      </c>
      <c r="B272" s="17">
        <v>46020</v>
      </c>
      <c r="D272" t="s">
        <v>1056</v>
      </c>
      <c r="E272" t="s">
        <v>921</v>
      </c>
      <c r="F272" t="s">
        <v>53</v>
      </c>
      <c r="G272" t="s">
        <v>955</v>
      </c>
      <c r="H272" t="s">
        <v>56</v>
      </c>
      <c r="J272" t="s">
        <v>1006</v>
      </c>
      <c r="K272" s="9" t="s">
        <v>1007</v>
      </c>
      <c r="L272" s="9" t="s">
        <v>925</v>
      </c>
      <c r="M272" s="17" t="s">
        <v>926</v>
      </c>
      <c r="N272" t="s">
        <v>47</v>
      </c>
      <c r="O272" t="s">
        <v>58</v>
      </c>
      <c r="P272" s="17">
        <v>46020</v>
      </c>
      <c r="Q272" s="18">
        <v>12</v>
      </c>
      <c r="R272">
        <v>2025</v>
      </c>
      <c r="T272" t="s">
        <v>783</v>
      </c>
      <c r="U272" t="s">
        <v>783</v>
      </c>
      <c r="V272" s="105">
        <v>-135897</v>
      </c>
      <c r="W272" s="42" t="s">
        <v>1057</v>
      </c>
      <c r="Y272">
        <v>12</v>
      </c>
      <c r="Z272">
        <v>2025</v>
      </c>
    </row>
    <row r="273" spans="1:26" hidden="1">
      <c r="A273" s="17" t="s">
        <v>1055</v>
      </c>
      <c r="B273" s="17">
        <v>46020</v>
      </c>
      <c r="D273" t="s">
        <v>1056</v>
      </c>
      <c r="E273" t="s">
        <v>921</v>
      </c>
      <c r="F273" t="s">
        <v>53</v>
      </c>
      <c r="G273" t="s">
        <v>956</v>
      </c>
      <c r="H273" t="s">
        <v>56</v>
      </c>
      <c r="J273" t="s">
        <v>1006</v>
      </c>
      <c r="K273" s="9" t="s">
        <v>1007</v>
      </c>
      <c r="L273" s="9" t="s">
        <v>925</v>
      </c>
      <c r="M273" s="17" t="s">
        <v>926</v>
      </c>
      <c r="N273" t="s">
        <v>47</v>
      </c>
      <c r="O273" t="s">
        <v>58</v>
      </c>
      <c r="P273" s="17">
        <v>46020</v>
      </c>
      <c r="Q273" s="18">
        <v>12</v>
      </c>
      <c r="R273">
        <v>2025</v>
      </c>
      <c r="T273" t="s">
        <v>783</v>
      </c>
      <c r="U273" t="s">
        <v>783</v>
      </c>
      <c r="V273" s="105">
        <v>-135897</v>
      </c>
      <c r="W273" s="42" t="s">
        <v>1057</v>
      </c>
      <c r="Y273">
        <v>12</v>
      </c>
      <c r="Z273">
        <v>2025</v>
      </c>
    </row>
    <row r="274" spans="1:26" hidden="1">
      <c r="A274" s="17" t="s">
        <v>1055</v>
      </c>
      <c r="B274" s="17">
        <v>46020</v>
      </c>
      <c r="D274" t="s">
        <v>1056</v>
      </c>
      <c r="E274" t="s">
        <v>921</v>
      </c>
      <c r="F274" t="s">
        <v>53</v>
      </c>
      <c r="G274" t="s">
        <v>957</v>
      </c>
      <c r="H274" t="s">
        <v>56</v>
      </c>
      <c r="J274" t="s">
        <v>1006</v>
      </c>
      <c r="K274" s="9" t="s">
        <v>1007</v>
      </c>
      <c r="L274" s="9" t="s">
        <v>925</v>
      </c>
      <c r="M274" s="17" t="s">
        <v>926</v>
      </c>
      <c r="N274" t="s">
        <v>47</v>
      </c>
      <c r="O274" t="s">
        <v>58</v>
      </c>
      <c r="P274" s="17">
        <v>46020</v>
      </c>
      <c r="Q274" s="18">
        <v>12</v>
      </c>
      <c r="R274">
        <v>2025</v>
      </c>
      <c r="T274" t="s">
        <v>783</v>
      </c>
      <c r="U274" t="s">
        <v>783</v>
      </c>
      <c r="V274" s="105">
        <v>-135897</v>
      </c>
      <c r="W274" s="42" t="s">
        <v>1057</v>
      </c>
      <c r="Y274">
        <v>12</v>
      </c>
      <c r="Z274">
        <v>2025</v>
      </c>
    </row>
    <row r="275" spans="1:26" hidden="1">
      <c r="A275" s="17" t="s">
        <v>1055</v>
      </c>
      <c r="B275" s="17">
        <v>46020</v>
      </c>
      <c r="D275" t="s">
        <v>1056</v>
      </c>
      <c r="E275" t="s">
        <v>921</v>
      </c>
      <c r="F275" t="s">
        <v>53</v>
      </c>
      <c r="G275" t="s">
        <v>958</v>
      </c>
      <c r="H275" t="s">
        <v>56</v>
      </c>
      <c r="J275" t="s">
        <v>1006</v>
      </c>
      <c r="K275" s="9" t="s">
        <v>1007</v>
      </c>
      <c r="L275" s="9" t="s">
        <v>925</v>
      </c>
      <c r="M275" s="17" t="s">
        <v>926</v>
      </c>
      <c r="N275" t="s">
        <v>47</v>
      </c>
      <c r="O275" t="s">
        <v>58</v>
      </c>
      <c r="P275" s="17">
        <v>46020</v>
      </c>
      <c r="Q275" s="18">
        <v>12</v>
      </c>
      <c r="R275">
        <v>2025</v>
      </c>
      <c r="T275" t="s">
        <v>783</v>
      </c>
      <c r="U275" t="s">
        <v>783</v>
      </c>
      <c r="V275" s="105">
        <v>-135897</v>
      </c>
      <c r="W275" s="42" t="s">
        <v>1057</v>
      </c>
      <c r="Y275">
        <v>12</v>
      </c>
      <c r="Z275">
        <v>2025</v>
      </c>
    </row>
    <row r="276" spans="1:26" hidden="1">
      <c r="A276" s="17" t="s">
        <v>1055</v>
      </c>
      <c r="B276" s="17">
        <v>46020</v>
      </c>
      <c r="D276" t="s">
        <v>1056</v>
      </c>
      <c r="E276" t="s">
        <v>921</v>
      </c>
      <c r="F276" t="s">
        <v>53</v>
      </c>
      <c r="G276" t="s">
        <v>959</v>
      </c>
      <c r="H276" t="s">
        <v>56</v>
      </c>
      <c r="J276" t="s">
        <v>1006</v>
      </c>
      <c r="K276" s="9" t="s">
        <v>1007</v>
      </c>
      <c r="L276" s="9" t="s">
        <v>925</v>
      </c>
      <c r="M276" s="17" t="s">
        <v>926</v>
      </c>
      <c r="N276" t="s">
        <v>47</v>
      </c>
      <c r="O276" t="s">
        <v>58</v>
      </c>
      <c r="P276" s="17">
        <v>46020</v>
      </c>
      <c r="Q276" s="18">
        <v>12</v>
      </c>
      <c r="R276">
        <v>2025</v>
      </c>
      <c r="T276" t="s">
        <v>783</v>
      </c>
      <c r="U276" t="s">
        <v>783</v>
      </c>
      <c r="V276" s="105">
        <v>-135897</v>
      </c>
      <c r="W276" s="42" t="s">
        <v>1057</v>
      </c>
      <c r="Y276">
        <v>12</v>
      </c>
      <c r="Z276">
        <v>2025</v>
      </c>
    </row>
    <row r="277" spans="1:26" hidden="1">
      <c r="A277" s="17" t="s">
        <v>1055</v>
      </c>
      <c r="B277" s="17">
        <v>46020</v>
      </c>
      <c r="D277" t="s">
        <v>1056</v>
      </c>
      <c r="E277" t="s">
        <v>921</v>
      </c>
      <c r="F277" t="s">
        <v>53</v>
      </c>
      <c r="G277" t="s">
        <v>960</v>
      </c>
      <c r="H277" t="s">
        <v>56</v>
      </c>
      <c r="J277" t="s">
        <v>1006</v>
      </c>
      <c r="K277" s="9" t="s">
        <v>1007</v>
      </c>
      <c r="L277" s="9" t="s">
        <v>925</v>
      </c>
      <c r="M277" s="17" t="s">
        <v>926</v>
      </c>
      <c r="N277" t="s">
        <v>47</v>
      </c>
      <c r="O277" t="s">
        <v>58</v>
      </c>
      <c r="P277" s="17">
        <v>46020</v>
      </c>
      <c r="Q277" s="18">
        <v>12</v>
      </c>
      <c r="R277">
        <v>2025</v>
      </c>
      <c r="T277" t="s">
        <v>783</v>
      </c>
      <c r="U277" t="s">
        <v>783</v>
      </c>
      <c r="V277" s="105">
        <v>-135897</v>
      </c>
      <c r="W277" s="42" t="s">
        <v>1057</v>
      </c>
      <c r="Y277">
        <v>12</v>
      </c>
      <c r="Z277">
        <v>2025</v>
      </c>
    </row>
    <row r="278" spans="1:26" hidden="1">
      <c r="A278" s="17" t="s">
        <v>1055</v>
      </c>
      <c r="B278" s="17">
        <v>46020</v>
      </c>
      <c r="D278" t="s">
        <v>1056</v>
      </c>
      <c r="E278" t="s">
        <v>921</v>
      </c>
      <c r="F278" t="s">
        <v>53</v>
      </c>
      <c r="G278" t="s">
        <v>961</v>
      </c>
      <c r="H278" t="s">
        <v>56</v>
      </c>
      <c r="J278" t="s">
        <v>1006</v>
      </c>
      <c r="K278" s="9" t="s">
        <v>1007</v>
      </c>
      <c r="L278" s="9" t="s">
        <v>925</v>
      </c>
      <c r="M278" s="17" t="s">
        <v>926</v>
      </c>
      <c r="N278" t="s">
        <v>47</v>
      </c>
      <c r="O278" t="s">
        <v>58</v>
      </c>
      <c r="P278" s="17">
        <v>46020</v>
      </c>
      <c r="Q278" s="18">
        <v>12</v>
      </c>
      <c r="R278">
        <v>2025</v>
      </c>
      <c r="T278" t="s">
        <v>783</v>
      </c>
      <c r="U278" t="s">
        <v>783</v>
      </c>
      <c r="V278" s="105">
        <v>-135897</v>
      </c>
      <c r="W278" s="42" t="s">
        <v>1057</v>
      </c>
      <c r="Y278">
        <v>12</v>
      </c>
      <c r="Z278">
        <v>2025</v>
      </c>
    </row>
    <row r="279" spans="1:26" hidden="1">
      <c r="A279" s="17" t="s">
        <v>1055</v>
      </c>
      <c r="B279" s="17">
        <v>46020</v>
      </c>
      <c r="D279" t="s">
        <v>1056</v>
      </c>
      <c r="E279" t="s">
        <v>921</v>
      </c>
      <c r="F279" t="s">
        <v>53</v>
      </c>
      <c r="G279" t="s">
        <v>962</v>
      </c>
      <c r="H279" t="s">
        <v>56</v>
      </c>
      <c r="J279" t="s">
        <v>1006</v>
      </c>
      <c r="K279" s="9" t="s">
        <v>1007</v>
      </c>
      <c r="L279" s="9" t="s">
        <v>925</v>
      </c>
      <c r="M279" s="17" t="s">
        <v>926</v>
      </c>
      <c r="N279" t="s">
        <v>47</v>
      </c>
      <c r="O279" t="s">
        <v>58</v>
      </c>
      <c r="P279" s="17">
        <v>46020</v>
      </c>
      <c r="Q279" s="18">
        <v>12</v>
      </c>
      <c r="R279">
        <v>2025</v>
      </c>
      <c r="T279" t="s">
        <v>783</v>
      </c>
      <c r="U279" t="s">
        <v>783</v>
      </c>
      <c r="V279" s="105">
        <v>-135897</v>
      </c>
      <c r="W279" s="42" t="s">
        <v>1057</v>
      </c>
      <c r="Y279">
        <v>12</v>
      </c>
      <c r="Z279">
        <v>2025</v>
      </c>
    </row>
    <row r="280" spans="1:26" hidden="1">
      <c r="A280" s="17" t="s">
        <v>1055</v>
      </c>
      <c r="B280" s="17">
        <v>46020</v>
      </c>
      <c r="D280" t="s">
        <v>1056</v>
      </c>
      <c r="E280" t="s">
        <v>921</v>
      </c>
      <c r="F280" t="s">
        <v>53</v>
      </c>
      <c r="G280" t="s">
        <v>917</v>
      </c>
      <c r="H280" t="s">
        <v>56</v>
      </c>
      <c r="J280" t="s">
        <v>1006</v>
      </c>
      <c r="K280" s="9" t="s">
        <v>1007</v>
      </c>
      <c r="L280" s="9" t="s">
        <v>925</v>
      </c>
      <c r="M280" s="17" t="s">
        <v>926</v>
      </c>
      <c r="N280" t="s">
        <v>47</v>
      </c>
      <c r="O280" t="s">
        <v>58</v>
      </c>
      <c r="P280" s="17">
        <v>46020</v>
      </c>
      <c r="Q280" s="18">
        <v>12</v>
      </c>
      <c r="R280">
        <v>2025</v>
      </c>
      <c r="T280" t="s">
        <v>783</v>
      </c>
      <c r="U280" t="s">
        <v>783</v>
      </c>
      <c r="V280" s="105">
        <v>-135897</v>
      </c>
      <c r="W280" s="42" t="s">
        <v>1057</v>
      </c>
      <c r="Y280">
        <v>12</v>
      </c>
      <c r="Z280">
        <v>2025</v>
      </c>
    </row>
    <row r="281" spans="1:26" hidden="1">
      <c r="A281" s="17" t="s">
        <v>1055</v>
      </c>
      <c r="B281" s="17">
        <v>46020</v>
      </c>
      <c r="D281" t="s">
        <v>1056</v>
      </c>
      <c r="E281" t="s">
        <v>921</v>
      </c>
      <c r="F281" t="s">
        <v>53</v>
      </c>
      <c r="G281" t="s">
        <v>963</v>
      </c>
      <c r="H281" t="s">
        <v>56</v>
      </c>
      <c r="J281" t="s">
        <v>1006</v>
      </c>
      <c r="K281" s="9" t="s">
        <v>1007</v>
      </c>
      <c r="L281" s="9" t="s">
        <v>925</v>
      </c>
      <c r="M281" s="17" t="s">
        <v>926</v>
      </c>
      <c r="N281" t="s">
        <v>47</v>
      </c>
      <c r="O281" t="s">
        <v>58</v>
      </c>
      <c r="P281" s="17">
        <v>46020</v>
      </c>
      <c r="Q281" s="18">
        <v>12</v>
      </c>
      <c r="R281">
        <v>2025</v>
      </c>
      <c r="T281" t="s">
        <v>783</v>
      </c>
      <c r="U281" t="s">
        <v>783</v>
      </c>
      <c r="V281" s="105">
        <v>-135897</v>
      </c>
      <c r="W281" s="42" t="s">
        <v>1057</v>
      </c>
      <c r="Y281">
        <v>12</v>
      </c>
      <c r="Z281">
        <v>2025</v>
      </c>
    </row>
    <row r="282" spans="1:26" hidden="1">
      <c r="A282" s="17" t="s">
        <v>1055</v>
      </c>
      <c r="B282" s="17">
        <v>46020</v>
      </c>
      <c r="D282" t="s">
        <v>1056</v>
      </c>
      <c r="E282" t="s">
        <v>921</v>
      </c>
      <c r="F282" t="s">
        <v>53</v>
      </c>
      <c r="G282" t="s">
        <v>964</v>
      </c>
      <c r="H282" t="s">
        <v>56</v>
      </c>
      <c r="J282" t="s">
        <v>1006</v>
      </c>
      <c r="K282" s="9" t="s">
        <v>1007</v>
      </c>
      <c r="L282" s="9" t="s">
        <v>925</v>
      </c>
      <c r="M282" s="17" t="s">
        <v>926</v>
      </c>
      <c r="N282" t="s">
        <v>47</v>
      </c>
      <c r="O282" t="s">
        <v>58</v>
      </c>
      <c r="P282" s="17">
        <v>46020</v>
      </c>
      <c r="Q282" s="18">
        <v>12</v>
      </c>
      <c r="R282">
        <v>2025</v>
      </c>
      <c r="T282" t="s">
        <v>783</v>
      </c>
      <c r="U282" t="s">
        <v>783</v>
      </c>
      <c r="V282" s="105">
        <v>-135897</v>
      </c>
      <c r="W282" s="42" t="s">
        <v>1057</v>
      </c>
      <c r="Y282">
        <v>12</v>
      </c>
      <c r="Z282">
        <v>2025</v>
      </c>
    </row>
    <row r="283" spans="1:26" hidden="1">
      <c r="A283" s="17" t="s">
        <v>1055</v>
      </c>
      <c r="B283" s="17">
        <v>46020</v>
      </c>
      <c r="D283" t="s">
        <v>1056</v>
      </c>
      <c r="E283" t="s">
        <v>921</v>
      </c>
      <c r="F283" t="s">
        <v>53</v>
      </c>
      <c r="G283" t="s">
        <v>965</v>
      </c>
      <c r="H283" t="s">
        <v>56</v>
      </c>
      <c r="J283" t="s">
        <v>1006</v>
      </c>
      <c r="K283" s="9" t="s">
        <v>1007</v>
      </c>
      <c r="L283" s="9" t="s">
        <v>925</v>
      </c>
      <c r="M283" s="17" t="s">
        <v>926</v>
      </c>
      <c r="N283" t="s">
        <v>47</v>
      </c>
      <c r="O283" t="s">
        <v>58</v>
      </c>
      <c r="P283" s="17">
        <v>46020</v>
      </c>
      <c r="Q283" s="18">
        <v>12</v>
      </c>
      <c r="R283">
        <v>2025</v>
      </c>
      <c r="T283" t="s">
        <v>783</v>
      </c>
      <c r="U283" t="s">
        <v>783</v>
      </c>
      <c r="V283" s="105">
        <v>-135897</v>
      </c>
      <c r="W283" s="42" t="s">
        <v>1057</v>
      </c>
      <c r="Y283">
        <v>12</v>
      </c>
      <c r="Z283">
        <v>2025</v>
      </c>
    </row>
    <row r="284" spans="1:26" hidden="1">
      <c r="A284" s="17" t="s">
        <v>1055</v>
      </c>
      <c r="B284" s="17">
        <v>46020</v>
      </c>
      <c r="D284" t="s">
        <v>1056</v>
      </c>
      <c r="E284" t="s">
        <v>921</v>
      </c>
      <c r="F284" t="s">
        <v>53</v>
      </c>
      <c r="G284" t="s">
        <v>966</v>
      </c>
      <c r="H284" t="s">
        <v>56</v>
      </c>
      <c r="J284" t="s">
        <v>1006</v>
      </c>
      <c r="K284" s="9" t="s">
        <v>1007</v>
      </c>
      <c r="L284" s="9" t="s">
        <v>925</v>
      </c>
      <c r="M284" s="17" t="s">
        <v>926</v>
      </c>
      <c r="N284" t="s">
        <v>47</v>
      </c>
      <c r="O284" t="s">
        <v>58</v>
      </c>
      <c r="P284" s="17">
        <v>46020</v>
      </c>
      <c r="Q284" s="18">
        <v>12</v>
      </c>
      <c r="R284">
        <v>2025</v>
      </c>
      <c r="T284" t="s">
        <v>783</v>
      </c>
      <c r="U284" t="s">
        <v>783</v>
      </c>
      <c r="V284" s="105">
        <v>-135897</v>
      </c>
      <c r="W284" s="42" t="s">
        <v>1057</v>
      </c>
      <c r="Y284">
        <v>12</v>
      </c>
      <c r="Z284">
        <v>2025</v>
      </c>
    </row>
    <row r="285" spans="1:26" hidden="1">
      <c r="A285" s="17" t="s">
        <v>1055</v>
      </c>
      <c r="B285" s="17">
        <v>46020</v>
      </c>
      <c r="D285" t="s">
        <v>1056</v>
      </c>
      <c r="E285" t="s">
        <v>921</v>
      </c>
      <c r="F285" t="s">
        <v>53</v>
      </c>
      <c r="G285" t="s">
        <v>909</v>
      </c>
      <c r="H285" t="s">
        <v>56</v>
      </c>
      <c r="J285" t="s">
        <v>1006</v>
      </c>
      <c r="K285" s="9" t="s">
        <v>1007</v>
      </c>
      <c r="L285" s="9" t="s">
        <v>925</v>
      </c>
      <c r="M285" s="17" t="s">
        <v>926</v>
      </c>
      <c r="N285" t="s">
        <v>47</v>
      </c>
      <c r="O285" t="s">
        <v>58</v>
      </c>
      <c r="P285" s="17">
        <v>46020</v>
      </c>
      <c r="Q285" s="18">
        <v>12</v>
      </c>
      <c r="R285">
        <v>2025</v>
      </c>
      <c r="T285" t="s">
        <v>783</v>
      </c>
      <c r="U285" t="s">
        <v>783</v>
      </c>
      <c r="V285" s="105">
        <v>-135897</v>
      </c>
      <c r="W285" s="42" t="s">
        <v>1057</v>
      </c>
      <c r="Y285">
        <v>12</v>
      </c>
      <c r="Z285">
        <v>2025</v>
      </c>
    </row>
    <row r="286" spans="1:26" hidden="1">
      <c r="A286" s="17" t="s">
        <v>1055</v>
      </c>
      <c r="B286" s="17">
        <v>46020</v>
      </c>
      <c r="D286" t="s">
        <v>1056</v>
      </c>
      <c r="E286" t="s">
        <v>921</v>
      </c>
      <c r="F286" t="s">
        <v>53</v>
      </c>
      <c r="G286" t="s">
        <v>969</v>
      </c>
      <c r="H286" t="s">
        <v>56</v>
      </c>
      <c r="J286" t="s">
        <v>1006</v>
      </c>
      <c r="K286" s="9" t="s">
        <v>1007</v>
      </c>
      <c r="L286" s="9" t="s">
        <v>925</v>
      </c>
      <c r="M286" s="17" t="s">
        <v>926</v>
      </c>
      <c r="N286" t="s">
        <v>47</v>
      </c>
      <c r="O286" t="s">
        <v>58</v>
      </c>
      <c r="P286" s="17">
        <v>46020</v>
      </c>
      <c r="Q286" s="18">
        <v>12</v>
      </c>
      <c r="R286">
        <v>2025</v>
      </c>
      <c r="T286" t="s">
        <v>783</v>
      </c>
      <c r="U286" t="s">
        <v>783</v>
      </c>
      <c r="V286" s="105">
        <v>-135897</v>
      </c>
      <c r="W286" s="42" t="s">
        <v>1057</v>
      </c>
      <c r="Y286">
        <v>12</v>
      </c>
      <c r="Z286">
        <v>2025</v>
      </c>
    </row>
    <row r="287" spans="1:26" hidden="1">
      <c r="A287" s="17" t="s">
        <v>1055</v>
      </c>
      <c r="B287" s="17">
        <v>46020</v>
      </c>
      <c r="D287" t="s">
        <v>1056</v>
      </c>
      <c r="E287" t="s">
        <v>921</v>
      </c>
      <c r="F287" t="s">
        <v>53</v>
      </c>
      <c r="G287" t="s">
        <v>910</v>
      </c>
      <c r="H287" t="s">
        <v>56</v>
      </c>
      <c r="J287" t="s">
        <v>1006</v>
      </c>
      <c r="K287" s="9" t="s">
        <v>1007</v>
      </c>
      <c r="L287" s="9" t="s">
        <v>925</v>
      </c>
      <c r="M287" s="17" t="s">
        <v>926</v>
      </c>
      <c r="N287" t="s">
        <v>47</v>
      </c>
      <c r="O287" t="s">
        <v>58</v>
      </c>
      <c r="P287" s="17">
        <v>46020</v>
      </c>
      <c r="Q287" s="18">
        <v>12</v>
      </c>
      <c r="R287">
        <v>2025</v>
      </c>
      <c r="T287" t="s">
        <v>783</v>
      </c>
      <c r="U287" t="s">
        <v>783</v>
      </c>
      <c r="V287" s="105">
        <v>-135897</v>
      </c>
      <c r="W287" s="42" t="s">
        <v>1057</v>
      </c>
      <c r="Y287">
        <v>12</v>
      </c>
      <c r="Z287">
        <v>2025</v>
      </c>
    </row>
    <row r="288" spans="1:26" hidden="1">
      <c r="A288" s="17" t="s">
        <v>1055</v>
      </c>
      <c r="B288" s="17">
        <v>46020</v>
      </c>
      <c r="D288" t="s">
        <v>1056</v>
      </c>
      <c r="E288" t="s">
        <v>921</v>
      </c>
      <c r="F288" t="s">
        <v>53</v>
      </c>
      <c r="G288" t="s">
        <v>970</v>
      </c>
      <c r="H288" t="s">
        <v>56</v>
      </c>
      <c r="J288" t="s">
        <v>1006</v>
      </c>
      <c r="K288" s="9" t="s">
        <v>1007</v>
      </c>
      <c r="L288" s="9" t="s">
        <v>925</v>
      </c>
      <c r="M288" s="17" t="s">
        <v>926</v>
      </c>
      <c r="N288" t="s">
        <v>47</v>
      </c>
      <c r="O288" t="s">
        <v>58</v>
      </c>
      <c r="P288" s="17">
        <v>46020</v>
      </c>
      <c r="Q288" s="18">
        <v>12</v>
      </c>
      <c r="R288">
        <v>2025</v>
      </c>
      <c r="T288" t="s">
        <v>783</v>
      </c>
      <c r="U288" t="s">
        <v>783</v>
      </c>
      <c r="V288" s="105">
        <v>-135897</v>
      </c>
      <c r="W288" s="42" t="s">
        <v>1057</v>
      </c>
      <c r="Y288">
        <v>12</v>
      </c>
      <c r="Z288">
        <v>2025</v>
      </c>
    </row>
    <row r="289" spans="1:26" hidden="1">
      <c r="A289" s="17" t="s">
        <v>1058</v>
      </c>
      <c r="B289" s="17">
        <v>46021</v>
      </c>
      <c r="D289" t="s">
        <v>1059</v>
      </c>
      <c r="E289" t="s">
        <v>901</v>
      </c>
      <c r="F289" t="s">
        <v>53</v>
      </c>
      <c r="G289" t="s">
        <v>908</v>
      </c>
      <c r="H289" t="s">
        <v>56</v>
      </c>
      <c r="J289" t="s">
        <v>903</v>
      </c>
      <c r="K289" s="9" t="s">
        <v>904</v>
      </c>
      <c r="L289" s="9" t="s">
        <v>905</v>
      </c>
      <c r="M289" s="17" t="s">
        <v>45</v>
      </c>
      <c r="N289" t="s">
        <v>47</v>
      </c>
      <c r="O289" t="s">
        <v>1060</v>
      </c>
      <c r="P289" s="17">
        <v>46021</v>
      </c>
      <c r="Q289" s="18">
        <v>12</v>
      </c>
      <c r="R289">
        <v>2025</v>
      </c>
      <c r="T289" t="s">
        <v>780</v>
      </c>
      <c r="U289" t="s">
        <v>783</v>
      </c>
      <c r="V289" s="105">
        <v>-597645</v>
      </c>
      <c r="W289" s="42" t="s">
        <v>1061</v>
      </c>
      <c r="Y289">
        <v>12</v>
      </c>
      <c r="Z289">
        <v>2025</v>
      </c>
    </row>
    <row r="290" spans="1:26" hidden="1">
      <c r="A290" s="17" t="s">
        <v>1058</v>
      </c>
      <c r="B290" s="17">
        <v>46021</v>
      </c>
      <c r="D290" t="s">
        <v>1059</v>
      </c>
      <c r="E290" t="s">
        <v>901</v>
      </c>
      <c r="F290" t="s">
        <v>53</v>
      </c>
      <c r="G290" t="s">
        <v>910</v>
      </c>
      <c r="H290" t="s">
        <v>56</v>
      </c>
      <c r="J290" t="s">
        <v>903</v>
      </c>
      <c r="K290" s="9" t="s">
        <v>904</v>
      </c>
      <c r="L290" s="9" t="s">
        <v>905</v>
      </c>
      <c r="M290" s="17" t="s">
        <v>45</v>
      </c>
      <c r="N290" t="s">
        <v>47</v>
      </c>
      <c r="O290" t="s">
        <v>1060</v>
      </c>
      <c r="P290" s="17">
        <v>46021</v>
      </c>
      <c r="Q290" s="18">
        <v>12</v>
      </c>
      <c r="R290">
        <v>2025</v>
      </c>
      <c r="T290" t="s">
        <v>780</v>
      </c>
      <c r="U290" t="s">
        <v>783</v>
      </c>
      <c r="V290" s="105">
        <v>-920478</v>
      </c>
      <c r="W290" s="42" t="s">
        <v>1061</v>
      </c>
      <c r="Y290">
        <v>12</v>
      </c>
      <c r="Z290">
        <v>2025</v>
      </c>
    </row>
    <row r="291" spans="1:26" hidden="1">
      <c r="A291" s="17" t="s">
        <v>1058</v>
      </c>
      <c r="B291" s="17">
        <v>46021</v>
      </c>
      <c r="D291" t="s">
        <v>1059</v>
      </c>
      <c r="E291" t="s">
        <v>901</v>
      </c>
      <c r="F291" t="s">
        <v>53</v>
      </c>
      <c r="G291" t="s">
        <v>909</v>
      </c>
      <c r="H291" t="s">
        <v>56</v>
      </c>
      <c r="J291" t="s">
        <v>903</v>
      </c>
      <c r="K291" s="9" t="s">
        <v>904</v>
      </c>
      <c r="L291" s="9" t="s">
        <v>905</v>
      </c>
      <c r="M291" s="17" t="s">
        <v>45</v>
      </c>
      <c r="N291" t="s">
        <v>47</v>
      </c>
      <c r="O291" t="s">
        <v>1060</v>
      </c>
      <c r="P291" s="17">
        <v>46021</v>
      </c>
      <c r="Q291" s="18">
        <v>12</v>
      </c>
      <c r="R291">
        <v>2025</v>
      </c>
      <c r="T291" t="s">
        <v>780</v>
      </c>
      <c r="U291" t="s">
        <v>783</v>
      </c>
      <c r="V291" s="105">
        <v>-387528</v>
      </c>
      <c r="W291" s="42" t="s">
        <v>1061</v>
      </c>
      <c r="Y291">
        <v>12</v>
      </c>
      <c r="Z291">
        <v>2025</v>
      </c>
    </row>
    <row r="292" spans="1:26" hidden="1">
      <c r="A292" s="17" t="s">
        <v>1058</v>
      </c>
      <c r="B292" s="17">
        <v>46021</v>
      </c>
      <c r="D292" t="s">
        <v>1059</v>
      </c>
      <c r="E292" t="s">
        <v>901</v>
      </c>
      <c r="F292" t="s">
        <v>53</v>
      </c>
      <c r="G292" t="s">
        <v>914</v>
      </c>
      <c r="H292" t="s">
        <v>56</v>
      </c>
      <c r="J292" t="s">
        <v>911</v>
      </c>
      <c r="K292" s="9" t="s">
        <v>912</v>
      </c>
      <c r="L292" s="9" t="s">
        <v>905</v>
      </c>
      <c r="M292" s="17" t="s">
        <v>45</v>
      </c>
      <c r="N292" t="s">
        <v>47</v>
      </c>
      <c r="O292" t="s">
        <v>1062</v>
      </c>
      <c r="P292" s="17">
        <v>46021</v>
      </c>
      <c r="Q292" s="18">
        <v>12</v>
      </c>
      <c r="R292">
        <v>2025</v>
      </c>
      <c r="T292" t="s">
        <v>776</v>
      </c>
      <c r="U292" t="s">
        <v>783</v>
      </c>
      <c r="V292" s="105">
        <v>-334792</v>
      </c>
      <c r="W292" s="42" t="s">
        <v>1061</v>
      </c>
      <c r="Y292">
        <v>12</v>
      </c>
      <c r="Z292">
        <v>2025</v>
      </c>
    </row>
    <row r="293" spans="1:26" hidden="1">
      <c r="A293" s="17" t="s">
        <v>1058</v>
      </c>
      <c r="B293" s="17">
        <v>46021</v>
      </c>
      <c r="D293" t="s">
        <v>1059</v>
      </c>
      <c r="E293" t="s">
        <v>901</v>
      </c>
      <c r="F293" t="s">
        <v>53</v>
      </c>
      <c r="G293" t="s">
        <v>914</v>
      </c>
      <c r="H293" t="s">
        <v>56</v>
      </c>
      <c r="J293" t="s">
        <v>911</v>
      </c>
      <c r="K293" s="9" t="s">
        <v>912</v>
      </c>
      <c r="L293" s="9" t="s">
        <v>905</v>
      </c>
      <c r="M293" s="17" t="s">
        <v>45</v>
      </c>
      <c r="N293" t="s">
        <v>47</v>
      </c>
      <c r="O293" t="s">
        <v>1062</v>
      </c>
      <c r="P293" s="17">
        <v>46021</v>
      </c>
      <c r="Q293" s="18">
        <v>12</v>
      </c>
      <c r="R293">
        <v>2025</v>
      </c>
      <c r="T293" t="s">
        <v>776</v>
      </c>
      <c r="U293" t="s">
        <v>783</v>
      </c>
      <c r="V293" s="105">
        <v>-173519</v>
      </c>
      <c r="W293" s="42" t="s">
        <v>1061</v>
      </c>
      <c r="Y293">
        <v>12</v>
      </c>
      <c r="Z293">
        <v>2025</v>
      </c>
    </row>
    <row r="294" spans="1:26" hidden="1">
      <c r="A294" s="17" t="s">
        <v>1058</v>
      </c>
      <c r="B294" s="17">
        <v>46021</v>
      </c>
      <c r="D294" t="s">
        <v>1059</v>
      </c>
      <c r="E294" t="s">
        <v>901</v>
      </c>
      <c r="F294" t="s">
        <v>53</v>
      </c>
      <c r="G294" t="s">
        <v>914</v>
      </c>
      <c r="H294" t="s">
        <v>56</v>
      </c>
      <c r="J294" t="s">
        <v>911</v>
      </c>
      <c r="K294" s="9" t="s">
        <v>912</v>
      </c>
      <c r="L294" s="9" t="s">
        <v>905</v>
      </c>
      <c r="M294" s="17" t="s">
        <v>45</v>
      </c>
      <c r="N294" t="s">
        <v>47</v>
      </c>
      <c r="O294" t="s">
        <v>1062</v>
      </c>
      <c r="P294" s="17">
        <v>46021</v>
      </c>
      <c r="Q294" s="18">
        <v>12</v>
      </c>
      <c r="R294">
        <v>2025</v>
      </c>
      <c r="T294" t="s">
        <v>776</v>
      </c>
      <c r="U294" t="s">
        <v>783</v>
      </c>
      <c r="V294" s="105">
        <v>-3780577</v>
      </c>
      <c r="W294" s="42" t="s">
        <v>1061</v>
      </c>
      <c r="Y294">
        <v>12</v>
      </c>
      <c r="Z294">
        <v>2025</v>
      </c>
    </row>
    <row r="295" spans="1:26" hidden="1">
      <c r="A295" s="17" t="s">
        <v>1058</v>
      </c>
      <c r="B295" s="17">
        <v>46021</v>
      </c>
      <c r="D295" t="s">
        <v>1059</v>
      </c>
      <c r="E295" t="s">
        <v>901</v>
      </c>
      <c r="F295" t="s">
        <v>53</v>
      </c>
      <c r="G295" t="s">
        <v>967</v>
      </c>
      <c r="H295" t="s">
        <v>56</v>
      </c>
      <c r="J295" t="s">
        <v>911</v>
      </c>
      <c r="K295" s="9" t="s">
        <v>912</v>
      </c>
      <c r="L295" s="9" t="s">
        <v>905</v>
      </c>
      <c r="M295" s="17" t="s">
        <v>45</v>
      </c>
      <c r="N295" t="s">
        <v>47</v>
      </c>
      <c r="O295" t="s">
        <v>1062</v>
      </c>
      <c r="P295" s="17">
        <v>46021</v>
      </c>
      <c r="Q295" s="18">
        <v>12</v>
      </c>
      <c r="R295">
        <v>2025</v>
      </c>
      <c r="T295" t="s">
        <v>776</v>
      </c>
      <c r="U295" t="s">
        <v>783</v>
      </c>
      <c r="V295" s="105">
        <v>-4272483</v>
      </c>
      <c r="W295" s="42" t="s">
        <v>1061</v>
      </c>
      <c r="Y295">
        <v>12</v>
      </c>
      <c r="Z295">
        <v>2025</v>
      </c>
    </row>
    <row r="296" spans="1:26" hidden="1">
      <c r="A296" s="17" t="s">
        <v>1058</v>
      </c>
      <c r="B296" s="17">
        <v>46021</v>
      </c>
      <c r="D296" t="s">
        <v>1059</v>
      </c>
      <c r="E296" t="s">
        <v>901</v>
      </c>
      <c r="F296" t="s">
        <v>53</v>
      </c>
      <c r="G296" t="s">
        <v>918</v>
      </c>
      <c r="H296" t="s">
        <v>56</v>
      </c>
      <c r="J296" t="s">
        <v>911</v>
      </c>
      <c r="K296" s="9" t="s">
        <v>912</v>
      </c>
      <c r="L296" s="9" t="s">
        <v>905</v>
      </c>
      <c r="M296" s="17" t="s">
        <v>45</v>
      </c>
      <c r="N296" t="s">
        <v>47</v>
      </c>
      <c r="O296" t="s">
        <v>1062</v>
      </c>
      <c r="P296" s="17">
        <v>46021</v>
      </c>
      <c r="Q296" s="18">
        <v>12</v>
      </c>
      <c r="R296">
        <v>2025</v>
      </c>
      <c r="T296" t="s">
        <v>776</v>
      </c>
      <c r="U296" t="s">
        <v>783</v>
      </c>
      <c r="V296" s="105">
        <v>-157855</v>
      </c>
      <c r="W296" s="42" t="s">
        <v>1061</v>
      </c>
      <c r="Y296">
        <v>12</v>
      </c>
      <c r="Z296">
        <v>2025</v>
      </c>
    </row>
    <row r="297" spans="1:26" hidden="1">
      <c r="A297" s="17" t="s">
        <v>1058</v>
      </c>
      <c r="B297" s="17">
        <v>46021</v>
      </c>
      <c r="D297" t="s">
        <v>1059</v>
      </c>
      <c r="E297" t="s">
        <v>901</v>
      </c>
      <c r="F297" t="s">
        <v>53</v>
      </c>
      <c r="G297" t="s">
        <v>915</v>
      </c>
      <c r="H297" t="s">
        <v>56</v>
      </c>
      <c r="J297" t="s">
        <v>911</v>
      </c>
      <c r="K297" s="9" t="s">
        <v>912</v>
      </c>
      <c r="L297" s="9" t="s">
        <v>905</v>
      </c>
      <c r="M297" s="17" t="s">
        <v>45</v>
      </c>
      <c r="N297" t="s">
        <v>47</v>
      </c>
      <c r="O297" t="s">
        <v>1062</v>
      </c>
      <c r="P297" s="17">
        <v>46021</v>
      </c>
      <c r="Q297" s="18">
        <v>12</v>
      </c>
      <c r="R297">
        <v>2025</v>
      </c>
      <c r="T297" t="s">
        <v>776</v>
      </c>
      <c r="U297" t="s">
        <v>783</v>
      </c>
      <c r="V297" s="105">
        <v>-406249</v>
      </c>
      <c r="W297" s="42" t="s">
        <v>1061</v>
      </c>
      <c r="Y297">
        <v>12</v>
      </c>
      <c r="Z297">
        <v>2025</v>
      </c>
    </row>
    <row r="298" spans="1:26" hidden="1">
      <c r="A298" s="17" t="s">
        <v>1063</v>
      </c>
      <c r="B298" s="17">
        <v>46036</v>
      </c>
      <c r="D298" t="s">
        <v>1064</v>
      </c>
      <c r="E298" t="s">
        <v>1065</v>
      </c>
      <c r="F298" t="s">
        <v>53</v>
      </c>
      <c r="G298" t="s">
        <v>936</v>
      </c>
      <c r="H298" t="s">
        <v>56</v>
      </c>
      <c r="J298" t="s">
        <v>1006</v>
      </c>
      <c r="K298" s="9" t="s">
        <v>1007</v>
      </c>
      <c r="L298" s="9" t="s">
        <v>925</v>
      </c>
      <c r="M298" s="17" t="s">
        <v>926</v>
      </c>
      <c r="N298" t="s">
        <v>47</v>
      </c>
      <c r="O298" t="s">
        <v>58</v>
      </c>
      <c r="P298" s="17">
        <v>46036</v>
      </c>
      <c r="Q298" s="18">
        <v>1</v>
      </c>
      <c r="R298">
        <v>2026</v>
      </c>
      <c r="T298" t="s">
        <v>783</v>
      </c>
      <c r="U298" t="s">
        <v>783</v>
      </c>
      <c r="V298" s="105">
        <v>135914</v>
      </c>
      <c r="W298" s="42" t="s">
        <v>1066</v>
      </c>
      <c r="Y298">
        <v>1</v>
      </c>
      <c r="Z298">
        <v>2026</v>
      </c>
    </row>
    <row r="299" spans="1:26" hidden="1">
      <c r="A299" s="17" t="s">
        <v>1063</v>
      </c>
      <c r="B299" s="17">
        <v>46036</v>
      </c>
      <c r="D299" t="s">
        <v>1064</v>
      </c>
      <c r="E299" t="s">
        <v>1065</v>
      </c>
      <c r="F299" t="s">
        <v>53</v>
      </c>
      <c r="G299" t="s">
        <v>940</v>
      </c>
      <c r="H299" t="s">
        <v>56</v>
      </c>
      <c r="J299" t="s">
        <v>1006</v>
      </c>
      <c r="K299" s="9" t="s">
        <v>1007</v>
      </c>
      <c r="L299" s="9" t="s">
        <v>925</v>
      </c>
      <c r="M299" s="17" t="s">
        <v>926</v>
      </c>
      <c r="N299" t="s">
        <v>47</v>
      </c>
      <c r="O299" t="s">
        <v>58</v>
      </c>
      <c r="P299" s="17">
        <v>46036</v>
      </c>
      <c r="Q299" s="18">
        <v>1</v>
      </c>
      <c r="R299">
        <v>2026</v>
      </c>
      <c r="T299" t="s">
        <v>783</v>
      </c>
      <c r="U299" t="s">
        <v>783</v>
      </c>
      <c r="V299" s="105">
        <v>135897</v>
      </c>
      <c r="W299" s="42" t="s">
        <v>1066</v>
      </c>
      <c r="Y299">
        <v>1</v>
      </c>
      <c r="Z299">
        <v>2026</v>
      </c>
    </row>
    <row r="300" spans="1:26" hidden="1">
      <c r="A300" s="17" t="s">
        <v>1063</v>
      </c>
      <c r="B300" s="17">
        <v>46036</v>
      </c>
      <c r="D300" t="s">
        <v>1064</v>
      </c>
      <c r="E300" t="s">
        <v>1065</v>
      </c>
      <c r="F300" t="s">
        <v>53</v>
      </c>
      <c r="G300" t="s">
        <v>941</v>
      </c>
      <c r="H300" t="s">
        <v>56</v>
      </c>
      <c r="J300" t="s">
        <v>1006</v>
      </c>
      <c r="K300" s="9" t="s">
        <v>1007</v>
      </c>
      <c r="L300" s="9" t="s">
        <v>925</v>
      </c>
      <c r="M300" s="17" t="s">
        <v>926</v>
      </c>
      <c r="N300" t="s">
        <v>47</v>
      </c>
      <c r="O300" t="s">
        <v>58</v>
      </c>
      <c r="P300" s="17">
        <v>46036</v>
      </c>
      <c r="Q300" s="18">
        <v>1</v>
      </c>
      <c r="R300">
        <v>2026</v>
      </c>
      <c r="T300" t="s">
        <v>783</v>
      </c>
      <c r="U300" t="s">
        <v>783</v>
      </c>
      <c r="V300" s="105">
        <v>135897</v>
      </c>
      <c r="W300" s="42" t="s">
        <v>1066</v>
      </c>
      <c r="Y300">
        <v>1</v>
      </c>
      <c r="Z300">
        <v>2026</v>
      </c>
    </row>
    <row r="301" spans="1:26" hidden="1">
      <c r="A301" s="17" t="s">
        <v>1063</v>
      </c>
      <c r="B301" s="17">
        <v>46036</v>
      </c>
      <c r="D301" t="s">
        <v>1064</v>
      </c>
      <c r="E301" t="s">
        <v>1065</v>
      </c>
      <c r="F301" t="s">
        <v>53</v>
      </c>
      <c r="G301" t="s">
        <v>942</v>
      </c>
      <c r="H301" t="s">
        <v>56</v>
      </c>
      <c r="J301" t="s">
        <v>1006</v>
      </c>
      <c r="K301" s="9" t="s">
        <v>1007</v>
      </c>
      <c r="L301" s="9" t="s">
        <v>925</v>
      </c>
      <c r="M301" s="17" t="s">
        <v>926</v>
      </c>
      <c r="N301" t="s">
        <v>47</v>
      </c>
      <c r="O301" t="s">
        <v>58</v>
      </c>
      <c r="P301" s="17">
        <v>46036</v>
      </c>
      <c r="Q301" s="18">
        <v>1</v>
      </c>
      <c r="R301">
        <v>2026</v>
      </c>
      <c r="T301" t="s">
        <v>783</v>
      </c>
      <c r="U301" t="s">
        <v>783</v>
      </c>
      <c r="V301" s="105">
        <v>135897</v>
      </c>
      <c r="W301" s="42" t="s">
        <v>1066</v>
      </c>
      <c r="Y301">
        <v>1</v>
      </c>
      <c r="Z301">
        <v>2026</v>
      </c>
    </row>
    <row r="302" spans="1:26" hidden="1">
      <c r="A302" s="17" t="s">
        <v>1063</v>
      </c>
      <c r="B302" s="17">
        <v>46036</v>
      </c>
      <c r="D302" t="s">
        <v>1064</v>
      </c>
      <c r="E302" t="s">
        <v>1065</v>
      </c>
      <c r="F302" t="s">
        <v>53</v>
      </c>
      <c r="G302" t="s">
        <v>915</v>
      </c>
      <c r="H302" t="s">
        <v>56</v>
      </c>
      <c r="J302" t="s">
        <v>1006</v>
      </c>
      <c r="K302" s="9" t="s">
        <v>1007</v>
      </c>
      <c r="L302" s="9" t="s">
        <v>925</v>
      </c>
      <c r="M302" s="17" t="s">
        <v>926</v>
      </c>
      <c r="N302" t="s">
        <v>47</v>
      </c>
      <c r="O302" t="s">
        <v>58</v>
      </c>
      <c r="P302" s="17">
        <v>46036</v>
      </c>
      <c r="Q302" s="18">
        <v>1</v>
      </c>
      <c r="R302">
        <v>2026</v>
      </c>
      <c r="T302" t="s">
        <v>783</v>
      </c>
      <c r="U302" t="s">
        <v>783</v>
      </c>
      <c r="V302" s="105">
        <v>135897</v>
      </c>
      <c r="W302" s="42" t="s">
        <v>1066</v>
      </c>
      <c r="Y302">
        <v>1</v>
      </c>
      <c r="Z302">
        <v>2026</v>
      </c>
    </row>
    <row r="303" spans="1:26" hidden="1">
      <c r="A303" s="17" t="s">
        <v>1063</v>
      </c>
      <c r="B303" s="17">
        <v>46036</v>
      </c>
      <c r="D303" t="s">
        <v>1064</v>
      </c>
      <c r="E303" t="s">
        <v>1065</v>
      </c>
      <c r="F303" t="s">
        <v>53</v>
      </c>
      <c r="G303" t="s">
        <v>916</v>
      </c>
      <c r="H303" t="s">
        <v>56</v>
      </c>
      <c r="J303" t="s">
        <v>1006</v>
      </c>
      <c r="K303" s="9" t="s">
        <v>1007</v>
      </c>
      <c r="L303" s="9" t="s">
        <v>925</v>
      </c>
      <c r="M303" s="17" t="s">
        <v>926</v>
      </c>
      <c r="N303" t="s">
        <v>47</v>
      </c>
      <c r="O303" t="s">
        <v>58</v>
      </c>
      <c r="P303" s="17">
        <v>46036</v>
      </c>
      <c r="Q303" s="18">
        <v>1</v>
      </c>
      <c r="R303">
        <v>2026</v>
      </c>
      <c r="T303" t="s">
        <v>783</v>
      </c>
      <c r="U303" t="s">
        <v>783</v>
      </c>
      <c r="V303" s="105">
        <v>135897</v>
      </c>
      <c r="W303" s="42" t="s">
        <v>1066</v>
      </c>
      <c r="Y303">
        <v>1</v>
      </c>
      <c r="Z303">
        <v>2026</v>
      </c>
    </row>
    <row r="304" spans="1:26" hidden="1">
      <c r="A304" s="17" t="s">
        <v>1063</v>
      </c>
      <c r="B304" s="17">
        <v>46036</v>
      </c>
      <c r="D304" t="s">
        <v>1064</v>
      </c>
      <c r="E304" t="s">
        <v>1065</v>
      </c>
      <c r="F304" t="s">
        <v>53</v>
      </c>
      <c r="G304" t="s">
        <v>943</v>
      </c>
      <c r="H304" t="s">
        <v>56</v>
      </c>
      <c r="J304" t="s">
        <v>1006</v>
      </c>
      <c r="K304" s="9" t="s">
        <v>1007</v>
      </c>
      <c r="L304" s="9" t="s">
        <v>925</v>
      </c>
      <c r="M304" s="17" t="s">
        <v>926</v>
      </c>
      <c r="N304" t="s">
        <v>47</v>
      </c>
      <c r="O304" t="s">
        <v>58</v>
      </c>
      <c r="P304" s="17">
        <v>46036</v>
      </c>
      <c r="Q304" s="18">
        <v>1</v>
      </c>
      <c r="R304">
        <v>2026</v>
      </c>
      <c r="T304" t="s">
        <v>783</v>
      </c>
      <c r="U304" t="s">
        <v>783</v>
      </c>
      <c r="V304" s="105">
        <v>135897</v>
      </c>
      <c r="W304" s="42" t="s">
        <v>1066</v>
      </c>
      <c r="Y304">
        <v>1</v>
      </c>
      <c r="Z304">
        <v>2026</v>
      </c>
    </row>
    <row r="305" spans="1:26" hidden="1">
      <c r="A305" s="17" t="s">
        <v>1063</v>
      </c>
      <c r="B305" s="17">
        <v>46036</v>
      </c>
      <c r="D305" t="s">
        <v>1064</v>
      </c>
      <c r="E305" t="s">
        <v>1065</v>
      </c>
      <c r="F305" t="s">
        <v>53</v>
      </c>
      <c r="G305" t="s">
        <v>944</v>
      </c>
      <c r="H305" t="s">
        <v>56</v>
      </c>
      <c r="J305" t="s">
        <v>1006</v>
      </c>
      <c r="K305" s="9" t="s">
        <v>1007</v>
      </c>
      <c r="L305" s="9" t="s">
        <v>925</v>
      </c>
      <c r="M305" s="17" t="s">
        <v>926</v>
      </c>
      <c r="N305" t="s">
        <v>47</v>
      </c>
      <c r="O305" t="s">
        <v>58</v>
      </c>
      <c r="P305" s="17">
        <v>46036</v>
      </c>
      <c r="Q305" s="18">
        <v>1</v>
      </c>
      <c r="R305">
        <v>2026</v>
      </c>
      <c r="T305" t="s">
        <v>783</v>
      </c>
      <c r="U305" t="s">
        <v>783</v>
      </c>
      <c r="V305" s="105">
        <v>135897</v>
      </c>
      <c r="W305" s="42" t="s">
        <v>1066</v>
      </c>
      <c r="Y305">
        <v>1</v>
      </c>
      <c r="Z305">
        <v>2026</v>
      </c>
    </row>
    <row r="306" spans="1:26" hidden="1">
      <c r="A306" s="17" t="s">
        <v>1063</v>
      </c>
      <c r="B306" s="17">
        <v>46036</v>
      </c>
      <c r="D306" t="s">
        <v>1064</v>
      </c>
      <c r="E306" t="s">
        <v>1065</v>
      </c>
      <c r="F306" t="s">
        <v>53</v>
      </c>
      <c r="G306" t="s">
        <v>902</v>
      </c>
      <c r="H306" t="s">
        <v>56</v>
      </c>
      <c r="J306" t="s">
        <v>1006</v>
      </c>
      <c r="K306" s="9" t="s">
        <v>1007</v>
      </c>
      <c r="L306" s="9" t="s">
        <v>925</v>
      </c>
      <c r="M306" s="17" t="s">
        <v>926</v>
      </c>
      <c r="N306" t="s">
        <v>47</v>
      </c>
      <c r="O306" t="s">
        <v>58</v>
      </c>
      <c r="P306" s="17">
        <v>46036</v>
      </c>
      <c r="Q306" s="18">
        <v>1</v>
      </c>
      <c r="R306">
        <v>2026</v>
      </c>
      <c r="T306" t="s">
        <v>783</v>
      </c>
      <c r="U306" t="s">
        <v>783</v>
      </c>
      <c r="V306" s="105">
        <v>135897</v>
      </c>
      <c r="W306" s="42" t="s">
        <v>1066</v>
      </c>
      <c r="Y306">
        <v>1</v>
      </c>
      <c r="Z306">
        <v>2026</v>
      </c>
    </row>
    <row r="307" spans="1:26" hidden="1">
      <c r="A307" s="17" t="s">
        <v>1063</v>
      </c>
      <c r="B307" s="17">
        <v>46036</v>
      </c>
      <c r="D307" t="s">
        <v>1064</v>
      </c>
      <c r="E307" t="s">
        <v>1065</v>
      </c>
      <c r="F307" t="s">
        <v>53</v>
      </c>
      <c r="G307" t="s">
        <v>945</v>
      </c>
      <c r="H307" t="s">
        <v>56</v>
      </c>
      <c r="J307" t="s">
        <v>1006</v>
      </c>
      <c r="K307" s="9" t="s">
        <v>1007</v>
      </c>
      <c r="L307" s="9" t="s">
        <v>925</v>
      </c>
      <c r="M307" s="17" t="s">
        <v>926</v>
      </c>
      <c r="N307" t="s">
        <v>47</v>
      </c>
      <c r="O307" t="s">
        <v>58</v>
      </c>
      <c r="P307" s="17">
        <v>46036</v>
      </c>
      <c r="Q307" s="18">
        <v>1</v>
      </c>
      <c r="R307">
        <v>2026</v>
      </c>
      <c r="T307" t="s">
        <v>783</v>
      </c>
      <c r="U307" t="s">
        <v>783</v>
      </c>
      <c r="V307" s="105">
        <v>135897</v>
      </c>
      <c r="W307" s="42" t="s">
        <v>1066</v>
      </c>
      <c r="Y307">
        <v>1</v>
      </c>
      <c r="Z307">
        <v>2026</v>
      </c>
    </row>
    <row r="308" spans="1:26" hidden="1">
      <c r="A308" s="17" t="s">
        <v>1063</v>
      </c>
      <c r="B308" s="17">
        <v>46036</v>
      </c>
      <c r="D308" t="s">
        <v>1064</v>
      </c>
      <c r="E308" t="s">
        <v>1065</v>
      </c>
      <c r="F308" t="s">
        <v>53</v>
      </c>
      <c r="G308" t="s">
        <v>918</v>
      </c>
      <c r="H308" t="s">
        <v>56</v>
      </c>
      <c r="J308" t="s">
        <v>1006</v>
      </c>
      <c r="K308" s="9" t="s">
        <v>1007</v>
      </c>
      <c r="L308" s="9" t="s">
        <v>925</v>
      </c>
      <c r="M308" s="17" t="s">
        <v>926</v>
      </c>
      <c r="N308" t="s">
        <v>47</v>
      </c>
      <c r="O308" t="s">
        <v>58</v>
      </c>
      <c r="P308" s="17">
        <v>46036</v>
      </c>
      <c r="Q308" s="18">
        <v>1</v>
      </c>
      <c r="R308">
        <v>2026</v>
      </c>
      <c r="T308" t="s">
        <v>783</v>
      </c>
      <c r="U308" t="s">
        <v>783</v>
      </c>
      <c r="V308" s="105">
        <v>135897</v>
      </c>
      <c r="W308" s="42" t="s">
        <v>1066</v>
      </c>
      <c r="Y308">
        <v>1</v>
      </c>
      <c r="Z308">
        <v>2026</v>
      </c>
    </row>
    <row r="309" spans="1:26" hidden="1">
      <c r="A309" s="17" t="s">
        <v>1063</v>
      </c>
      <c r="B309" s="17">
        <v>46036</v>
      </c>
      <c r="D309" t="s">
        <v>1064</v>
      </c>
      <c r="E309" t="s">
        <v>1065</v>
      </c>
      <c r="F309" t="s">
        <v>53</v>
      </c>
      <c r="G309" t="s">
        <v>946</v>
      </c>
      <c r="H309" t="s">
        <v>56</v>
      </c>
      <c r="J309" t="s">
        <v>1006</v>
      </c>
      <c r="K309" s="9" t="s">
        <v>1007</v>
      </c>
      <c r="L309" s="9" t="s">
        <v>925</v>
      </c>
      <c r="M309" s="17" t="s">
        <v>926</v>
      </c>
      <c r="N309" t="s">
        <v>47</v>
      </c>
      <c r="O309" t="s">
        <v>58</v>
      </c>
      <c r="P309" s="17">
        <v>46036</v>
      </c>
      <c r="Q309" s="18">
        <v>1</v>
      </c>
      <c r="R309">
        <v>2026</v>
      </c>
      <c r="T309" t="s">
        <v>783</v>
      </c>
      <c r="U309" t="s">
        <v>783</v>
      </c>
      <c r="V309" s="105">
        <v>135897</v>
      </c>
      <c r="W309" s="42" t="s">
        <v>1066</v>
      </c>
      <c r="Y309">
        <v>1</v>
      </c>
      <c r="Z309">
        <v>2026</v>
      </c>
    </row>
    <row r="310" spans="1:26" hidden="1">
      <c r="A310" s="17" t="s">
        <v>1063</v>
      </c>
      <c r="B310" s="17">
        <v>46036</v>
      </c>
      <c r="D310" t="s">
        <v>1064</v>
      </c>
      <c r="E310" t="s">
        <v>1065</v>
      </c>
      <c r="F310" t="s">
        <v>53</v>
      </c>
      <c r="G310" t="s">
        <v>947</v>
      </c>
      <c r="H310" t="s">
        <v>56</v>
      </c>
      <c r="J310" t="s">
        <v>1006</v>
      </c>
      <c r="K310" s="9" t="s">
        <v>1007</v>
      </c>
      <c r="L310" s="9" t="s">
        <v>925</v>
      </c>
      <c r="M310" s="17" t="s">
        <v>926</v>
      </c>
      <c r="N310" t="s">
        <v>47</v>
      </c>
      <c r="O310" t="s">
        <v>58</v>
      </c>
      <c r="P310" s="17">
        <v>46036</v>
      </c>
      <c r="Q310" s="18">
        <v>1</v>
      </c>
      <c r="R310">
        <v>2026</v>
      </c>
      <c r="T310" t="s">
        <v>783</v>
      </c>
      <c r="U310" t="s">
        <v>783</v>
      </c>
      <c r="V310" s="105">
        <v>135897</v>
      </c>
      <c r="W310" s="42" t="s">
        <v>1066</v>
      </c>
      <c r="Y310">
        <v>1</v>
      </c>
      <c r="Z310">
        <v>2026</v>
      </c>
    </row>
    <row r="311" spans="1:26" hidden="1">
      <c r="A311" s="17" t="s">
        <v>1063</v>
      </c>
      <c r="B311" s="17">
        <v>46036</v>
      </c>
      <c r="D311" t="s">
        <v>1064</v>
      </c>
      <c r="E311" t="s">
        <v>1065</v>
      </c>
      <c r="F311" t="s">
        <v>53</v>
      </c>
      <c r="G311" t="s">
        <v>948</v>
      </c>
      <c r="H311" t="s">
        <v>56</v>
      </c>
      <c r="J311" t="s">
        <v>1006</v>
      </c>
      <c r="K311" s="9" t="s">
        <v>1007</v>
      </c>
      <c r="L311" s="9" t="s">
        <v>925</v>
      </c>
      <c r="M311" s="17" t="s">
        <v>926</v>
      </c>
      <c r="N311" t="s">
        <v>47</v>
      </c>
      <c r="O311" t="s">
        <v>58</v>
      </c>
      <c r="P311" s="17">
        <v>46036</v>
      </c>
      <c r="Q311" s="18">
        <v>1</v>
      </c>
      <c r="R311">
        <v>2026</v>
      </c>
      <c r="T311" t="s">
        <v>783</v>
      </c>
      <c r="U311" t="s">
        <v>783</v>
      </c>
      <c r="V311" s="105">
        <v>135897</v>
      </c>
      <c r="W311" s="42" t="s">
        <v>1066</v>
      </c>
      <c r="Y311">
        <v>1</v>
      </c>
      <c r="Z311">
        <v>2026</v>
      </c>
    </row>
    <row r="312" spans="1:26" hidden="1">
      <c r="A312" s="17" t="s">
        <v>1063</v>
      </c>
      <c r="B312" s="17">
        <v>46036</v>
      </c>
      <c r="D312" t="s">
        <v>1064</v>
      </c>
      <c r="E312" t="s">
        <v>1065</v>
      </c>
      <c r="F312" t="s">
        <v>53</v>
      </c>
      <c r="G312" t="s">
        <v>908</v>
      </c>
      <c r="H312" t="s">
        <v>56</v>
      </c>
      <c r="J312" t="s">
        <v>1006</v>
      </c>
      <c r="K312" s="9" t="s">
        <v>1007</v>
      </c>
      <c r="L312" s="9" t="s">
        <v>925</v>
      </c>
      <c r="M312" s="17" t="s">
        <v>926</v>
      </c>
      <c r="N312" t="s">
        <v>47</v>
      </c>
      <c r="O312" t="s">
        <v>58</v>
      </c>
      <c r="P312" s="17">
        <v>46036</v>
      </c>
      <c r="Q312" s="18">
        <v>1</v>
      </c>
      <c r="R312">
        <v>2026</v>
      </c>
      <c r="T312" t="s">
        <v>783</v>
      </c>
      <c r="U312" t="s">
        <v>783</v>
      </c>
      <c r="V312" s="105">
        <v>135897</v>
      </c>
      <c r="W312" s="42" t="s">
        <v>1066</v>
      </c>
      <c r="Y312">
        <v>1</v>
      </c>
      <c r="Z312">
        <v>2026</v>
      </c>
    </row>
    <row r="313" spans="1:26" hidden="1">
      <c r="A313" s="17" t="s">
        <v>1063</v>
      </c>
      <c r="B313" s="17">
        <v>46036</v>
      </c>
      <c r="D313" t="s">
        <v>1064</v>
      </c>
      <c r="E313" t="s">
        <v>1065</v>
      </c>
      <c r="F313" t="s">
        <v>53</v>
      </c>
      <c r="G313" t="s">
        <v>949</v>
      </c>
      <c r="H313" t="s">
        <v>56</v>
      </c>
      <c r="J313" t="s">
        <v>1006</v>
      </c>
      <c r="K313" s="9" t="s">
        <v>1007</v>
      </c>
      <c r="L313" s="9" t="s">
        <v>925</v>
      </c>
      <c r="M313" s="17" t="s">
        <v>926</v>
      </c>
      <c r="N313" t="s">
        <v>47</v>
      </c>
      <c r="O313" t="s">
        <v>58</v>
      </c>
      <c r="P313" s="17">
        <v>46036</v>
      </c>
      <c r="Q313" s="18">
        <v>1</v>
      </c>
      <c r="R313">
        <v>2026</v>
      </c>
      <c r="T313" t="s">
        <v>783</v>
      </c>
      <c r="U313" t="s">
        <v>783</v>
      </c>
      <c r="V313" s="105">
        <v>135897</v>
      </c>
      <c r="W313" s="42" t="s">
        <v>1066</v>
      </c>
      <c r="Y313">
        <v>1</v>
      </c>
      <c r="Z313">
        <v>2026</v>
      </c>
    </row>
    <row r="314" spans="1:26" hidden="1">
      <c r="A314" s="17" t="s">
        <v>1063</v>
      </c>
      <c r="B314" s="17">
        <v>46036</v>
      </c>
      <c r="D314" t="s">
        <v>1064</v>
      </c>
      <c r="E314" t="s">
        <v>1065</v>
      </c>
      <c r="F314" t="s">
        <v>53</v>
      </c>
      <c r="G314" t="s">
        <v>950</v>
      </c>
      <c r="H314" t="s">
        <v>56</v>
      </c>
      <c r="J314" t="s">
        <v>1006</v>
      </c>
      <c r="K314" s="9" t="s">
        <v>1007</v>
      </c>
      <c r="L314" s="9" t="s">
        <v>925</v>
      </c>
      <c r="M314" s="17" t="s">
        <v>926</v>
      </c>
      <c r="N314" t="s">
        <v>47</v>
      </c>
      <c r="O314" t="s">
        <v>58</v>
      </c>
      <c r="P314" s="17">
        <v>46036</v>
      </c>
      <c r="Q314" s="18">
        <v>1</v>
      </c>
      <c r="R314">
        <v>2026</v>
      </c>
      <c r="T314" t="s">
        <v>783</v>
      </c>
      <c r="U314" t="s">
        <v>783</v>
      </c>
      <c r="V314" s="105">
        <v>135897</v>
      </c>
      <c r="W314" s="42" t="s">
        <v>1066</v>
      </c>
      <c r="Y314">
        <v>1</v>
      </c>
      <c r="Z314">
        <v>2026</v>
      </c>
    </row>
    <row r="315" spans="1:26" hidden="1">
      <c r="A315" s="17" t="s">
        <v>1063</v>
      </c>
      <c r="B315" s="17">
        <v>46036</v>
      </c>
      <c r="D315" t="s">
        <v>1064</v>
      </c>
      <c r="E315" t="s">
        <v>1065</v>
      </c>
      <c r="F315" t="s">
        <v>53</v>
      </c>
      <c r="G315" t="s">
        <v>951</v>
      </c>
      <c r="H315" t="s">
        <v>56</v>
      </c>
      <c r="J315" t="s">
        <v>1006</v>
      </c>
      <c r="K315" s="9" t="s">
        <v>1007</v>
      </c>
      <c r="L315" s="9" t="s">
        <v>925</v>
      </c>
      <c r="M315" s="17" t="s">
        <v>926</v>
      </c>
      <c r="N315" t="s">
        <v>47</v>
      </c>
      <c r="O315" t="s">
        <v>58</v>
      </c>
      <c r="P315" s="17">
        <v>46036</v>
      </c>
      <c r="Q315" s="18">
        <v>1</v>
      </c>
      <c r="R315">
        <v>2026</v>
      </c>
      <c r="T315" t="s">
        <v>783</v>
      </c>
      <c r="U315" t="s">
        <v>783</v>
      </c>
      <c r="V315" s="105">
        <v>135897</v>
      </c>
      <c r="W315" s="42" t="s">
        <v>1066</v>
      </c>
      <c r="Y315">
        <v>1</v>
      </c>
      <c r="Z315">
        <v>2026</v>
      </c>
    </row>
    <row r="316" spans="1:26" hidden="1">
      <c r="A316" s="17" t="s">
        <v>1063</v>
      </c>
      <c r="B316" s="17">
        <v>46036</v>
      </c>
      <c r="D316" t="s">
        <v>1064</v>
      </c>
      <c r="E316" t="s">
        <v>1065</v>
      </c>
      <c r="F316" t="s">
        <v>53</v>
      </c>
      <c r="G316" t="s">
        <v>952</v>
      </c>
      <c r="H316" t="s">
        <v>56</v>
      </c>
      <c r="J316" t="s">
        <v>1006</v>
      </c>
      <c r="K316" s="9" t="s">
        <v>1007</v>
      </c>
      <c r="L316" s="9" t="s">
        <v>925</v>
      </c>
      <c r="M316" s="17" t="s">
        <v>926</v>
      </c>
      <c r="N316" t="s">
        <v>47</v>
      </c>
      <c r="O316" t="s">
        <v>58</v>
      </c>
      <c r="P316" s="17">
        <v>46036</v>
      </c>
      <c r="Q316" s="18">
        <v>1</v>
      </c>
      <c r="R316">
        <v>2026</v>
      </c>
      <c r="T316" t="s">
        <v>783</v>
      </c>
      <c r="U316" t="s">
        <v>783</v>
      </c>
      <c r="V316" s="105">
        <v>135897</v>
      </c>
      <c r="W316" s="42" t="s">
        <v>1066</v>
      </c>
      <c r="Y316">
        <v>1</v>
      </c>
      <c r="Z316">
        <v>2026</v>
      </c>
    </row>
    <row r="317" spans="1:26" hidden="1">
      <c r="A317" s="17" t="s">
        <v>1063</v>
      </c>
      <c r="B317" s="17">
        <v>46036</v>
      </c>
      <c r="D317" t="s">
        <v>1064</v>
      </c>
      <c r="E317" t="s">
        <v>1065</v>
      </c>
      <c r="F317" t="s">
        <v>53</v>
      </c>
      <c r="G317" t="s">
        <v>953</v>
      </c>
      <c r="H317" t="s">
        <v>56</v>
      </c>
      <c r="J317" t="s">
        <v>1006</v>
      </c>
      <c r="K317" s="9" t="s">
        <v>1007</v>
      </c>
      <c r="L317" s="9" t="s">
        <v>925</v>
      </c>
      <c r="M317" s="17" t="s">
        <v>926</v>
      </c>
      <c r="N317" t="s">
        <v>47</v>
      </c>
      <c r="O317" t="s">
        <v>58</v>
      </c>
      <c r="P317" s="17">
        <v>46036</v>
      </c>
      <c r="Q317" s="18">
        <v>1</v>
      </c>
      <c r="R317">
        <v>2026</v>
      </c>
      <c r="T317" t="s">
        <v>783</v>
      </c>
      <c r="U317" t="s">
        <v>783</v>
      </c>
      <c r="V317" s="105">
        <v>135897</v>
      </c>
      <c r="W317" s="42" t="s">
        <v>1066</v>
      </c>
      <c r="Y317">
        <v>1</v>
      </c>
      <c r="Z317">
        <v>2026</v>
      </c>
    </row>
    <row r="318" spans="1:26" hidden="1">
      <c r="A318" s="17" t="s">
        <v>1063</v>
      </c>
      <c r="B318" s="17">
        <v>46036</v>
      </c>
      <c r="D318" t="s">
        <v>1064</v>
      </c>
      <c r="E318" t="s">
        <v>1065</v>
      </c>
      <c r="F318" t="s">
        <v>53</v>
      </c>
      <c r="G318" t="s">
        <v>954</v>
      </c>
      <c r="H318" t="s">
        <v>56</v>
      </c>
      <c r="J318" t="s">
        <v>1006</v>
      </c>
      <c r="K318" s="9" t="s">
        <v>1007</v>
      </c>
      <c r="L318" s="9" t="s">
        <v>925</v>
      </c>
      <c r="M318" s="17" t="s">
        <v>926</v>
      </c>
      <c r="N318" t="s">
        <v>47</v>
      </c>
      <c r="O318" t="s">
        <v>58</v>
      </c>
      <c r="P318" s="17">
        <v>46036</v>
      </c>
      <c r="Q318" s="18">
        <v>1</v>
      </c>
      <c r="R318">
        <v>2026</v>
      </c>
      <c r="T318" t="s">
        <v>783</v>
      </c>
      <c r="U318" t="s">
        <v>783</v>
      </c>
      <c r="V318" s="105">
        <v>135897</v>
      </c>
      <c r="W318" s="42" t="s">
        <v>1066</v>
      </c>
      <c r="Y318">
        <v>1</v>
      </c>
      <c r="Z318">
        <v>2026</v>
      </c>
    </row>
    <row r="319" spans="1:26" hidden="1">
      <c r="A319" s="17" t="s">
        <v>1063</v>
      </c>
      <c r="B319" s="17">
        <v>46036</v>
      </c>
      <c r="D319" t="s">
        <v>1064</v>
      </c>
      <c r="E319" t="s">
        <v>1065</v>
      </c>
      <c r="F319" t="s">
        <v>53</v>
      </c>
      <c r="G319" t="s">
        <v>955</v>
      </c>
      <c r="H319" t="s">
        <v>56</v>
      </c>
      <c r="J319" t="s">
        <v>1006</v>
      </c>
      <c r="K319" s="9" t="s">
        <v>1007</v>
      </c>
      <c r="L319" s="9" t="s">
        <v>925</v>
      </c>
      <c r="M319" s="17" t="s">
        <v>926</v>
      </c>
      <c r="N319" t="s">
        <v>47</v>
      </c>
      <c r="O319" t="s">
        <v>58</v>
      </c>
      <c r="P319" s="17">
        <v>46036</v>
      </c>
      <c r="Q319" s="18">
        <v>1</v>
      </c>
      <c r="R319">
        <v>2026</v>
      </c>
      <c r="T319" t="s">
        <v>783</v>
      </c>
      <c r="U319" t="s">
        <v>783</v>
      </c>
      <c r="V319" s="105">
        <v>135897</v>
      </c>
      <c r="W319" s="42" t="s">
        <v>1066</v>
      </c>
      <c r="Y319">
        <v>1</v>
      </c>
      <c r="Z319">
        <v>2026</v>
      </c>
    </row>
    <row r="320" spans="1:26" hidden="1">
      <c r="A320" s="17" t="s">
        <v>1063</v>
      </c>
      <c r="B320" s="17">
        <v>46036</v>
      </c>
      <c r="D320" t="s">
        <v>1064</v>
      </c>
      <c r="E320" t="s">
        <v>1065</v>
      </c>
      <c r="F320" t="s">
        <v>53</v>
      </c>
      <c r="G320" t="s">
        <v>956</v>
      </c>
      <c r="H320" t="s">
        <v>56</v>
      </c>
      <c r="J320" t="s">
        <v>1006</v>
      </c>
      <c r="K320" s="9" t="s">
        <v>1007</v>
      </c>
      <c r="L320" s="9" t="s">
        <v>925</v>
      </c>
      <c r="M320" s="17" t="s">
        <v>926</v>
      </c>
      <c r="N320" t="s">
        <v>47</v>
      </c>
      <c r="O320" t="s">
        <v>58</v>
      </c>
      <c r="P320" s="17">
        <v>46036</v>
      </c>
      <c r="Q320" s="18">
        <v>1</v>
      </c>
      <c r="R320">
        <v>2026</v>
      </c>
      <c r="T320" t="s">
        <v>783</v>
      </c>
      <c r="U320" t="s">
        <v>783</v>
      </c>
      <c r="V320" s="105">
        <v>135897</v>
      </c>
      <c r="W320" s="42" t="s">
        <v>1066</v>
      </c>
      <c r="Y320">
        <v>1</v>
      </c>
      <c r="Z320">
        <v>2026</v>
      </c>
    </row>
    <row r="321" spans="1:29" hidden="1">
      <c r="A321" s="17" t="s">
        <v>1063</v>
      </c>
      <c r="B321" s="17">
        <v>46036</v>
      </c>
      <c r="D321" t="s">
        <v>1064</v>
      </c>
      <c r="E321" t="s">
        <v>1065</v>
      </c>
      <c r="F321" t="s">
        <v>53</v>
      </c>
      <c r="G321" t="s">
        <v>957</v>
      </c>
      <c r="H321" t="s">
        <v>56</v>
      </c>
      <c r="J321" t="s">
        <v>1006</v>
      </c>
      <c r="K321" s="9" t="s">
        <v>1007</v>
      </c>
      <c r="L321" s="9" t="s">
        <v>925</v>
      </c>
      <c r="M321" s="17" t="s">
        <v>926</v>
      </c>
      <c r="N321" t="s">
        <v>47</v>
      </c>
      <c r="O321" t="s">
        <v>58</v>
      </c>
      <c r="P321" s="17">
        <v>46036</v>
      </c>
      <c r="Q321" s="18">
        <v>1</v>
      </c>
      <c r="R321">
        <v>2026</v>
      </c>
      <c r="T321" t="s">
        <v>783</v>
      </c>
      <c r="U321" t="s">
        <v>783</v>
      </c>
      <c r="V321" s="105">
        <v>135897</v>
      </c>
      <c r="W321" s="42" t="s">
        <v>1066</v>
      </c>
      <c r="Y321">
        <v>1</v>
      </c>
      <c r="Z321">
        <v>2026</v>
      </c>
    </row>
    <row r="322" spans="1:29" hidden="1">
      <c r="A322" s="17" t="s">
        <v>1063</v>
      </c>
      <c r="B322" s="17">
        <v>46036</v>
      </c>
      <c r="D322" t="s">
        <v>1064</v>
      </c>
      <c r="E322" t="s">
        <v>1065</v>
      </c>
      <c r="F322" t="s">
        <v>53</v>
      </c>
      <c r="G322" t="s">
        <v>958</v>
      </c>
      <c r="H322" t="s">
        <v>56</v>
      </c>
      <c r="J322" t="s">
        <v>1006</v>
      </c>
      <c r="K322" s="9" t="s">
        <v>1007</v>
      </c>
      <c r="L322" s="9" t="s">
        <v>925</v>
      </c>
      <c r="M322" s="17" t="s">
        <v>926</v>
      </c>
      <c r="N322" t="s">
        <v>47</v>
      </c>
      <c r="O322" t="s">
        <v>58</v>
      </c>
      <c r="P322" s="17">
        <v>46036</v>
      </c>
      <c r="Q322" s="18">
        <v>1</v>
      </c>
      <c r="R322">
        <v>2026</v>
      </c>
      <c r="T322" t="s">
        <v>783</v>
      </c>
      <c r="U322" t="s">
        <v>783</v>
      </c>
      <c r="V322" s="105">
        <v>135897</v>
      </c>
      <c r="W322" s="42" t="s">
        <v>1066</v>
      </c>
      <c r="Y322">
        <v>1</v>
      </c>
      <c r="Z322">
        <v>2026</v>
      </c>
    </row>
    <row r="323" spans="1:29" hidden="1">
      <c r="A323" s="17" t="s">
        <v>1063</v>
      </c>
      <c r="B323" s="17">
        <v>46036</v>
      </c>
      <c r="D323" t="s">
        <v>1064</v>
      </c>
      <c r="E323" t="s">
        <v>1065</v>
      </c>
      <c r="F323" t="s">
        <v>53</v>
      </c>
      <c r="G323" t="s">
        <v>959</v>
      </c>
      <c r="H323" t="s">
        <v>56</v>
      </c>
      <c r="J323" t="s">
        <v>1006</v>
      </c>
      <c r="K323" s="9" t="s">
        <v>1007</v>
      </c>
      <c r="L323" s="9" t="s">
        <v>925</v>
      </c>
      <c r="M323" s="17" t="s">
        <v>926</v>
      </c>
      <c r="N323" t="s">
        <v>47</v>
      </c>
      <c r="O323" t="s">
        <v>58</v>
      </c>
      <c r="P323" s="17">
        <v>46036</v>
      </c>
      <c r="Q323" s="18">
        <v>1</v>
      </c>
      <c r="R323">
        <v>2026</v>
      </c>
      <c r="T323" t="s">
        <v>783</v>
      </c>
      <c r="U323" t="s">
        <v>783</v>
      </c>
      <c r="V323" s="105">
        <v>135897</v>
      </c>
      <c r="W323" s="42" t="s">
        <v>1066</v>
      </c>
      <c r="Y323">
        <v>1</v>
      </c>
      <c r="Z323">
        <v>2026</v>
      </c>
    </row>
    <row r="324" spans="1:29" hidden="1">
      <c r="A324" s="17" t="s">
        <v>1063</v>
      </c>
      <c r="B324" s="17">
        <v>46036</v>
      </c>
      <c r="D324" t="s">
        <v>1064</v>
      </c>
      <c r="E324" t="s">
        <v>1065</v>
      </c>
      <c r="F324" t="s">
        <v>53</v>
      </c>
      <c r="G324" t="s">
        <v>963</v>
      </c>
      <c r="H324" t="s">
        <v>56</v>
      </c>
      <c r="J324" t="s">
        <v>1006</v>
      </c>
      <c r="K324" s="9" t="s">
        <v>1007</v>
      </c>
      <c r="L324" s="9" t="s">
        <v>925</v>
      </c>
      <c r="M324" s="17" t="s">
        <v>926</v>
      </c>
      <c r="N324" t="s">
        <v>47</v>
      </c>
      <c r="O324" t="s">
        <v>58</v>
      </c>
      <c r="P324" s="17">
        <v>46036</v>
      </c>
      <c r="Q324" s="18">
        <v>1</v>
      </c>
      <c r="R324">
        <v>2026</v>
      </c>
      <c r="T324" t="s">
        <v>783</v>
      </c>
      <c r="U324" t="s">
        <v>783</v>
      </c>
      <c r="V324" s="105">
        <v>135897</v>
      </c>
      <c r="W324" s="42" t="s">
        <v>1066</v>
      </c>
      <c r="Y324">
        <v>1</v>
      </c>
      <c r="Z324">
        <v>2026</v>
      </c>
    </row>
    <row r="325" spans="1:29" hidden="1">
      <c r="A325" s="17" t="s">
        <v>1063</v>
      </c>
      <c r="B325" s="17">
        <v>46036</v>
      </c>
      <c r="D325" t="s">
        <v>1064</v>
      </c>
      <c r="E325" t="s">
        <v>1065</v>
      </c>
      <c r="F325" t="s">
        <v>53</v>
      </c>
      <c r="G325" t="s">
        <v>964</v>
      </c>
      <c r="H325" t="s">
        <v>56</v>
      </c>
      <c r="J325" t="s">
        <v>1006</v>
      </c>
      <c r="K325" s="9" t="s">
        <v>1007</v>
      </c>
      <c r="L325" s="9" t="s">
        <v>925</v>
      </c>
      <c r="M325" s="17" t="s">
        <v>926</v>
      </c>
      <c r="N325" t="s">
        <v>47</v>
      </c>
      <c r="O325" t="s">
        <v>58</v>
      </c>
      <c r="P325" s="17">
        <v>46036</v>
      </c>
      <c r="Q325" s="18">
        <v>1</v>
      </c>
      <c r="R325">
        <v>2026</v>
      </c>
      <c r="T325" t="s">
        <v>783</v>
      </c>
      <c r="U325" t="s">
        <v>783</v>
      </c>
      <c r="V325" s="105">
        <v>135897</v>
      </c>
      <c r="W325" s="42" t="s">
        <v>1066</v>
      </c>
      <c r="Y325">
        <v>1</v>
      </c>
      <c r="Z325">
        <v>2026</v>
      </c>
    </row>
    <row r="326" spans="1:29" hidden="1">
      <c r="A326" s="17" t="s">
        <v>1063</v>
      </c>
      <c r="B326" s="17">
        <v>46036</v>
      </c>
      <c r="D326" t="s">
        <v>1064</v>
      </c>
      <c r="E326" t="s">
        <v>1065</v>
      </c>
      <c r="F326" t="s">
        <v>53</v>
      </c>
      <c r="G326" t="s">
        <v>965</v>
      </c>
      <c r="H326" t="s">
        <v>56</v>
      </c>
      <c r="J326" t="s">
        <v>1006</v>
      </c>
      <c r="K326" s="9" t="s">
        <v>1007</v>
      </c>
      <c r="L326" s="9" t="s">
        <v>925</v>
      </c>
      <c r="M326" s="17" t="s">
        <v>926</v>
      </c>
      <c r="N326" t="s">
        <v>47</v>
      </c>
      <c r="O326" t="s">
        <v>58</v>
      </c>
      <c r="P326" s="17">
        <v>46036</v>
      </c>
      <c r="Q326" s="18">
        <v>1</v>
      </c>
      <c r="R326">
        <v>2026</v>
      </c>
      <c r="T326" t="s">
        <v>783</v>
      </c>
      <c r="U326" t="s">
        <v>783</v>
      </c>
      <c r="V326" s="105">
        <v>135897</v>
      </c>
      <c r="W326" s="42" t="s">
        <v>1066</v>
      </c>
      <c r="Y326">
        <v>1</v>
      </c>
      <c r="Z326">
        <v>2026</v>
      </c>
    </row>
    <row r="327" spans="1:29" hidden="1">
      <c r="A327" s="17" t="s">
        <v>1063</v>
      </c>
      <c r="B327" s="17">
        <v>46036</v>
      </c>
      <c r="D327" t="s">
        <v>1064</v>
      </c>
      <c r="E327" t="s">
        <v>1065</v>
      </c>
      <c r="F327" t="s">
        <v>53</v>
      </c>
      <c r="G327" t="s">
        <v>966</v>
      </c>
      <c r="H327" t="s">
        <v>56</v>
      </c>
      <c r="J327" t="s">
        <v>1006</v>
      </c>
      <c r="K327" s="9" t="s">
        <v>1007</v>
      </c>
      <c r="L327" s="9" t="s">
        <v>925</v>
      </c>
      <c r="M327" s="17" t="s">
        <v>926</v>
      </c>
      <c r="N327" t="s">
        <v>47</v>
      </c>
      <c r="O327" t="s">
        <v>58</v>
      </c>
      <c r="P327" s="17">
        <v>46036</v>
      </c>
      <c r="Q327" s="18">
        <v>1</v>
      </c>
      <c r="R327">
        <v>2026</v>
      </c>
      <c r="T327" t="s">
        <v>783</v>
      </c>
      <c r="U327" t="s">
        <v>783</v>
      </c>
      <c r="V327" s="105">
        <v>135897</v>
      </c>
      <c r="W327" s="42" t="s">
        <v>1066</v>
      </c>
      <c r="Y327">
        <v>1</v>
      </c>
      <c r="Z327">
        <v>2026</v>
      </c>
    </row>
    <row r="328" spans="1:29" hidden="1">
      <c r="A328" s="17" t="s">
        <v>1063</v>
      </c>
      <c r="B328" s="17">
        <v>46036</v>
      </c>
      <c r="D328" t="s">
        <v>1064</v>
      </c>
      <c r="E328" t="s">
        <v>1065</v>
      </c>
      <c r="F328" t="s">
        <v>53</v>
      </c>
      <c r="G328" t="s">
        <v>909</v>
      </c>
      <c r="H328" t="s">
        <v>56</v>
      </c>
      <c r="J328" t="s">
        <v>1006</v>
      </c>
      <c r="K328" s="9" t="s">
        <v>1007</v>
      </c>
      <c r="L328" s="9" t="s">
        <v>925</v>
      </c>
      <c r="M328" s="17" t="s">
        <v>926</v>
      </c>
      <c r="N328" t="s">
        <v>47</v>
      </c>
      <c r="O328" t="s">
        <v>58</v>
      </c>
      <c r="P328" s="17">
        <v>46036</v>
      </c>
      <c r="Q328" s="18">
        <v>1</v>
      </c>
      <c r="R328">
        <v>2026</v>
      </c>
      <c r="T328" t="s">
        <v>783</v>
      </c>
      <c r="U328" t="s">
        <v>783</v>
      </c>
      <c r="V328" s="105">
        <v>135897</v>
      </c>
      <c r="W328" s="42" t="s">
        <v>1066</v>
      </c>
      <c r="Y328">
        <v>1</v>
      </c>
      <c r="Z328">
        <v>2026</v>
      </c>
    </row>
    <row r="329" spans="1:29" hidden="1">
      <c r="A329" s="17" t="s">
        <v>1063</v>
      </c>
      <c r="B329" s="17">
        <v>46036</v>
      </c>
      <c r="D329" t="s">
        <v>1064</v>
      </c>
      <c r="E329" t="s">
        <v>1065</v>
      </c>
      <c r="F329" t="s">
        <v>53</v>
      </c>
      <c r="G329" t="s">
        <v>968</v>
      </c>
      <c r="H329" t="s">
        <v>56</v>
      </c>
      <c r="J329" t="s">
        <v>1006</v>
      </c>
      <c r="K329" s="9" t="s">
        <v>1007</v>
      </c>
      <c r="L329" s="9" t="s">
        <v>925</v>
      </c>
      <c r="M329" s="17" t="s">
        <v>926</v>
      </c>
      <c r="N329" t="s">
        <v>47</v>
      </c>
      <c r="O329" t="s">
        <v>58</v>
      </c>
      <c r="P329" s="17">
        <v>46036</v>
      </c>
      <c r="Q329" s="18">
        <v>1</v>
      </c>
      <c r="R329">
        <v>2026</v>
      </c>
      <c r="T329" t="s">
        <v>783</v>
      </c>
      <c r="U329" t="s">
        <v>783</v>
      </c>
      <c r="V329" s="105">
        <v>135897</v>
      </c>
      <c r="W329" s="42" t="s">
        <v>1066</v>
      </c>
      <c r="Y329">
        <v>1</v>
      </c>
      <c r="Z329">
        <v>2026</v>
      </c>
    </row>
    <row r="330" spans="1:29" hidden="1">
      <c r="A330" s="17" t="s">
        <v>1063</v>
      </c>
      <c r="B330" s="17">
        <v>46036</v>
      </c>
      <c r="D330" t="s">
        <v>1064</v>
      </c>
      <c r="E330" t="s">
        <v>1065</v>
      </c>
      <c r="F330" t="s">
        <v>53</v>
      </c>
      <c r="G330" t="s">
        <v>969</v>
      </c>
      <c r="H330" t="s">
        <v>56</v>
      </c>
      <c r="J330" t="s">
        <v>1006</v>
      </c>
      <c r="K330" s="9" t="s">
        <v>1007</v>
      </c>
      <c r="L330" s="9" t="s">
        <v>925</v>
      </c>
      <c r="M330" s="17" t="s">
        <v>926</v>
      </c>
      <c r="N330" t="s">
        <v>47</v>
      </c>
      <c r="O330" t="s">
        <v>58</v>
      </c>
      <c r="P330" s="17">
        <v>46036</v>
      </c>
      <c r="Q330" s="18">
        <v>1</v>
      </c>
      <c r="R330">
        <v>2026</v>
      </c>
      <c r="T330" t="s">
        <v>783</v>
      </c>
      <c r="U330" t="s">
        <v>783</v>
      </c>
      <c r="V330" s="105">
        <v>135897</v>
      </c>
      <c r="W330" s="42" t="s">
        <v>1066</v>
      </c>
      <c r="Y330">
        <v>1</v>
      </c>
      <c r="Z330">
        <v>2026</v>
      </c>
    </row>
    <row r="331" spans="1:29" hidden="1">
      <c r="A331" s="17" t="s">
        <v>1063</v>
      </c>
      <c r="B331" s="17">
        <v>46036</v>
      </c>
      <c r="D331" t="s">
        <v>1064</v>
      </c>
      <c r="E331" t="s">
        <v>1065</v>
      </c>
      <c r="F331" t="s">
        <v>53</v>
      </c>
      <c r="G331" t="s">
        <v>910</v>
      </c>
      <c r="H331" t="s">
        <v>56</v>
      </c>
      <c r="J331" t="s">
        <v>1006</v>
      </c>
      <c r="K331" s="9" t="s">
        <v>1007</v>
      </c>
      <c r="L331" s="9" t="s">
        <v>925</v>
      </c>
      <c r="M331" s="17" t="s">
        <v>926</v>
      </c>
      <c r="N331" t="s">
        <v>47</v>
      </c>
      <c r="O331" t="s">
        <v>58</v>
      </c>
      <c r="P331" s="17">
        <v>46036</v>
      </c>
      <c r="Q331" s="18">
        <v>1</v>
      </c>
      <c r="R331">
        <v>2026</v>
      </c>
      <c r="T331" t="s">
        <v>783</v>
      </c>
      <c r="U331" t="s">
        <v>783</v>
      </c>
      <c r="V331" s="105">
        <v>135897</v>
      </c>
      <c r="W331" s="42" t="s">
        <v>1066</v>
      </c>
      <c r="Y331">
        <v>1</v>
      </c>
      <c r="Z331">
        <v>2026</v>
      </c>
    </row>
    <row r="332" spans="1:29" hidden="1">
      <c r="A332" s="17" t="s">
        <v>1063</v>
      </c>
      <c r="B332" s="17">
        <v>46036</v>
      </c>
      <c r="D332" t="s">
        <v>1064</v>
      </c>
      <c r="E332" t="s">
        <v>1065</v>
      </c>
      <c r="F332" t="s">
        <v>53</v>
      </c>
      <c r="G332" t="s">
        <v>970</v>
      </c>
      <c r="H332" t="s">
        <v>56</v>
      </c>
      <c r="J332" t="s">
        <v>1006</v>
      </c>
      <c r="K332" s="9" t="s">
        <v>1007</v>
      </c>
      <c r="L332" s="9" t="s">
        <v>925</v>
      </c>
      <c r="M332" s="17" t="s">
        <v>926</v>
      </c>
      <c r="N332" t="s">
        <v>47</v>
      </c>
      <c r="O332" t="s">
        <v>58</v>
      </c>
      <c r="P332" s="17">
        <v>46036</v>
      </c>
      <c r="Q332" s="18">
        <v>1</v>
      </c>
      <c r="R332">
        <v>2026</v>
      </c>
      <c r="T332" t="s">
        <v>783</v>
      </c>
      <c r="U332" t="s">
        <v>783</v>
      </c>
      <c r="V332" s="105">
        <v>135897</v>
      </c>
      <c r="W332" s="42" t="s">
        <v>1066</v>
      </c>
      <c r="Y332">
        <v>1</v>
      </c>
      <c r="Z332">
        <v>2026</v>
      </c>
    </row>
    <row r="333" spans="1:29">
      <c r="A333" s="17" t="s">
        <v>1067</v>
      </c>
      <c r="B333" s="17">
        <v>46050</v>
      </c>
      <c r="D333" t="s">
        <v>1068</v>
      </c>
      <c r="E333" t="s">
        <v>901</v>
      </c>
      <c r="F333" t="s">
        <v>53</v>
      </c>
      <c r="G333" t="s">
        <v>902</v>
      </c>
      <c r="H333" t="s">
        <v>56</v>
      </c>
      <c r="J333" t="s">
        <v>903</v>
      </c>
      <c r="K333" s="9" t="s">
        <v>904</v>
      </c>
      <c r="L333" s="9" t="s">
        <v>905</v>
      </c>
      <c r="M333" s="17" t="s">
        <v>45</v>
      </c>
      <c r="N333" t="s">
        <v>47</v>
      </c>
      <c r="O333" t="s">
        <v>1069</v>
      </c>
      <c r="P333" s="17">
        <v>46050</v>
      </c>
      <c r="Q333" s="117">
        <v>12</v>
      </c>
      <c r="R333" s="117">
        <v>2025</v>
      </c>
      <c r="T333" t="s">
        <v>780</v>
      </c>
      <c r="U333" t="s">
        <v>783</v>
      </c>
      <c r="V333" s="105">
        <v>-633774</v>
      </c>
      <c r="W333" s="42" t="s">
        <v>1070</v>
      </c>
      <c r="Y333">
        <v>1</v>
      </c>
      <c r="Z333">
        <v>2026</v>
      </c>
      <c r="AC333" s="117" t="s">
        <v>1190</v>
      </c>
    </row>
    <row r="334" spans="1:29">
      <c r="A334" s="17" t="s">
        <v>1067</v>
      </c>
      <c r="B334" s="17">
        <v>46050</v>
      </c>
      <c r="D334" t="s">
        <v>1068</v>
      </c>
      <c r="E334" t="s">
        <v>901</v>
      </c>
      <c r="F334" t="s">
        <v>53</v>
      </c>
      <c r="G334" t="s">
        <v>908</v>
      </c>
      <c r="H334" t="s">
        <v>56</v>
      </c>
      <c r="J334" t="s">
        <v>903</v>
      </c>
      <c r="K334" s="9" t="s">
        <v>904</v>
      </c>
      <c r="L334" s="9" t="s">
        <v>905</v>
      </c>
      <c r="M334" s="17" t="s">
        <v>45</v>
      </c>
      <c r="N334" t="s">
        <v>47</v>
      </c>
      <c r="O334" t="s">
        <v>1069</v>
      </c>
      <c r="P334" s="17">
        <v>46050</v>
      </c>
      <c r="Q334" s="117">
        <v>12</v>
      </c>
      <c r="R334" s="117">
        <v>2025</v>
      </c>
      <c r="T334" t="s">
        <v>780</v>
      </c>
      <c r="U334" t="s">
        <v>783</v>
      </c>
      <c r="V334" s="105">
        <v>-432559</v>
      </c>
      <c r="W334" s="42" t="s">
        <v>1070</v>
      </c>
      <c r="Y334">
        <v>1</v>
      </c>
      <c r="Z334">
        <v>2026</v>
      </c>
      <c r="AC334" s="117" t="s">
        <v>1190</v>
      </c>
    </row>
    <row r="335" spans="1:29">
      <c r="A335" s="17" t="s">
        <v>1067</v>
      </c>
      <c r="B335" s="17">
        <v>46050</v>
      </c>
      <c r="D335" t="s">
        <v>1068</v>
      </c>
      <c r="E335" t="s">
        <v>901</v>
      </c>
      <c r="F335" t="s">
        <v>53</v>
      </c>
      <c r="G335" t="s">
        <v>909</v>
      </c>
      <c r="H335" t="s">
        <v>56</v>
      </c>
      <c r="J335" t="s">
        <v>903</v>
      </c>
      <c r="K335" s="9" t="s">
        <v>904</v>
      </c>
      <c r="L335" s="9" t="s">
        <v>905</v>
      </c>
      <c r="M335" s="17" t="s">
        <v>45</v>
      </c>
      <c r="N335" t="s">
        <v>47</v>
      </c>
      <c r="O335" t="s">
        <v>1069</v>
      </c>
      <c r="P335" s="17">
        <v>46050</v>
      </c>
      <c r="Q335" s="117">
        <v>12</v>
      </c>
      <c r="R335" s="117">
        <v>2025</v>
      </c>
      <c r="T335" t="s">
        <v>780</v>
      </c>
      <c r="U335" t="s">
        <v>783</v>
      </c>
      <c r="V335" s="105">
        <v>-90529</v>
      </c>
      <c r="W335" s="42" t="s">
        <v>1070</v>
      </c>
      <c r="Y335">
        <v>1</v>
      </c>
      <c r="Z335">
        <v>2026</v>
      </c>
      <c r="AC335" s="117" t="s">
        <v>1190</v>
      </c>
    </row>
    <row r="336" spans="1:29">
      <c r="A336" s="17" t="s">
        <v>1067</v>
      </c>
      <c r="B336" s="17">
        <v>46050</v>
      </c>
      <c r="D336" t="s">
        <v>1068</v>
      </c>
      <c r="E336" t="s">
        <v>901</v>
      </c>
      <c r="F336" t="s">
        <v>53</v>
      </c>
      <c r="G336" t="s">
        <v>910</v>
      </c>
      <c r="H336" t="s">
        <v>56</v>
      </c>
      <c r="J336" t="s">
        <v>903</v>
      </c>
      <c r="K336" s="9" t="s">
        <v>904</v>
      </c>
      <c r="L336" s="9" t="s">
        <v>905</v>
      </c>
      <c r="M336" s="17" t="s">
        <v>45</v>
      </c>
      <c r="N336" t="s">
        <v>47</v>
      </c>
      <c r="O336" t="s">
        <v>1069</v>
      </c>
      <c r="P336" s="17">
        <v>46050</v>
      </c>
      <c r="Q336" s="117">
        <v>12</v>
      </c>
      <c r="R336" s="117">
        <v>2025</v>
      </c>
      <c r="T336" t="s">
        <v>780</v>
      </c>
      <c r="U336" t="s">
        <v>783</v>
      </c>
      <c r="V336" s="105">
        <v>-203561</v>
      </c>
      <c r="W336" s="42" t="s">
        <v>1070</v>
      </c>
      <c r="Y336">
        <v>1</v>
      </c>
      <c r="Z336">
        <v>2026</v>
      </c>
      <c r="AC336" s="117" t="s">
        <v>1190</v>
      </c>
    </row>
    <row r="337" spans="1:29">
      <c r="A337" s="17" t="s">
        <v>1067</v>
      </c>
      <c r="B337" s="17">
        <v>46050</v>
      </c>
      <c r="D337" t="s">
        <v>1068</v>
      </c>
      <c r="E337" t="s">
        <v>901</v>
      </c>
      <c r="F337" t="s">
        <v>53</v>
      </c>
      <c r="G337" t="s">
        <v>1071</v>
      </c>
      <c r="H337" t="s">
        <v>84</v>
      </c>
      <c r="J337" t="s">
        <v>911</v>
      </c>
      <c r="K337" s="9" t="s">
        <v>912</v>
      </c>
      <c r="L337" s="9" t="s">
        <v>905</v>
      </c>
      <c r="M337" s="17" t="s">
        <v>45</v>
      </c>
      <c r="N337" t="s">
        <v>47</v>
      </c>
      <c r="O337" t="s">
        <v>1072</v>
      </c>
      <c r="P337" s="17">
        <v>46050</v>
      </c>
      <c r="Q337" s="117">
        <v>12</v>
      </c>
      <c r="R337" s="117">
        <v>2025</v>
      </c>
      <c r="T337" t="s">
        <v>776</v>
      </c>
      <c r="U337" t="s">
        <v>783</v>
      </c>
      <c r="V337" s="105">
        <v>-392626</v>
      </c>
      <c r="W337" s="42" t="s">
        <v>1070</v>
      </c>
      <c r="Y337">
        <v>1</v>
      </c>
      <c r="Z337">
        <v>2026</v>
      </c>
      <c r="AC337" s="117" t="s">
        <v>1191</v>
      </c>
    </row>
    <row r="338" spans="1:29">
      <c r="A338" s="17" t="s">
        <v>1067</v>
      </c>
      <c r="B338" s="17">
        <v>46050</v>
      </c>
      <c r="D338" t="s">
        <v>1068</v>
      </c>
      <c r="E338" t="s">
        <v>901</v>
      </c>
      <c r="F338" t="s">
        <v>53</v>
      </c>
      <c r="G338" t="s">
        <v>910</v>
      </c>
      <c r="H338" t="s">
        <v>56</v>
      </c>
      <c r="J338" t="s">
        <v>911</v>
      </c>
      <c r="K338" s="9" t="s">
        <v>912</v>
      </c>
      <c r="L338" s="9" t="s">
        <v>905</v>
      </c>
      <c r="M338" s="17" t="s">
        <v>45</v>
      </c>
      <c r="N338" t="s">
        <v>47</v>
      </c>
      <c r="O338" t="s">
        <v>1072</v>
      </c>
      <c r="P338" s="17">
        <v>46050</v>
      </c>
      <c r="Q338" s="117">
        <v>12</v>
      </c>
      <c r="R338" s="117">
        <v>2025</v>
      </c>
      <c r="T338" t="s">
        <v>776</v>
      </c>
      <c r="U338" t="s">
        <v>783</v>
      </c>
      <c r="V338" s="105">
        <v>-201824</v>
      </c>
      <c r="W338" s="42" t="s">
        <v>1070</v>
      </c>
      <c r="Y338">
        <v>1</v>
      </c>
      <c r="Z338">
        <v>2026</v>
      </c>
      <c r="AC338" s="117" t="s">
        <v>1191</v>
      </c>
    </row>
    <row r="339" spans="1:29">
      <c r="A339" s="17" t="s">
        <v>1067</v>
      </c>
      <c r="B339" s="17">
        <v>46050</v>
      </c>
      <c r="D339" t="s">
        <v>1068</v>
      </c>
      <c r="E339" t="s">
        <v>901</v>
      </c>
      <c r="F339" t="s">
        <v>53</v>
      </c>
      <c r="G339" t="s">
        <v>910</v>
      </c>
      <c r="H339" t="s">
        <v>56</v>
      </c>
      <c r="J339" t="s">
        <v>911</v>
      </c>
      <c r="K339" s="9" t="s">
        <v>912</v>
      </c>
      <c r="L339" s="9" t="s">
        <v>905</v>
      </c>
      <c r="M339" s="17" t="s">
        <v>45</v>
      </c>
      <c r="N339" t="s">
        <v>47</v>
      </c>
      <c r="O339" t="s">
        <v>1072</v>
      </c>
      <c r="P339" s="17">
        <v>46050</v>
      </c>
      <c r="Q339" s="117">
        <v>12</v>
      </c>
      <c r="R339" s="117">
        <v>2025</v>
      </c>
      <c r="T339" t="s">
        <v>776</v>
      </c>
      <c r="U339" t="s">
        <v>783</v>
      </c>
      <c r="V339" s="105">
        <v>-69777</v>
      </c>
      <c r="W339" s="42" t="s">
        <v>1070</v>
      </c>
      <c r="Y339">
        <v>1</v>
      </c>
      <c r="Z339">
        <v>2026</v>
      </c>
      <c r="AC339" s="117" t="s">
        <v>1191</v>
      </c>
    </row>
    <row r="340" spans="1:29">
      <c r="A340" s="17" t="s">
        <v>1067</v>
      </c>
      <c r="B340" s="17">
        <v>46050</v>
      </c>
      <c r="D340" t="s">
        <v>1068</v>
      </c>
      <c r="E340" t="s">
        <v>901</v>
      </c>
      <c r="F340" t="s">
        <v>53</v>
      </c>
      <c r="G340" t="s">
        <v>910</v>
      </c>
      <c r="H340" t="s">
        <v>56</v>
      </c>
      <c r="J340" t="s">
        <v>911</v>
      </c>
      <c r="K340" s="9" t="s">
        <v>912</v>
      </c>
      <c r="L340" s="9" t="s">
        <v>905</v>
      </c>
      <c r="M340" s="17" t="s">
        <v>45</v>
      </c>
      <c r="N340" t="s">
        <v>47</v>
      </c>
      <c r="O340" t="s">
        <v>1072</v>
      </c>
      <c r="P340" s="17">
        <v>46050</v>
      </c>
      <c r="Q340" s="117">
        <v>12</v>
      </c>
      <c r="R340" s="117">
        <v>2025</v>
      </c>
      <c r="T340" t="s">
        <v>776</v>
      </c>
      <c r="U340" t="s">
        <v>783</v>
      </c>
      <c r="V340" s="105">
        <v>-173842</v>
      </c>
      <c r="W340" s="42" t="s">
        <v>1070</v>
      </c>
      <c r="Y340">
        <v>1</v>
      </c>
      <c r="Z340">
        <v>2026</v>
      </c>
      <c r="AC340" s="117" t="s">
        <v>1191</v>
      </c>
    </row>
    <row r="341" spans="1:29">
      <c r="A341" s="17" t="s">
        <v>1067</v>
      </c>
      <c r="B341" s="17">
        <v>46050</v>
      </c>
      <c r="D341" t="s">
        <v>1068</v>
      </c>
      <c r="E341" t="s">
        <v>901</v>
      </c>
      <c r="F341" t="s">
        <v>53</v>
      </c>
      <c r="G341" t="s">
        <v>910</v>
      </c>
      <c r="H341" t="s">
        <v>56</v>
      </c>
      <c r="J341" t="s">
        <v>911</v>
      </c>
      <c r="K341" s="9" t="s">
        <v>912</v>
      </c>
      <c r="L341" s="9" t="s">
        <v>905</v>
      </c>
      <c r="M341" s="17" t="s">
        <v>45</v>
      </c>
      <c r="N341" t="s">
        <v>47</v>
      </c>
      <c r="O341" t="s">
        <v>1072</v>
      </c>
      <c r="P341" s="17">
        <v>46050</v>
      </c>
      <c r="Q341" s="117">
        <v>12</v>
      </c>
      <c r="R341" s="117">
        <v>2025</v>
      </c>
      <c r="T341" t="s">
        <v>776</v>
      </c>
      <c r="U341" t="s">
        <v>783</v>
      </c>
      <c r="V341" s="105">
        <v>-4320865</v>
      </c>
      <c r="W341" s="42" t="s">
        <v>1070</v>
      </c>
      <c r="Y341">
        <v>1</v>
      </c>
      <c r="Z341">
        <v>2026</v>
      </c>
      <c r="AC341" s="117" t="s">
        <v>1191</v>
      </c>
    </row>
    <row r="342" spans="1:29">
      <c r="A342" s="17" t="s">
        <v>1067</v>
      </c>
      <c r="B342" s="17">
        <v>46050</v>
      </c>
      <c r="D342" t="s">
        <v>1068</v>
      </c>
      <c r="E342" t="s">
        <v>901</v>
      </c>
      <c r="F342" t="s">
        <v>53</v>
      </c>
      <c r="G342" t="s">
        <v>910</v>
      </c>
      <c r="H342" t="s">
        <v>56</v>
      </c>
      <c r="J342" t="s">
        <v>911</v>
      </c>
      <c r="K342" s="9" t="s">
        <v>912</v>
      </c>
      <c r="L342" s="9" t="s">
        <v>905</v>
      </c>
      <c r="M342" s="17" t="s">
        <v>45</v>
      </c>
      <c r="N342" t="s">
        <v>47</v>
      </c>
      <c r="O342" t="s">
        <v>1072</v>
      </c>
      <c r="P342" s="17">
        <v>46050</v>
      </c>
      <c r="Q342" s="117">
        <v>12</v>
      </c>
      <c r="R342" s="117">
        <v>2025</v>
      </c>
      <c r="T342" t="s">
        <v>776</v>
      </c>
      <c r="U342" t="s">
        <v>783</v>
      </c>
      <c r="V342" s="105">
        <v>-1279466</v>
      </c>
      <c r="W342" s="42" t="s">
        <v>1070</v>
      </c>
      <c r="Y342">
        <v>1</v>
      </c>
      <c r="Z342">
        <v>2026</v>
      </c>
      <c r="AC342" s="117" t="s">
        <v>1191</v>
      </c>
    </row>
    <row r="343" spans="1:29" hidden="1">
      <c r="A343" s="17" t="s">
        <v>1067</v>
      </c>
      <c r="B343" s="17">
        <v>46050</v>
      </c>
      <c r="D343" t="s">
        <v>1068</v>
      </c>
      <c r="E343" t="s">
        <v>901</v>
      </c>
      <c r="F343" t="s">
        <v>53</v>
      </c>
      <c r="G343" t="s">
        <v>1014</v>
      </c>
      <c r="H343" t="s">
        <v>757</v>
      </c>
      <c r="J343" t="s">
        <v>1015</v>
      </c>
      <c r="K343" s="9" t="s">
        <v>1016</v>
      </c>
      <c r="L343" s="9" t="s">
        <v>1017</v>
      </c>
      <c r="M343" s="17" t="s">
        <v>911</v>
      </c>
      <c r="N343" t="s">
        <v>1018</v>
      </c>
      <c r="O343" t="s">
        <v>988</v>
      </c>
      <c r="P343" s="17">
        <v>46050</v>
      </c>
      <c r="Q343" s="18">
        <v>1</v>
      </c>
      <c r="R343">
        <v>2026</v>
      </c>
      <c r="T343" t="s">
        <v>58</v>
      </c>
      <c r="U343" t="s">
        <v>783</v>
      </c>
      <c r="V343" s="105">
        <v>2</v>
      </c>
      <c r="W343" s="42" t="s">
        <v>1070</v>
      </c>
      <c r="Y343">
        <v>1</v>
      </c>
      <c r="Z343">
        <v>2026</v>
      </c>
    </row>
    <row r="344" spans="1:29" hidden="1">
      <c r="A344" s="17" t="s">
        <v>1073</v>
      </c>
      <c r="B344" s="17">
        <v>46078</v>
      </c>
      <c r="D344" t="s">
        <v>1074</v>
      </c>
      <c r="E344" t="s">
        <v>901</v>
      </c>
      <c r="F344" t="s">
        <v>53</v>
      </c>
      <c r="G344" t="s">
        <v>915</v>
      </c>
      <c r="H344" t="s">
        <v>56</v>
      </c>
      <c r="J344" t="s">
        <v>911</v>
      </c>
      <c r="K344" s="9" t="s">
        <v>912</v>
      </c>
      <c r="L344" s="9" t="s">
        <v>905</v>
      </c>
      <c r="M344" s="17" t="s">
        <v>45</v>
      </c>
      <c r="N344" t="s">
        <v>47</v>
      </c>
      <c r="O344" t="s">
        <v>1075</v>
      </c>
      <c r="P344" s="17">
        <v>46078</v>
      </c>
      <c r="Q344" s="18">
        <v>2</v>
      </c>
      <c r="R344">
        <v>2026</v>
      </c>
      <c r="T344" t="s">
        <v>776</v>
      </c>
      <c r="U344" t="s">
        <v>783</v>
      </c>
      <c r="V344" s="105">
        <v>-512354</v>
      </c>
      <c r="W344" s="42" t="s">
        <v>1076</v>
      </c>
      <c r="Y344">
        <v>2</v>
      </c>
      <c r="Z344">
        <v>2026</v>
      </c>
    </row>
    <row r="345" spans="1:29" hidden="1">
      <c r="A345" s="17" t="s">
        <v>1073</v>
      </c>
      <c r="B345" s="17">
        <v>46078</v>
      </c>
      <c r="D345" t="s">
        <v>1074</v>
      </c>
      <c r="E345" t="s">
        <v>901</v>
      </c>
      <c r="F345" t="s">
        <v>53</v>
      </c>
      <c r="G345" t="s">
        <v>902</v>
      </c>
      <c r="H345" t="s">
        <v>56</v>
      </c>
      <c r="J345" t="s">
        <v>903</v>
      </c>
      <c r="K345" s="9" t="s">
        <v>904</v>
      </c>
      <c r="L345" s="9" t="s">
        <v>905</v>
      </c>
      <c r="M345" s="17" t="s">
        <v>45</v>
      </c>
      <c r="N345" t="s">
        <v>47</v>
      </c>
      <c r="O345" t="s">
        <v>1075</v>
      </c>
      <c r="P345" s="17">
        <v>46078</v>
      </c>
      <c r="Q345" s="18">
        <v>2</v>
      </c>
      <c r="R345">
        <v>2026</v>
      </c>
      <c r="T345" t="s">
        <v>780</v>
      </c>
      <c r="U345" t="s">
        <v>783</v>
      </c>
      <c r="V345" s="105">
        <v>-1575192</v>
      </c>
      <c r="W345" s="42" t="s">
        <v>1076</v>
      </c>
      <c r="Y345">
        <v>2</v>
      </c>
      <c r="Z345">
        <v>2026</v>
      </c>
    </row>
    <row r="346" spans="1:29" hidden="1">
      <c r="A346" s="17" t="s">
        <v>1073</v>
      </c>
      <c r="B346" s="17">
        <v>46078</v>
      </c>
      <c r="D346" t="s">
        <v>1074</v>
      </c>
      <c r="E346" t="s">
        <v>901</v>
      </c>
      <c r="F346" t="s">
        <v>53</v>
      </c>
      <c r="G346" t="s">
        <v>946</v>
      </c>
      <c r="H346" t="s">
        <v>56</v>
      </c>
      <c r="J346" t="s">
        <v>903</v>
      </c>
      <c r="K346" s="9" t="s">
        <v>904</v>
      </c>
      <c r="L346" s="9" t="s">
        <v>905</v>
      </c>
      <c r="M346" s="17" t="s">
        <v>45</v>
      </c>
      <c r="N346" t="s">
        <v>47</v>
      </c>
      <c r="O346" t="s">
        <v>1075</v>
      </c>
      <c r="P346" s="17">
        <v>46078</v>
      </c>
      <c r="Q346" s="18">
        <v>2</v>
      </c>
      <c r="R346">
        <v>2026</v>
      </c>
      <c r="T346" t="s">
        <v>780</v>
      </c>
      <c r="U346" t="s">
        <v>783</v>
      </c>
      <c r="V346" s="105">
        <v>-193301</v>
      </c>
      <c r="W346" s="42" t="s">
        <v>1076</v>
      </c>
      <c r="Y346">
        <v>2</v>
      </c>
      <c r="Z346">
        <v>2026</v>
      </c>
    </row>
    <row r="347" spans="1:29" hidden="1">
      <c r="A347" s="17" t="s">
        <v>1073</v>
      </c>
      <c r="B347" s="17">
        <v>46078</v>
      </c>
      <c r="D347" t="s">
        <v>1074</v>
      </c>
      <c r="E347" t="s">
        <v>901</v>
      </c>
      <c r="F347" t="s">
        <v>53</v>
      </c>
      <c r="G347" t="s">
        <v>908</v>
      </c>
      <c r="H347" t="s">
        <v>56</v>
      </c>
      <c r="J347" t="s">
        <v>903</v>
      </c>
      <c r="K347" s="9" t="s">
        <v>904</v>
      </c>
      <c r="L347" s="9" t="s">
        <v>905</v>
      </c>
      <c r="M347" s="17" t="s">
        <v>45</v>
      </c>
      <c r="N347" t="s">
        <v>47</v>
      </c>
      <c r="O347" t="s">
        <v>1075</v>
      </c>
      <c r="P347" s="17">
        <v>46078</v>
      </c>
      <c r="Q347" s="18">
        <v>2</v>
      </c>
      <c r="R347">
        <v>2026</v>
      </c>
      <c r="T347" t="s">
        <v>780</v>
      </c>
      <c r="U347" t="s">
        <v>783</v>
      </c>
      <c r="V347" s="105">
        <v>-449972</v>
      </c>
      <c r="W347" s="42" t="s">
        <v>1076</v>
      </c>
      <c r="Y347">
        <v>2</v>
      </c>
      <c r="Z347">
        <v>2026</v>
      </c>
    </row>
    <row r="348" spans="1:29" hidden="1">
      <c r="A348" s="17" t="s">
        <v>1073</v>
      </c>
      <c r="B348" s="17">
        <v>46078</v>
      </c>
      <c r="D348" t="s">
        <v>1074</v>
      </c>
      <c r="E348" t="s">
        <v>901</v>
      </c>
      <c r="F348" t="s">
        <v>53</v>
      </c>
      <c r="G348" t="s">
        <v>914</v>
      </c>
      <c r="H348" t="s">
        <v>56</v>
      </c>
      <c r="J348" t="s">
        <v>911</v>
      </c>
      <c r="K348" s="9" t="s">
        <v>912</v>
      </c>
      <c r="L348" s="9" t="s">
        <v>905</v>
      </c>
      <c r="M348" s="17" t="s">
        <v>45</v>
      </c>
      <c r="N348" t="s">
        <v>47</v>
      </c>
      <c r="O348" t="s">
        <v>1075</v>
      </c>
      <c r="P348" s="17">
        <v>46078</v>
      </c>
      <c r="Q348" s="18">
        <v>2</v>
      </c>
      <c r="R348">
        <v>2026</v>
      </c>
      <c r="T348" t="s">
        <v>776</v>
      </c>
      <c r="U348" t="s">
        <v>783</v>
      </c>
      <c r="V348" s="105">
        <v>-6212372</v>
      </c>
      <c r="W348" s="42" t="s">
        <v>1076</v>
      </c>
      <c r="Y348">
        <v>2</v>
      </c>
      <c r="Z348">
        <v>2026</v>
      </c>
    </row>
    <row r="349" spans="1:29" hidden="1">
      <c r="A349" s="17" t="s">
        <v>1073</v>
      </c>
      <c r="B349" s="17">
        <v>46078</v>
      </c>
      <c r="D349" t="s">
        <v>1074</v>
      </c>
      <c r="E349" t="s">
        <v>901</v>
      </c>
      <c r="F349" t="s">
        <v>53</v>
      </c>
      <c r="G349" t="s">
        <v>914</v>
      </c>
      <c r="H349" t="s">
        <v>56</v>
      </c>
      <c r="J349" t="s">
        <v>911</v>
      </c>
      <c r="K349" s="9" t="s">
        <v>912</v>
      </c>
      <c r="L349" s="9" t="s">
        <v>905</v>
      </c>
      <c r="M349" s="17" t="s">
        <v>45</v>
      </c>
      <c r="N349" t="s">
        <v>47</v>
      </c>
      <c r="O349" t="s">
        <v>1075</v>
      </c>
      <c r="P349" s="17">
        <v>46078</v>
      </c>
      <c r="Q349" s="18">
        <v>2</v>
      </c>
      <c r="R349">
        <v>2026</v>
      </c>
      <c r="T349" t="s">
        <v>776</v>
      </c>
      <c r="U349" t="s">
        <v>783</v>
      </c>
      <c r="V349" s="105">
        <v>-71619</v>
      </c>
      <c r="W349" s="42" t="s">
        <v>1076</v>
      </c>
      <c r="Y349">
        <v>2</v>
      </c>
      <c r="Z349">
        <v>2026</v>
      </c>
    </row>
    <row r="350" spans="1:29" hidden="1">
      <c r="A350" s="17" t="s">
        <v>1073</v>
      </c>
      <c r="B350" s="17">
        <v>46078</v>
      </c>
      <c r="D350" t="s">
        <v>1074</v>
      </c>
      <c r="E350" t="s">
        <v>901</v>
      </c>
      <c r="F350" t="s">
        <v>53</v>
      </c>
      <c r="G350" t="s">
        <v>914</v>
      </c>
      <c r="H350" t="s">
        <v>56</v>
      </c>
      <c r="J350" t="s">
        <v>911</v>
      </c>
      <c r="K350" s="9" t="s">
        <v>912</v>
      </c>
      <c r="L350" s="9" t="s">
        <v>905</v>
      </c>
      <c r="M350" s="17" t="s">
        <v>45</v>
      </c>
      <c r="N350" t="s">
        <v>47</v>
      </c>
      <c r="O350" t="s">
        <v>1075</v>
      </c>
      <c r="P350" s="17">
        <v>46078</v>
      </c>
      <c r="Q350" s="18">
        <v>2</v>
      </c>
      <c r="R350">
        <v>2026</v>
      </c>
      <c r="T350" t="s">
        <v>776</v>
      </c>
      <c r="U350" t="s">
        <v>783</v>
      </c>
      <c r="V350" s="105">
        <v>-1317098</v>
      </c>
      <c r="W350" s="42" t="s">
        <v>1076</v>
      </c>
      <c r="Y350">
        <v>2</v>
      </c>
      <c r="Z350">
        <v>2026</v>
      </c>
    </row>
    <row r="351" spans="1:29" hidden="1">
      <c r="A351" s="17" t="s">
        <v>1073</v>
      </c>
      <c r="B351" s="17">
        <v>46078</v>
      </c>
      <c r="D351" t="s">
        <v>1074</v>
      </c>
      <c r="E351" t="s">
        <v>901</v>
      </c>
      <c r="F351" t="s">
        <v>53</v>
      </c>
      <c r="G351" t="s">
        <v>909</v>
      </c>
      <c r="H351" t="s">
        <v>56</v>
      </c>
      <c r="J351" t="s">
        <v>903</v>
      </c>
      <c r="K351" s="9" t="s">
        <v>904</v>
      </c>
      <c r="L351" s="9" t="s">
        <v>905</v>
      </c>
      <c r="M351" s="17" t="s">
        <v>45</v>
      </c>
      <c r="N351" t="s">
        <v>47</v>
      </c>
      <c r="O351" t="s">
        <v>1075</v>
      </c>
      <c r="P351" s="17">
        <v>46078</v>
      </c>
      <c r="Q351" s="18">
        <v>2</v>
      </c>
      <c r="R351">
        <v>2026</v>
      </c>
      <c r="T351" t="s">
        <v>780</v>
      </c>
      <c r="U351" t="s">
        <v>783</v>
      </c>
      <c r="V351" s="105">
        <v>-587960</v>
      </c>
      <c r="W351" s="42" t="s">
        <v>1076</v>
      </c>
      <c r="Y351">
        <v>2</v>
      </c>
      <c r="Z351">
        <v>2026</v>
      </c>
    </row>
    <row r="352" spans="1:29" hidden="1">
      <c r="A352" s="17" t="s">
        <v>1073</v>
      </c>
      <c r="B352" s="17">
        <v>46078</v>
      </c>
      <c r="D352" t="s">
        <v>1074</v>
      </c>
      <c r="E352" t="s">
        <v>901</v>
      </c>
      <c r="F352" t="s">
        <v>53</v>
      </c>
      <c r="G352" t="s">
        <v>967</v>
      </c>
      <c r="H352" t="s">
        <v>56</v>
      </c>
      <c r="J352" t="s">
        <v>911</v>
      </c>
      <c r="K352" s="9" t="s">
        <v>912</v>
      </c>
      <c r="L352" s="9" t="s">
        <v>905</v>
      </c>
      <c r="M352" s="17" t="s">
        <v>45</v>
      </c>
      <c r="N352" t="s">
        <v>47</v>
      </c>
      <c r="O352" t="s">
        <v>1075</v>
      </c>
      <c r="P352" s="17">
        <v>46078</v>
      </c>
      <c r="Q352" s="18">
        <v>2</v>
      </c>
      <c r="R352">
        <v>2026</v>
      </c>
      <c r="T352" t="s">
        <v>776</v>
      </c>
      <c r="U352" t="s">
        <v>783</v>
      </c>
      <c r="V352" s="105">
        <v>-2197368</v>
      </c>
      <c r="W352" s="42" t="s">
        <v>1076</v>
      </c>
      <c r="Y352">
        <v>2</v>
      </c>
      <c r="Z352">
        <v>2026</v>
      </c>
    </row>
    <row r="353" spans="1:26" hidden="1">
      <c r="A353" s="17" t="s">
        <v>1073</v>
      </c>
      <c r="B353" s="17">
        <v>46078</v>
      </c>
      <c r="D353" t="s">
        <v>1074</v>
      </c>
      <c r="E353" t="s">
        <v>901</v>
      </c>
      <c r="F353" t="s">
        <v>53</v>
      </c>
      <c r="G353" t="s">
        <v>910</v>
      </c>
      <c r="H353" t="s">
        <v>56</v>
      </c>
      <c r="J353" t="s">
        <v>903</v>
      </c>
      <c r="K353" s="9" t="s">
        <v>904</v>
      </c>
      <c r="L353" s="9" t="s">
        <v>905</v>
      </c>
      <c r="M353" s="17" t="s">
        <v>45</v>
      </c>
      <c r="N353" t="s">
        <v>47</v>
      </c>
      <c r="O353" t="s">
        <v>1075</v>
      </c>
      <c r="P353" s="17">
        <v>46078</v>
      </c>
      <c r="Q353" s="18">
        <v>2</v>
      </c>
      <c r="R353">
        <v>2026</v>
      </c>
      <c r="T353" t="s">
        <v>780</v>
      </c>
      <c r="U353" t="s">
        <v>783</v>
      </c>
      <c r="V353" s="105">
        <v>-524902</v>
      </c>
      <c r="W353" s="42" t="s">
        <v>1076</v>
      </c>
      <c r="Y353">
        <v>2</v>
      </c>
      <c r="Z353">
        <v>2026</v>
      </c>
    </row>
    <row r="354" spans="1:26" hidden="1">
      <c r="A354" s="17" t="s">
        <v>1077</v>
      </c>
      <c r="B354" s="17">
        <v>46078</v>
      </c>
      <c r="D354" t="s">
        <v>1078</v>
      </c>
      <c r="E354" t="s">
        <v>901</v>
      </c>
      <c r="F354" t="s">
        <v>53</v>
      </c>
      <c r="G354" t="s">
        <v>908</v>
      </c>
      <c r="H354" t="s">
        <v>56</v>
      </c>
      <c r="J354" t="s">
        <v>903</v>
      </c>
      <c r="K354" s="9" t="s">
        <v>904</v>
      </c>
      <c r="L354" s="9" t="s">
        <v>905</v>
      </c>
      <c r="M354" s="17" t="s">
        <v>45</v>
      </c>
      <c r="N354" t="s">
        <v>47</v>
      </c>
      <c r="O354" t="s">
        <v>1075</v>
      </c>
      <c r="P354" s="17">
        <v>46078</v>
      </c>
      <c r="Q354" s="18">
        <v>2</v>
      </c>
      <c r="R354">
        <v>2026</v>
      </c>
      <c r="T354" t="s">
        <v>780</v>
      </c>
      <c r="U354" t="s">
        <v>783</v>
      </c>
      <c r="V354" s="105">
        <v>-449972</v>
      </c>
      <c r="W354" s="42" t="s">
        <v>1076</v>
      </c>
      <c r="Y354">
        <v>2</v>
      </c>
      <c r="Z354">
        <v>2026</v>
      </c>
    </row>
    <row r="355" spans="1:26" hidden="1">
      <c r="A355" s="17" t="s">
        <v>1077</v>
      </c>
      <c r="B355" s="17">
        <v>46078</v>
      </c>
      <c r="D355" t="s">
        <v>1078</v>
      </c>
      <c r="E355" t="s">
        <v>901</v>
      </c>
      <c r="F355" t="s">
        <v>53</v>
      </c>
      <c r="G355" t="s">
        <v>914</v>
      </c>
      <c r="H355" t="s">
        <v>56</v>
      </c>
      <c r="J355" t="s">
        <v>911</v>
      </c>
      <c r="K355" s="9" t="s">
        <v>912</v>
      </c>
      <c r="L355" s="9" t="s">
        <v>905</v>
      </c>
      <c r="M355" s="17" t="s">
        <v>45</v>
      </c>
      <c r="N355" t="s">
        <v>47</v>
      </c>
      <c r="O355" t="s">
        <v>1075</v>
      </c>
      <c r="P355" s="17">
        <v>46078</v>
      </c>
      <c r="Q355" s="18">
        <v>2</v>
      </c>
      <c r="R355">
        <v>2026</v>
      </c>
      <c r="T355" t="s">
        <v>776</v>
      </c>
      <c r="U355" t="s">
        <v>783</v>
      </c>
      <c r="V355" s="105">
        <v>-6212372</v>
      </c>
      <c r="W355" s="42" t="s">
        <v>1076</v>
      </c>
      <c r="Y355">
        <v>2</v>
      </c>
      <c r="Z355">
        <v>2026</v>
      </c>
    </row>
    <row r="356" spans="1:26" hidden="1">
      <c r="A356" s="17" t="s">
        <v>1077</v>
      </c>
      <c r="B356" s="17">
        <v>46078</v>
      </c>
      <c r="D356" t="s">
        <v>1078</v>
      </c>
      <c r="E356" t="s">
        <v>901</v>
      </c>
      <c r="F356" t="s">
        <v>53</v>
      </c>
      <c r="G356" t="s">
        <v>914</v>
      </c>
      <c r="H356" t="s">
        <v>56</v>
      </c>
      <c r="J356" t="s">
        <v>911</v>
      </c>
      <c r="K356" s="9" t="s">
        <v>912</v>
      </c>
      <c r="L356" s="9" t="s">
        <v>905</v>
      </c>
      <c r="M356" s="17" t="s">
        <v>45</v>
      </c>
      <c r="N356" t="s">
        <v>47</v>
      </c>
      <c r="O356" t="s">
        <v>1075</v>
      </c>
      <c r="P356" s="17">
        <v>46078</v>
      </c>
      <c r="Q356" s="18">
        <v>2</v>
      </c>
      <c r="R356">
        <v>2026</v>
      </c>
      <c r="T356" t="s">
        <v>776</v>
      </c>
      <c r="U356" t="s">
        <v>783</v>
      </c>
      <c r="V356" s="105">
        <v>-71619</v>
      </c>
      <c r="W356" s="42" t="s">
        <v>1076</v>
      </c>
      <c r="Y356">
        <v>2</v>
      </c>
      <c r="Z356">
        <v>2026</v>
      </c>
    </row>
    <row r="357" spans="1:26" hidden="1">
      <c r="A357" s="17" t="s">
        <v>1077</v>
      </c>
      <c r="B357" s="17">
        <v>46078</v>
      </c>
      <c r="D357" t="s">
        <v>1078</v>
      </c>
      <c r="E357" t="s">
        <v>901</v>
      </c>
      <c r="F357" t="s">
        <v>53</v>
      </c>
      <c r="G357" t="s">
        <v>914</v>
      </c>
      <c r="H357" t="s">
        <v>56</v>
      </c>
      <c r="J357" t="s">
        <v>911</v>
      </c>
      <c r="K357" s="9" t="s">
        <v>912</v>
      </c>
      <c r="L357" s="9" t="s">
        <v>905</v>
      </c>
      <c r="M357" s="17" t="s">
        <v>45</v>
      </c>
      <c r="N357" t="s">
        <v>47</v>
      </c>
      <c r="O357" t="s">
        <v>1075</v>
      </c>
      <c r="P357" s="17">
        <v>46078</v>
      </c>
      <c r="Q357" s="18">
        <v>2</v>
      </c>
      <c r="R357">
        <v>2026</v>
      </c>
      <c r="T357" t="s">
        <v>776</v>
      </c>
      <c r="U357" t="s">
        <v>783</v>
      </c>
      <c r="V357" s="105">
        <v>-1317098</v>
      </c>
      <c r="W357" s="42" t="s">
        <v>1076</v>
      </c>
      <c r="Y357">
        <v>2</v>
      </c>
      <c r="Z357">
        <v>2026</v>
      </c>
    </row>
    <row r="358" spans="1:26" hidden="1">
      <c r="A358" s="17" t="s">
        <v>1077</v>
      </c>
      <c r="B358" s="17">
        <v>46078</v>
      </c>
      <c r="D358" t="s">
        <v>1078</v>
      </c>
      <c r="E358" t="s">
        <v>901</v>
      </c>
      <c r="F358" t="s">
        <v>53</v>
      </c>
      <c r="G358" t="s">
        <v>909</v>
      </c>
      <c r="H358" t="s">
        <v>56</v>
      </c>
      <c r="J358" t="s">
        <v>903</v>
      </c>
      <c r="K358" s="9" t="s">
        <v>904</v>
      </c>
      <c r="L358" s="9" t="s">
        <v>905</v>
      </c>
      <c r="M358" s="17" t="s">
        <v>45</v>
      </c>
      <c r="N358" t="s">
        <v>47</v>
      </c>
      <c r="O358" t="s">
        <v>1075</v>
      </c>
      <c r="P358" s="17">
        <v>46078</v>
      </c>
      <c r="Q358" s="18">
        <v>2</v>
      </c>
      <c r="R358">
        <v>2026</v>
      </c>
      <c r="T358" t="s">
        <v>780</v>
      </c>
      <c r="U358" t="s">
        <v>783</v>
      </c>
      <c r="V358" s="105">
        <v>-587960</v>
      </c>
      <c r="W358" s="42" t="s">
        <v>1076</v>
      </c>
      <c r="Y358">
        <v>2</v>
      </c>
      <c r="Z358">
        <v>2026</v>
      </c>
    </row>
    <row r="359" spans="1:26" hidden="1">
      <c r="A359" s="17" t="s">
        <v>1077</v>
      </c>
      <c r="B359" s="17">
        <v>46078</v>
      </c>
      <c r="D359" t="s">
        <v>1078</v>
      </c>
      <c r="E359" t="s">
        <v>901</v>
      </c>
      <c r="F359" t="s">
        <v>53</v>
      </c>
      <c r="G359" t="s">
        <v>967</v>
      </c>
      <c r="H359" t="s">
        <v>56</v>
      </c>
      <c r="J359" t="s">
        <v>911</v>
      </c>
      <c r="K359" s="9" t="s">
        <v>912</v>
      </c>
      <c r="L359" s="9" t="s">
        <v>905</v>
      </c>
      <c r="M359" s="17" t="s">
        <v>45</v>
      </c>
      <c r="N359" t="s">
        <v>47</v>
      </c>
      <c r="O359" t="s">
        <v>1075</v>
      </c>
      <c r="P359" s="17">
        <v>46078</v>
      </c>
      <c r="Q359" s="18">
        <v>2</v>
      </c>
      <c r="R359">
        <v>2026</v>
      </c>
      <c r="T359" t="s">
        <v>776</v>
      </c>
      <c r="U359" t="s">
        <v>783</v>
      </c>
      <c r="V359" s="105">
        <v>-2197368</v>
      </c>
      <c r="W359" s="42" t="s">
        <v>1076</v>
      </c>
      <c r="Y359">
        <v>2</v>
      </c>
      <c r="Z359">
        <v>2026</v>
      </c>
    </row>
    <row r="360" spans="1:26" hidden="1">
      <c r="A360" s="17" t="s">
        <v>1077</v>
      </c>
      <c r="B360" s="17">
        <v>46078</v>
      </c>
      <c r="D360" t="s">
        <v>1078</v>
      </c>
      <c r="E360" t="s">
        <v>901</v>
      </c>
      <c r="F360" t="s">
        <v>53</v>
      </c>
      <c r="G360" t="s">
        <v>910</v>
      </c>
      <c r="H360" t="s">
        <v>56</v>
      </c>
      <c r="J360" t="s">
        <v>903</v>
      </c>
      <c r="K360" s="9" t="s">
        <v>904</v>
      </c>
      <c r="L360" s="9" t="s">
        <v>905</v>
      </c>
      <c r="M360" s="17" t="s">
        <v>45</v>
      </c>
      <c r="N360" t="s">
        <v>47</v>
      </c>
      <c r="O360" t="s">
        <v>1075</v>
      </c>
      <c r="P360" s="17">
        <v>46078</v>
      </c>
      <c r="Q360" s="18">
        <v>2</v>
      </c>
      <c r="R360">
        <v>2026</v>
      </c>
      <c r="T360" t="s">
        <v>780</v>
      </c>
      <c r="U360" t="s">
        <v>783</v>
      </c>
      <c r="V360" s="105">
        <v>-524902</v>
      </c>
      <c r="W360" s="42" t="s">
        <v>1076</v>
      </c>
      <c r="Y360">
        <v>2</v>
      </c>
      <c r="Z360">
        <v>2026</v>
      </c>
    </row>
    <row r="361" spans="1:26" hidden="1">
      <c r="A361" s="17" t="s">
        <v>1079</v>
      </c>
      <c r="B361" s="17">
        <v>46078</v>
      </c>
      <c r="D361" t="s">
        <v>1080</v>
      </c>
      <c r="E361" t="s">
        <v>1081</v>
      </c>
      <c r="F361" t="s">
        <v>53</v>
      </c>
      <c r="G361" t="s">
        <v>915</v>
      </c>
      <c r="H361" t="s">
        <v>56</v>
      </c>
      <c r="J361" t="s">
        <v>911</v>
      </c>
      <c r="K361" s="9" t="s">
        <v>912</v>
      </c>
      <c r="L361" s="9" t="s">
        <v>905</v>
      </c>
      <c r="M361" s="17" t="s">
        <v>45</v>
      </c>
      <c r="N361" t="s">
        <v>47</v>
      </c>
      <c r="O361" t="s">
        <v>1075</v>
      </c>
      <c r="P361" s="17">
        <v>46078</v>
      </c>
      <c r="Q361" s="18">
        <v>2</v>
      </c>
      <c r="R361">
        <v>2026</v>
      </c>
      <c r="T361" t="s">
        <v>776</v>
      </c>
      <c r="U361" t="s">
        <v>1082</v>
      </c>
      <c r="V361" s="105">
        <v>512354</v>
      </c>
      <c r="W361" s="42" t="s">
        <v>1076</v>
      </c>
      <c r="Y361">
        <v>2</v>
      </c>
      <c r="Z361">
        <v>2026</v>
      </c>
    </row>
    <row r="362" spans="1:26" hidden="1">
      <c r="A362" s="17" t="s">
        <v>1079</v>
      </c>
      <c r="B362" s="17">
        <v>46078</v>
      </c>
      <c r="D362" t="s">
        <v>1080</v>
      </c>
      <c r="E362" t="s">
        <v>1081</v>
      </c>
      <c r="F362" t="s">
        <v>53</v>
      </c>
      <c r="G362" t="s">
        <v>902</v>
      </c>
      <c r="H362" t="s">
        <v>56</v>
      </c>
      <c r="J362" t="s">
        <v>903</v>
      </c>
      <c r="K362" s="9" t="s">
        <v>904</v>
      </c>
      <c r="L362" s="9" t="s">
        <v>905</v>
      </c>
      <c r="M362" s="17" t="s">
        <v>45</v>
      </c>
      <c r="N362" t="s">
        <v>47</v>
      </c>
      <c r="O362" t="s">
        <v>1075</v>
      </c>
      <c r="P362" s="17">
        <v>46078</v>
      </c>
      <c r="Q362" s="18">
        <v>2</v>
      </c>
      <c r="R362">
        <v>2026</v>
      </c>
      <c r="T362" t="s">
        <v>780</v>
      </c>
      <c r="U362" t="s">
        <v>1082</v>
      </c>
      <c r="V362" s="105">
        <v>1575192</v>
      </c>
      <c r="W362" s="42" t="s">
        <v>1076</v>
      </c>
      <c r="Y362">
        <v>2</v>
      </c>
      <c r="Z362">
        <v>2026</v>
      </c>
    </row>
    <row r="363" spans="1:26" hidden="1">
      <c r="A363" s="17" t="s">
        <v>1079</v>
      </c>
      <c r="B363" s="17">
        <v>46078</v>
      </c>
      <c r="D363" t="s">
        <v>1080</v>
      </c>
      <c r="E363" t="s">
        <v>1081</v>
      </c>
      <c r="F363" t="s">
        <v>53</v>
      </c>
      <c r="G363" t="s">
        <v>946</v>
      </c>
      <c r="H363" t="s">
        <v>56</v>
      </c>
      <c r="J363" t="s">
        <v>903</v>
      </c>
      <c r="K363" s="9" t="s">
        <v>904</v>
      </c>
      <c r="L363" s="9" t="s">
        <v>905</v>
      </c>
      <c r="M363" s="17" t="s">
        <v>45</v>
      </c>
      <c r="N363" t="s">
        <v>47</v>
      </c>
      <c r="O363" t="s">
        <v>1075</v>
      </c>
      <c r="P363" s="17">
        <v>46078</v>
      </c>
      <c r="Q363" s="18">
        <v>2</v>
      </c>
      <c r="R363">
        <v>2026</v>
      </c>
      <c r="T363" t="s">
        <v>780</v>
      </c>
      <c r="U363" t="s">
        <v>1082</v>
      </c>
      <c r="V363" s="105">
        <v>193301</v>
      </c>
      <c r="W363" s="42" t="s">
        <v>1076</v>
      </c>
      <c r="Y363">
        <v>2</v>
      </c>
      <c r="Z363">
        <v>2026</v>
      </c>
    </row>
    <row r="364" spans="1:26" hidden="1">
      <c r="A364" s="17" t="s">
        <v>1079</v>
      </c>
      <c r="B364" s="17">
        <v>46078</v>
      </c>
      <c r="D364" t="s">
        <v>1080</v>
      </c>
      <c r="E364" t="s">
        <v>1081</v>
      </c>
      <c r="F364" t="s">
        <v>53</v>
      </c>
      <c r="G364" t="s">
        <v>908</v>
      </c>
      <c r="H364" t="s">
        <v>56</v>
      </c>
      <c r="J364" t="s">
        <v>903</v>
      </c>
      <c r="K364" s="9" t="s">
        <v>904</v>
      </c>
      <c r="L364" s="9" t="s">
        <v>905</v>
      </c>
      <c r="M364" s="17" t="s">
        <v>45</v>
      </c>
      <c r="N364" t="s">
        <v>47</v>
      </c>
      <c r="O364" t="s">
        <v>1075</v>
      </c>
      <c r="P364" s="17">
        <v>46078</v>
      </c>
      <c r="Q364" s="18">
        <v>2</v>
      </c>
      <c r="R364">
        <v>2026</v>
      </c>
      <c r="T364" t="s">
        <v>780</v>
      </c>
      <c r="U364" t="s">
        <v>1082</v>
      </c>
      <c r="V364" s="105">
        <v>449972</v>
      </c>
      <c r="W364" s="42" t="s">
        <v>1076</v>
      </c>
      <c r="Y364">
        <v>2</v>
      </c>
      <c r="Z364">
        <v>2026</v>
      </c>
    </row>
    <row r="365" spans="1:26" hidden="1">
      <c r="A365" s="17" t="s">
        <v>1079</v>
      </c>
      <c r="B365" s="17">
        <v>46078</v>
      </c>
      <c r="D365" t="s">
        <v>1080</v>
      </c>
      <c r="E365" t="s">
        <v>1081</v>
      </c>
      <c r="F365" t="s">
        <v>53</v>
      </c>
      <c r="G365" t="s">
        <v>914</v>
      </c>
      <c r="H365" t="s">
        <v>56</v>
      </c>
      <c r="J365" t="s">
        <v>911</v>
      </c>
      <c r="K365" s="9" t="s">
        <v>912</v>
      </c>
      <c r="L365" s="9" t="s">
        <v>905</v>
      </c>
      <c r="M365" s="17" t="s">
        <v>45</v>
      </c>
      <c r="N365" t="s">
        <v>47</v>
      </c>
      <c r="O365" t="s">
        <v>1075</v>
      </c>
      <c r="P365" s="17">
        <v>46078</v>
      </c>
      <c r="Q365" s="18">
        <v>2</v>
      </c>
      <c r="R365">
        <v>2026</v>
      </c>
      <c r="T365" t="s">
        <v>776</v>
      </c>
      <c r="U365" t="s">
        <v>1082</v>
      </c>
      <c r="V365" s="105">
        <v>6212372</v>
      </c>
      <c r="W365" s="42" t="s">
        <v>1076</v>
      </c>
      <c r="Y365">
        <v>2</v>
      </c>
      <c r="Z365">
        <v>2026</v>
      </c>
    </row>
    <row r="366" spans="1:26" hidden="1">
      <c r="A366" s="17" t="s">
        <v>1079</v>
      </c>
      <c r="B366" s="17">
        <v>46078</v>
      </c>
      <c r="D366" t="s">
        <v>1080</v>
      </c>
      <c r="E366" t="s">
        <v>1081</v>
      </c>
      <c r="F366" t="s">
        <v>53</v>
      </c>
      <c r="G366" t="s">
        <v>914</v>
      </c>
      <c r="H366" t="s">
        <v>56</v>
      </c>
      <c r="J366" t="s">
        <v>911</v>
      </c>
      <c r="K366" s="9" t="s">
        <v>912</v>
      </c>
      <c r="L366" s="9" t="s">
        <v>905</v>
      </c>
      <c r="M366" s="17" t="s">
        <v>45</v>
      </c>
      <c r="N366" t="s">
        <v>47</v>
      </c>
      <c r="O366" t="s">
        <v>1075</v>
      </c>
      <c r="P366" s="17">
        <v>46078</v>
      </c>
      <c r="Q366" s="18">
        <v>2</v>
      </c>
      <c r="R366">
        <v>2026</v>
      </c>
      <c r="T366" t="s">
        <v>776</v>
      </c>
      <c r="U366" t="s">
        <v>1082</v>
      </c>
      <c r="V366" s="105">
        <v>71619</v>
      </c>
      <c r="W366" s="42" t="s">
        <v>1076</v>
      </c>
      <c r="Y366">
        <v>2</v>
      </c>
      <c r="Z366">
        <v>2026</v>
      </c>
    </row>
    <row r="367" spans="1:26" hidden="1">
      <c r="A367" s="17" t="s">
        <v>1079</v>
      </c>
      <c r="B367" s="17">
        <v>46078</v>
      </c>
      <c r="D367" t="s">
        <v>1080</v>
      </c>
      <c r="E367" t="s">
        <v>1081</v>
      </c>
      <c r="F367" t="s">
        <v>53</v>
      </c>
      <c r="G367" t="s">
        <v>914</v>
      </c>
      <c r="H367" t="s">
        <v>56</v>
      </c>
      <c r="J367" t="s">
        <v>911</v>
      </c>
      <c r="K367" s="9" t="s">
        <v>912</v>
      </c>
      <c r="L367" s="9" t="s">
        <v>905</v>
      </c>
      <c r="M367" s="17" t="s">
        <v>45</v>
      </c>
      <c r="N367" t="s">
        <v>47</v>
      </c>
      <c r="O367" t="s">
        <v>1075</v>
      </c>
      <c r="P367" s="17">
        <v>46078</v>
      </c>
      <c r="Q367" s="18">
        <v>2</v>
      </c>
      <c r="R367">
        <v>2026</v>
      </c>
      <c r="T367" t="s">
        <v>776</v>
      </c>
      <c r="U367" t="s">
        <v>1082</v>
      </c>
      <c r="V367" s="105">
        <v>1317098</v>
      </c>
      <c r="W367" s="42" t="s">
        <v>1076</v>
      </c>
      <c r="Y367">
        <v>2</v>
      </c>
      <c r="Z367">
        <v>2026</v>
      </c>
    </row>
    <row r="368" spans="1:26" hidden="1">
      <c r="A368" s="17" t="s">
        <v>1079</v>
      </c>
      <c r="B368" s="17">
        <v>46078</v>
      </c>
      <c r="D368" t="s">
        <v>1080</v>
      </c>
      <c r="E368" t="s">
        <v>1081</v>
      </c>
      <c r="F368" t="s">
        <v>53</v>
      </c>
      <c r="G368" t="s">
        <v>909</v>
      </c>
      <c r="H368" t="s">
        <v>56</v>
      </c>
      <c r="J368" t="s">
        <v>903</v>
      </c>
      <c r="K368" s="9" t="s">
        <v>904</v>
      </c>
      <c r="L368" s="9" t="s">
        <v>905</v>
      </c>
      <c r="M368" s="17" t="s">
        <v>45</v>
      </c>
      <c r="N368" t="s">
        <v>47</v>
      </c>
      <c r="O368" t="s">
        <v>1075</v>
      </c>
      <c r="P368" s="17">
        <v>46078</v>
      </c>
      <c r="Q368" s="18">
        <v>2</v>
      </c>
      <c r="R368">
        <v>2026</v>
      </c>
      <c r="T368" t="s">
        <v>780</v>
      </c>
      <c r="U368" t="s">
        <v>1082</v>
      </c>
      <c r="V368" s="105">
        <v>587960</v>
      </c>
      <c r="W368" s="42" t="s">
        <v>1076</v>
      </c>
      <c r="Y368">
        <v>2</v>
      </c>
      <c r="Z368">
        <v>2026</v>
      </c>
    </row>
    <row r="369" spans="1:29" hidden="1">
      <c r="A369" s="17" t="s">
        <v>1079</v>
      </c>
      <c r="B369" s="17">
        <v>46078</v>
      </c>
      <c r="D369" t="s">
        <v>1080</v>
      </c>
      <c r="E369" t="s">
        <v>1081</v>
      </c>
      <c r="F369" t="s">
        <v>53</v>
      </c>
      <c r="G369" t="s">
        <v>967</v>
      </c>
      <c r="H369" t="s">
        <v>56</v>
      </c>
      <c r="J369" t="s">
        <v>911</v>
      </c>
      <c r="K369" s="9" t="s">
        <v>912</v>
      </c>
      <c r="L369" s="9" t="s">
        <v>905</v>
      </c>
      <c r="M369" s="17" t="s">
        <v>45</v>
      </c>
      <c r="N369" t="s">
        <v>47</v>
      </c>
      <c r="O369" t="s">
        <v>1075</v>
      </c>
      <c r="P369" s="17">
        <v>46078</v>
      </c>
      <c r="Q369" s="18">
        <v>2</v>
      </c>
      <c r="R369">
        <v>2026</v>
      </c>
      <c r="T369" t="s">
        <v>776</v>
      </c>
      <c r="U369" t="s">
        <v>1082</v>
      </c>
      <c r="V369" s="105">
        <v>2197368</v>
      </c>
      <c r="W369" s="42" t="s">
        <v>1076</v>
      </c>
      <c r="Y369">
        <v>2</v>
      </c>
      <c r="Z369">
        <v>2026</v>
      </c>
    </row>
    <row r="370" spans="1:29" hidden="1">
      <c r="A370" s="17" t="s">
        <v>1079</v>
      </c>
      <c r="B370" s="17">
        <v>46078</v>
      </c>
      <c r="D370" t="s">
        <v>1080</v>
      </c>
      <c r="E370" t="s">
        <v>1081</v>
      </c>
      <c r="F370" t="s">
        <v>53</v>
      </c>
      <c r="G370" t="s">
        <v>910</v>
      </c>
      <c r="H370" t="s">
        <v>56</v>
      </c>
      <c r="J370" t="s">
        <v>903</v>
      </c>
      <c r="K370" s="9" t="s">
        <v>904</v>
      </c>
      <c r="L370" s="9" t="s">
        <v>905</v>
      </c>
      <c r="M370" s="17" t="s">
        <v>45</v>
      </c>
      <c r="N370" t="s">
        <v>47</v>
      </c>
      <c r="O370" t="s">
        <v>1075</v>
      </c>
      <c r="P370" s="17">
        <v>46078</v>
      </c>
      <c r="Q370" s="18">
        <v>2</v>
      </c>
      <c r="R370">
        <v>2026</v>
      </c>
      <c r="T370" t="s">
        <v>780</v>
      </c>
      <c r="U370" t="s">
        <v>1082</v>
      </c>
      <c r="V370" s="105">
        <v>524902</v>
      </c>
      <c r="W370" s="42" t="s">
        <v>1076</v>
      </c>
      <c r="Y370">
        <v>2</v>
      </c>
      <c r="Z370">
        <v>2026</v>
      </c>
    </row>
    <row r="371" spans="1:29">
      <c r="A371" s="117" t="s">
        <v>977</v>
      </c>
      <c r="B371" s="118">
        <v>45777</v>
      </c>
      <c r="D371" s="117" t="s">
        <v>978</v>
      </c>
      <c r="E371" s="117" t="s">
        <v>901</v>
      </c>
      <c r="F371" s="117" t="s">
        <v>53</v>
      </c>
      <c r="G371" s="117" t="s">
        <v>902</v>
      </c>
      <c r="H371" s="117" t="s">
        <v>56</v>
      </c>
      <c r="J371" s="117" t="s">
        <v>903</v>
      </c>
      <c r="K371" s="117" t="s">
        <v>904</v>
      </c>
      <c r="L371" s="117" t="s">
        <v>905</v>
      </c>
      <c r="M371" s="117" t="s">
        <v>45</v>
      </c>
      <c r="N371" s="117" t="s">
        <v>47</v>
      </c>
      <c r="O371" s="117" t="s">
        <v>979</v>
      </c>
      <c r="P371" s="118">
        <v>45777</v>
      </c>
      <c r="Q371" s="117">
        <v>4</v>
      </c>
      <c r="R371" s="117">
        <v>2025</v>
      </c>
      <c r="T371" s="117" t="s">
        <v>780</v>
      </c>
      <c r="U371" s="117" t="s">
        <v>783</v>
      </c>
      <c r="V371" s="117">
        <v>-629748</v>
      </c>
      <c r="W371" s="117" t="s">
        <v>1192</v>
      </c>
      <c r="Y371" s="117">
        <v>4</v>
      </c>
      <c r="Z371" s="117">
        <v>2025</v>
      </c>
      <c r="AC371" s="117" t="s">
        <v>1193</v>
      </c>
    </row>
    <row r="372" spans="1:29">
      <c r="A372" s="117" t="s">
        <v>992</v>
      </c>
      <c r="B372" s="118">
        <v>45834</v>
      </c>
      <c r="D372" s="117" t="s">
        <v>993</v>
      </c>
      <c r="E372" s="117" t="s">
        <v>901</v>
      </c>
      <c r="F372" s="117" t="s">
        <v>53</v>
      </c>
      <c r="G372" s="117" t="s">
        <v>908</v>
      </c>
      <c r="H372" s="117" t="s">
        <v>56</v>
      </c>
      <c r="J372" s="117" t="s">
        <v>903</v>
      </c>
      <c r="K372" s="117" t="s">
        <v>904</v>
      </c>
      <c r="L372" s="117" t="s">
        <v>905</v>
      </c>
      <c r="M372" s="117" t="s">
        <v>45</v>
      </c>
      <c r="N372" s="117" t="s">
        <v>47</v>
      </c>
      <c r="O372" s="117" t="s">
        <v>994</v>
      </c>
      <c r="P372" s="118">
        <v>45834</v>
      </c>
      <c r="Q372" s="117">
        <v>6</v>
      </c>
      <c r="R372" s="117">
        <v>2025</v>
      </c>
      <c r="T372" s="117" t="s">
        <v>780</v>
      </c>
      <c r="U372" s="117" t="s">
        <v>783</v>
      </c>
      <c r="V372" s="117">
        <v>-1115886</v>
      </c>
      <c r="W372" s="117" t="s">
        <v>1194</v>
      </c>
      <c r="Y372" s="117">
        <v>6</v>
      </c>
      <c r="Z372" s="117">
        <v>2025</v>
      </c>
      <c r="AC372" s="117" t="s">
        <v>1195</v>
      </c>
    </row>
    <row r="373" spans="1:29" hidden="1">
      <c r="A373" s="117" t="s">
        <v>1009</v>
      </c>
      <c r="B373" s="118">
        <v>45866</v>
      </c>
      <c r="D373" s="117" t="s">
        <v>1010</v>
      </c>
      <c r="E373" s="117" t="s">
        <v>901</v>
      </c>
      <c r="F373" s="117" t="s">
        <v>53</v>
      </c>
      <c r="G373" s="117" t="s">
        <v>908</v>
      </c>
      <c r="H373" s="117" t="s">
        <v>56</v>
      </c>
      <c r="J373" s="117" t="s">
        <v>903</v>
      </c>
      <c r="K373" s="117" t="s">
        <v>904</v>
      </c>
      <c r="L373" s="117" t="s">
        <v>905</v>
      </c>
      <c r="M373" s="117" t="s">
        <v>45</v>
      </c>
      <c r="N373" s="117" t="s">
        <v>47</v>
      </c>
      <c r="O373" s="117" t="s">
        <v>1011</v>
      </c>
      <c r="P373" s="118">
        <v>45866</v>
      </c>
      <c r="Q373" s="117">
        <v>7</v>
      </c>
      <c r="R373" s="117">
        <v>2025</v>
      </c>
      <c r="T373" s="117" t="s">
        <v>780</v>
      </c>
      <c r="U373" s="117" t="s">
        <v>783</v>
      </c>
      <c r="V373" s="117">
        <v>-156915</v>
      </c>
      <c r="W373" s="117" t="s">
        <v>1196</v>
      </c>
      <c r="Y373" s="117">
        <v>7</v>
      </c>
      <c r="Z373" s="117">
        <v>2025</v>
      </c>
      <c r="AC373" s="117" t="s">
        <v>1197</v>
      </c>
    </row>
    <row r="374" spans="1:29" hidden="1">
      <c r="A374" s="117" t="s">
        <v>1058</v>
      </c>
      <c r="B374" s="118">
        <v>46021</v>
      </c>
      <c r="D374" s="117" t="s">
        <v>1059</v>
      </c>
      <c r="E374" s="117" t="s">
        <v>901</v>
      </c>
      <c r="F374" s="117" t="s">
        <v>53</v>
      </c>
      <c r="G374" s="117" t="s">
        <v>902</v>
      </c>
      <c r="H374" s="117" t="s">
        <v>56</v>
      </c>
      <c r="J374" s="117" t="s">
        <v>903</v>
      </c>
      <c r="K374" s="117" t="s">
        <v>904</v>
      </c>
      <c r="L374" s="117" t="s">
        <v>905</v>
      </c>
      <c r="M374" s="117" t="s">
        <v>45</v>
      </c>
      <c r="N374" s="117" t="s">
        <v>47</v>
      </c>
      <c r="O374" s="117" t="s">
        <v>1060</v>
      </c>
      <c r="P374" s="118">
        <v>46021</v>
      </c>
      <c r="Q374" s="117">
        <v>12</v>
      </c>
      <c r="R374" s="117">
        <v>2025</v>
      </c>
      <c r="T374" s="117" t="s">
        <v>780</v>
      </c>
      <c r="U374" s="117" t="s">
        <v>783</v>
      </c>
      <c r="V374" s="117">
        <v>-581371</v>
      </c>
      <c r="W374" s="117" t="s">
        <v>1061</v>
      </c>
      <c r="Y374" s="117">
        <v>12</v>
      </c>
      <c r="Z374" s="117">
        <v>2025</v>
      </c>
      <c r="AC374" s="117" t="s">
        <v>1198</v>
      </c>
    </row>
  </sheetData>
  <autoFilter ref="A1:Z374" xr:uid="{00000000-0001-0000-0400-000000000000}">
    <filterColumn colId="14">
      <filters>
        <filter val="ACUERDOS ABRIL 2025"/>
        <filter val="ACUERDOS MAYO  2025"/>
        <filter val="Rebate mayorista dic 2025"/>
        <filter val="REBATE MAYORISTA ENERO 2025"/>
        <filter val="Rebate Mayorista mayo 2025"/>
        <filter val="Rebate retail dic 2025"/>
        <filter val="REBATE RETAIL ENERO 2025"/>
        <filter val="REBATE RETAIL MAYO 2025"/>
      </filters>
    </filterColumn>
  </autoFilter>
  <sortState xmlns:xlrd2="http://schemas.microsoft.com/office/spreadsheetml/2017/richdata2" ref="A2:R299">
    <sortCondition ref="G2"/>
  </sortState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>
    <tabColor theme="0" tint="-0.249977111117893"/>
  </sheetPr>
  <dimension ref="A1:M1"/>
  <sheetViews>
    <sheetView zoomScale="80" zoomScaleNormal="80" workbookViewId="0">
      <pane ySplit="1" topLeftCell="A2" activePane="bottomLeft" state="frozen"/>
      <selection activeCell="I18" sqref="I18"/>
      <selection pane="bottomLeft" activeCell="K1" sqref="K1:K104857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6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5" customWidth="1"/>
    <col min="11" max="11" width="11.6640625" style="25" bestFit="1" customWidth="1"/>
    <col min="12" max="12" width="17.109375" style="36" customWidth="1"/>
    <col min="13" max="13" width="5.5546875" style="9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2">
      <c r="A1" s="20" t="s">
        <v>1083</v>
      </c>
      <c r="B1" s="20" t="s">
        <v>1084</v>
      </c>
      <c r="C1" s="20" t="s">
        <v>1085</v>
      </c>
      <c r="D1" s="20" t="s">
        <v>1086</v>
      </c>
      <c r="E1" s="20" t="s">
        <v>1087</v>
      </c>
      <c r="F1" s="20" t="s">
        <v>1088</v>
      </c>
      <c r="G1" s="20" t="s">
        <v>1089</v>
      </c>
      <c r="H1" s="20" t="s">
        <v>1090</v>
      </c>
      <c r="I1" s="20" t="s">
        <v>1091</v>
      </c>
      <c r="J1" s="29" t="s">
        <v>1092</v>
      </c>
      <c r="K1" s="29" t="s">
        <v>1093</v>
      </c>
      <c r="L1" s="20" t="s">
        <v>790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119"/>
  <sheetViews>
    <sheetView showGridLines="0" topLeftCell="A13" zoomScale="80" zoomScaleNormal="80" workbookViewId="0">
      <selection activeCell="K24" sqref="K24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19" customWidth="1"/>
    <col min="18" max="18" width="13.6640625" customWidth="1"/>
    <col min="19" max="19" width="9.109375" customWidth="1"/>
  </cols>
  <sheetData>
    <row r="7" spans="2:17">
      <c r="B7" s="5" t="s">
        <v>1094</v>
      </c>
    </row>
    <row r="8" spans="2:17">
      <c r="B8" s="5" t="str">
        <f>+III_Compras_Detalladas!C2</f>
        <v>KNAUF CHILE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3" t="s">
        <v>18</v>
      </c>
      <c r="C11" s="134" t="s">
        <v>1199</v>
      </c>
    </row>
    <row r="12" spans="2:17">
      <c r="B12" s="133" t="s">
        <v>28</v>
      </c>
      <c r="C12" s="134" t="s">
        <v>1199</v>
      </c>
    </row>
    <row r="14" spans="2:17">
      <c r="B14" s="112"/>
      <c r="C14" s="112"/>
      <c r="D14" s="57" t="s">
        <v>1095</v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/>
    </row>
    <row r="15" spans="2:17">
      <c r="B15" s="112" t="s">
        <v>760</v>
      </c>
      <c r="C15" s="112" t="s">
        <v>761</v>
      </c>
      <c r="D15" s="111" t="s">
        <v>1096</v>
      </c>
      <c r="E15" s="111" t="s">
        <v>1097</v>
      </c>
      <c r="F15" s="111" t="s">
        <v>1098</v>
      </c>
      <c r="G15" s="111" t="s">
        <v>1099</v>
      </c>
      <c r="H15" s="111" t="s">
        <v>1100</v>
      </c>
      <c r="I15" s="111" t="s">
        <v>1101</v>
      </c>
      <c r="J15" s="111" t="s">
        <v>1102</v>
      </c>
      <c r="K15" s="111" t="s">
        <v>1103</v>
      </c>
      <c r="L15" s="111" t="s">
        <v>1104</v>
      </c>
      <c r="M15" s="111" t="s">
        <v>1105</v>
      </c>
      <c r="N15" s="111" t="s">
        <v>1106</v>
      </c>
      <c r="O15" s="111" t="s">
        <v>1107</v>
      </c>
      <c r="P15" s="111" t="s">
        <v>1108</v>
      </c>
      <c r="Q15"/>
    </row>
    <row r="16" spans="2:17">
      <c r="B16" s="129" t="s">
        <v>776</v>
      </c>
      <c r="C16" s="130" t="s">
        <v>754</v>
      </c>
      <c r="D16" s="59">
        <v>6835884.5999999996</v>
      </c>
      <c r="E16" s="59">
        <v>2071336.79</v>
      </c>
      <c r="F16" s="59">
        <v>11981932.75</v>
      </c>
      <c r="G16" s="59">
        <v>2234688.4000000004</v>
      </c>
      <c r="H16" s="59">
        <v>1552013.4000000001</v>
      </c>
      <c r="I16" s="59">
        <v>7117062.9100000011</v>
      </c>
      <c r="J16" s="59">
        <v>7385473.71</v>
      </c>
      <c r="K16" s="59">
        <v>17269664.09</v>
      </c>
      <c r="L16" s="59">
        <v>11465658.380000001</v>
      </c>
      <c r="M16" s="59">
        <v>11592969.4</v>
      </c>
      <c r="N16" s="59">
        <v>12456669.26</v>
      </c>
      <c r="O16" s="59">
        <v>7780906.2300000004</v>
      </c>
      <c r="P16" s="59">
        <v>99744259.920000002</v>
      </c>
      <c r="Q16"/>
    </row>
    <row r="17" spans="2:17">
      <c r="B17" s="132"/>
      <c r="C17" s="130" t="s">
        <v>755</v>
      </c>
      <c r="D17" s="59">
        <v>0</v>
      </c>
      <c r="E17" s="59">
        <v>-9636530</v>
      </c>
      <c r="F17" s="59">
        <v>0</v>
      </c>
      <c r="G17" s="59">
        <v>-10538970</v>
      </c>
      <c r="H17" s="59">
        <v>-12234236</v>
      </c>
      <c r="I17" s="59">
        <v>-5277009</v>
      </c>
      <c r="J17" s="59">
        <v>-7165158</v>
      </c>
      <c r="K17" s="59">
        <v>0</v>
      </c>
      <c r="L17" s="59">
        <v>-30215459</v>
      </c>
      <c r="M17" s="59">
        <v>-19311243</v>
      </c>
      <c r="N17" s="59">
        <v>-6855857</v>
      </c>
      <c r="O17" s="59">
        <v>-15563875</v>
      </c>
      <c r="P17" s="59">
        <v>-116798337</v>
      </c>
      <c r="Q17"/>
    </row>
    <row r="18" spans="2:17">
      <c r="B18" s="129" t="s">
        <v>1115</v>
      </c>
      <c r="C18" s="131"/>
      <c r="D18" s="60">
        <v>6835884.5999999996</v>
      </c>
      <c r="E18" s="60">
        <v>-7565193.21</v>
      </c>
      <c r="F18" s="60">
        <v>11981932.75</v>
      </c>
      <c r="G18" s="60">
        <v>-8304281.5999999996</v>
      </c>
      <c r="H18" s="60">
        <v>-10682222.6</v>
      </c>
      <c r="I18" s="60">
        <v>1840053.9100000011</v>
      </c>
      <c r="J18" s="60">
        <v>220315.70999999996</v>
      </c>
      <c r="K18" s="60">
        <v>17269664.09</v>
      </c>
      <c r="L18" s="60">
        <v>-18749800.619999997</v>
      </c>
      <c r="M18" s="60">
        <v>-7718273.5999999996</v>
      </c>
      <c r="N18" s="60">
        <v>5600812.2599999998</v>
      </c>
      <c r="O18" s="60">
        <v>-7782968.7699999996</v>
      </c>
      <c r="P18" s="60">
        <v>-17054077.079999998</v>
      </c>
      <c r="Q18"/>
    </row>
    <row r="19" spans="2:17">
      <c r="B19" s="129" t="s">
        <v>777</v>
      </c>
      <c r="C19" s="130" t="s">
        <v>754</v>
      </c>
      <c r="D19" s="59">
        <v>0</v>
      </c>
      <c r="E19" s="59">
        <v>0</v>
      </c>
      <c r="F19" s="59">
        <v>0</v>
      </c>
      <c r="G19" s="59">
        <v>0</v>
      </c>
      <c r="H19" s="59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  <c r="O19" s="59">
        <v>0</v>
      </c>
      <c r="P19" s="59">
        <v>0</v>
      </c>
      <c r="Q19"/>
    </row>
    <row r="20" spans="2:17">
      <c r="B20" s="132"/>
      <c r="C20" s="130" t="s">
        <v>755</v>
      </c>
      <c r="D20" s="59">
        <v>0</v>
      </c>
      <c r="E20" s="59">
        <v>0</v>
      </c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  <c r="O20" s="59">
        <v>0</v>
      </c>
      <c r="P20" s="59">
        <v>0</v>
      </c>
      <c r="Q20"/>
    </row>
    <row r="21" spans="2:17">
      <c r="B21" s="129" t="s">
        <v>1116</v>
      </c>
      <c r="C21" s="131"/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/>
    </row>
    <row r="22" spans="2:17">
      <c r="B22" s="129" t="s">
        <v>778</v>
      </c>
      <c r="C22" s="130" t="s">
        <v>754</v>
      </c>
      <c r="D22" s="59">
        <v>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  <c r="O22" s="59">
        <v>0</v>
      </c>
      <c r="P22" s="59">
        <v>0</v>
      </c>
      <c r="Q22"/>
    </row>
    <row r="23" spans="2:17">
      <c r="B23" s="132"/>
      <c r="C23" s="130" t="s">
        <v>755</v>
      </c>
      <c r="D23" s="59">
        <v>0</v>
      </c>
      <c r="E23" s="59">
        <v>0</v>
      </c>
      <c r="F23" s="59">
        <v>0</v>
      </c>
      <c r="G23" s="59">
        <v>0</v>
      </c>
      <c r="H23" s="59">
        <v>0</v>
      </c>
      <c r="I23" s="59">
        <v>0</v>
      </c>
      <c r="J23" s="59">
        <v>0</v>
      </c>
      <c r="K23" s="59">
        <v>0</v>
      </c>
      <c r="L23" s="59">
        <v>0</v>
      </c>
      <c r="M23" s="59">
        <v>0</v>
      </c>
      <c r="N23" s="59">
        <v>0</v>
      </c>
      <c r="O23" s="59">
        <v>0</v>
      </c>
      <c r="P23" s="59">
        <v>0</v>
      </c>
      <c r="Q23"/>
    </row>
    <row r="24" spans="2:17">
      <c r="B24" s="129" t="s">
        <v>1117</v>
      </c>
      <c r="C24" s="131"/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/>
    </row>
    <row r="25" spans="2:17">
      <c r="B25" s="129" t="s">
        <v>779</v>
      </c>
      <c r="C25" s="130" t="s">
        <v>754</v>
      </c>
      <c r="D25" s="59">
        <v>0</v>
      </c>
      <c r="E25" s="59">
        <v>0</v>
      </c>
      <c r="F25" s="59">
        <v>0</v>
      </c>
      <c r="G25" s="59">
        <v>0</v>
      </c>
      <c r="H25" s="59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  <c r="O25" s="59">
        <v>0</v>
      </c>
      <c r="P25" s="59">
        <v>0</v>
      </c>
      <c r="Q25"/>
    </row>
    <row r="26" spans="2:17">
      <c r="B26" s="132"/>
      <c r="C26" s="130" t="s">
        <v>755</v>
      </c>
      <c r="D26" s="59">
        <v>0</v>
      </c>
      <c r="E26" s="59">
        <v>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0</v>
      </c>
      <c r="P26" s="59">
        <v>0</v>
      </c>
      <c r="Q26"/>
    </row>
    <row r="27" spans="2:17">
      <c r="B27" s="129" t="s">
        <v>1118</v>
      </c>
      <c r="C27" s="131"/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/>
    </row>
    <row r="28" spans="2:17">
      <c r="B28" s="129" t="s">
        <v>780</v>
      </c>
      <c r="C28" s="130" t="s">
        <v>754</v>
      </c>
      <c r="D28" s="59">
        <v>0</v>
      </c>
      <c r="E28" s="59">
        <v>0</v>
      </c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  <c r="O28" s="59">
        <v>0</v>
      </c>
      <c r="P28" s="59">
        <v>0</v>
      </c>
      <c r="Q28"/>
    </row>
    <row r="29" spans="2:17">
      <c r="B29" s="132"/>
      <c r="C29" s="130" t="s">
        <v>755</v>
      </c>
      <c r="D29" s="59">
        <v>0</v>
      </c>
      <c r="E29" s="59">
        <v>-2638466</v>
      </c>
      <c r="F29" s="59">
        <v>0</v>
      </c>
      <c r="G29" s="59">
        <v>-1608646</v>
      </c>
      <c r="H29" s="59">
        <v>-5136871</v>
      </c>
      <c r="I29" s="59">
        <v>-2216861</v>
      </c>
      <c r="J29" s="59">
        <v>-1331508</v>
      </c>
      <c r="K29" s="59">
        <v>0</v>
      </c>
      <c r="L29" s="59">
        <v>-5761940</v>
      </c>
      <c r="M29" s="59">
        <v>-2840667</v>
      </c>
      <c r="N29" s="59">
        <v>-1556192</v>
      </c>
      <c r="O29" s="59">
        <v>-3847445</v>
      </c>
      <c r="P29" s="59">
        <v>-26938596</v>
      </c>
      <c r="Q29"/>
    </row>
    <row r="30" spans="2:17">
      <c r="B30" s="129" t="s">
        <v>1119</v>
      </c>
      <c r="C30" s="131"/>
      <c r="D30" s="60">
        <v>0</v>
      </c>
      <c r="E30" s="60">
        <v>-2638466</v>
      </c>
      <c r="F30" s="60">
        <v>0</v>
      </c>
      <c r="G30" s="60">
        <v>-1608646</v>
      </c>
      <c r="H30" s="60">
        <v>-5136871</v>
      </c>
      <c r="I30" s="60">
        <v>-2216861</v>
      </c>
      <c r="J30" s="60">
        <v>-1331508</v>
      </c>
      <c r="K30" s="60">
        <v>0</v>
      </c>
      <c r="L30" s="60">
        <v>-5761940</v>
      </c>
      <c r="M30" s="60">
        <v>-2840667</v>
      </c>
      <c r="N30" s="60">
        <v>-1556192</v>
      </c>
      <c r="O30" s="60">
        <v>-3847445</v>
      </c>
      <c r="P30" s="60">
        <v>-26938596</v>
      </c>
      <c r="Q30"/>
    </row>
    <row r="31" spans="2:17">
      <c r="B31" s="129" t="s">
        <v>781</v>
      </c>
      <c r="C31" s="130" t="s">
        <v>754</v>
      </c>
      <c r="D31" s="59">
        <v>0</v>
      </c>
      <c r="E31" s="59">
        <v>0</v>
      </c>
      <c r="F31" s="59">
        <v>0</v>
      </c>
      <c r="G31" s="59">
        <v>0</v>
      </c>
      <c r="H31" s="59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  <c r="O31" s="59">
        <v>0</v>
      </c>
      <c r="P31" s="59">
        <v>0</v>
      </c>
      <c r="Q31"/>
    </row>
    <row r="32" spans="2:17">
      <c r="B32" s="132"/>
      <c r="C32" s="130" t="s">
        <v>755</v>
      </c>
      <c r="D32" s="59">
        <v>0</v>
      </c>
      <c r="E32" s="59">
        <v>0</v>
      </c>
      <c r="F32" s="59">
        <v>0</v>
      </c>
      <c r="G32" s="59">
        <v>0</v>
      </c>
      <c r="H32" s="59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  <c r="O32" s="59">
        <v>0</v>
      </c>
      <c r="P32" s="59">
        <v>0</v>
      </c>
      <c r="Q32"/>
    </row>
    <row r="33" spans="2:17">
      <c r="B33" s="129" t="s">
        <v>1120</v>
      </c>
      <c r="C33" s="131"/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/>
    </row>
    <row r="34" spans="2:17">
      <c r="B34" s="129" t="s">
        <v>782</v>
      </c>
      <c r="C34" s="130" t="s">
        <v>754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/>
    </row>
    <row r="35" spans="2:17">
      <c r="B35" s="132"/>
      <c r="C35" s="130" t="s">
        <v>755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  <c r="O35" s="59">
        <v>0</v>
      </c>
      <c r="P35" s="59">
        <v>0</v>
      </c>
      <c r="Q35"/>
    </row>
    <row r="36" spans="2:17">
      <c r="B36" s="129" t="s">
        <v>1121</v>
      </c>
      <c r="C36" s="131"/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/>
    </row>
    <row r="37" spans="2:17">
      <c r="B37" s="127" t="s">
        <v>1109</v>
      </c>
      <c r="C37" s="128"/>
      <c r="D37" s="58">
        <v>6835884.5999999996</v>
      </c>
      <c r="E37" s="58">
        <v>-10203659.210000001</v>
      </c>
      <c r="F37" s="58">
        <v>11981932.75</v>
      </c>
      <c r="G37" s="58">
        <v>-9912927.5999999996</v>
      </c>
      <c r="H37" s="58">
        <v>-15819093.6</v>
      </c>
      <c r="I37" s="58">
        <v>-376807.08999999892</v>
      </c>
      <c r="J37" s="58">
        <v>-1111192.29</v>
      </c>
      <c r="K37" s="58">
        <v>17269664.09</v>
      </c>
      <c r="L37" s="58">
        <v>-24511740.619999997</v>
      </c>
      <c r="M37" s="58">
        <v>-10558940.6</v>
      </c>
      <c r="N37" s="58">
        <v>4044620.26</v>
      </c>
      <c r="O37" s="58">
        <v>-11630413.77</v>
      </c>
      <c r="P37" s="58">
        <v>-43992673.079999998</v>
      </c>
      <c r="Q37"/>
    </row>
    <row r="38" spans="2:17"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</sheetData>
  <mergeCells count="15">
    <mergeCell ref="B37:C37"/>
    <mergeCell ref="B31:B32"/>
    <mergeCell ref="B33:C33"/>
    <mergeCell ref="B34:B35"/>
    <mergeCell ref="B36:C36"/>
    <mergeCell ref="B24:C24"/>
    <mergeCell ref="B25:B26"/>
    <mergeCell ref="B27:C27"/>
    <mergeCell ref="B28:B29"/>
    <mergeCell ref="B30:C30"/>
    <mergeCell ref="B16:B17"/>
    <mergeCell ref="B18:C18"/>
    <mergeCell ref="B19:B20"/>
    <mergeCell ref="B21:C21"/>
    <mergeCell ref="B22:B23"/>
  </mergeCells>
  <pageMargins left="0.7" right="0.7" top="0.75" bottom="0.75" header="0.3" footer="0.3"/>
  <pageSetup orientation="portrait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3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1" t="s">
        <v>16</v>
      </c>
      <c r="B1" s="11" t="s">
        <v>18</v>
      </c>
      <c r="C1" s="11" t="s">
        <v>28</v>
      </c>
      <c r="D1" s="11" t="s">
        <v>774</v>
      </c>
      <c r="E1" s="11" t="s">
        <v>835</v>
      </c>
      <c r="F1" s="11" t="s">
        <v>836</v>
      </c>
      <c r="G1" s="11" t="s">
        <v>837</v>
      </c>
      <c r="H1" s="11" t="s">
        <v>838</v>
      </c>
      <c r="I1" s="11" t="s">
        <v>839</v>
      </c>
      <c r="J1" s="11" t="s">
        <v>840</v>
      </c>
      <c r="K1" s="11" t="s">
        <v>841</v>
      </c>
      <c r="L1" s="11" t="s">
        <v>842</v>
      </c>
      <c r="M1" s="11" t="s">
        <v>843</v>
      </c>
      <c r="N1" s="11" t="s">
        <v>844</v>
      </c>
      <c r="O1" s="11" t="s">
        <v>845</v>
      </c>
      <c r="P1" s="11" t="s">
        <v>846</v>
      </c>
    </row>
    <row r="2" spans="1:16">
      <c r="A2" t="s">
        <v>45</v>
      </c>
      <c r="B2" t="s">
        <v>47</v>
      </c>
      <c r="C2" t="s">
        <v>84</v>
      </c>
      <c r="D2">
        <v>9962010</v>
      </c>
      <c r="E2" s="9">
        <v>0</v>
      </c>
      <c r="F2" s="9"/>
      <c r="G2" s="9"/>
      <c r="H2" s="9"/>
      <c r="I2" s="9"/>
      <c r="J2" s="9">
        <v>0</v>
      </c>
      <c r="K2" s="9"/>
      <c r="L2" s="9"/>
      <c r="M2" s="9">
        <v>1431300</v>
      </c>
      <c r="N2" s="9">
        <v>6462339</v>
      </c>
      <c r="O2" s="9"/>
      <c r="P2" s="9">
        <v>2068371</v>
      </c>
    </row>
    <row r="3" spans="1:16">
      <c r="A3" t="s">
        <v>45</v>
      </c>
      <c r="B3" t="s">
        <v>47</v>
      </c>
      <c r="C3" t="s">
        <v>56</v>
      </c>
      <c r="D3">
        <v>1651672308</v>
      </c>
      <c r="E3">
        <v>82900096</v>
      </c>
      <c r="F3">
        <v>61201818</v>
      </c>
      <c r="G3">
        <v>152035365</v>
      </c>
      <c r="H3">
        <v>50688350</v>
      </c>
      <c r="I3">
        <v>38162448</v>
      </c>
      <c r="J3">
        <v>109587065</v>
      </c>
      <c r="K3">
        <v>118554634</v>
      </c>
      <c r="L3">
        <v>212343917</v>
      </c>
      <c r="M3">
        <v>165819852</v>
      </c>
      <c r="N3">
        <v>167521834</v>
      </c>
      <c r="O3">
        <v>146679209</v>
      </c>
      <c r="P3">
        <v>346177720</v>
      </c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33"/>
  <sheetViews>
    <sheetView zoomScale="80" zoomScaleNormal="80" workbookViewId="0">
      <pane ySplit="1" topLeftCell="A2" activePane="bottomLeft" state="frozen"/>
      <selection activeCell="J25" sqref="J25"/>
      <selection pane="bottomLeft" activeCell="H49" sqref="H49"/>
    </sheetView>
  </sheetViews>
  <sheetFormatPr baseColWidth="10" defaultColWidth="9.109375" defaultRowHeight="14.4"/>
  <cols>
    <col min="1" max="1" width="17.33203125" style="48" customWidth="1"/>
    <col min="2" max="2" width="37" style="48" customWidth="1"/>
    <col min="3" max="3" width="10.5546875" style="48" bestFit="1" customWidth="1"/>
    <col min="4" max="4" width="26.44140625" style="48" customWidth="1"/>
    <col min="5" max="5" width="23.44140625" style="48" customWidth="1"/>
    <col min="6" max="6" width="30.6640625" style="48" bestFit="1" customWidth="1"/>
    <col min="7" max="18" width="13.6640625" style="52" customWidth="1"/>
    <col min="19" max="19" width="9.109375" customWidth="1"/>
  </cols>
  <sheetData>
    <row r="1" spans="1:18">
      <c r="A1" s="28" t="s">
        <v>1110</v>
      </c>
      <c r="B1" s="28" t="s">
        <v>1111</v>
      </c>
      <c r="C1" s="28" t="s">
        <v>1112</v>
      </c>
      <c r="D1" s="28" t="s">
        <v>1113</v>
      </c>
      <c r="E1" s="28" t="s">
        <v>1114</v>
      </c>
      <c r="F1" s="28" t="s">
        <v>834</v>
      </c>
      <c r="G1" s="28" t="str">
        <f>+IV_Compras_Totales_Base!E1</f>
        <v>202501</v>
      </c>
      <c r="H1" s="28" t="str">
        <f>+IV_Compras_Totales_Base!F1</f>
        <v>202502</v>
      </c>
      <c r="I1" s="28" t="str">
        <f>+IV_Compras_Totales_Base!G1</f>
        <v>202503</v>
      </c>
      <c r="J1" s="28" t="str">
        <f>+IV_Compras_Totales_Base!H1</f>
        <v>202504</v>
      </c>
      <c r="K1" s="28" t="str">
        <f>+IV_Compras_Totales_Base!I1</f>
        <v>202505</v>
      </c>
      <c r="L1" s="28" t="str">
        <f>+IV_Compras_Totales_Base!J1</f>
        <v>202506</v>
      </c>
      <c r="M1" s="28" t="str">
        <f>+IV_Compras_Totales_Base!K1</f>
        <v>202507</v>
      </c>
      <c r="N1" s="28" t="str">
        <f>+IV_Compras_Totales_Base!L1</f>
        <v>202508</v>
      </c>
      <c r="O1" s="28" t="str">
        <f>+IV_Compras_Totales_Base!M1</f>
        <v>202509</v>
      </c>
      <c r="P1" s="28" t="str">
        <f>+IV_Compras_Totales_Base!N1</f>
        <v>202510</v>
      </c>
      <c r="Q1" s="28" t="str">
        <f>+IV_Compras_Totales_Base!O1</f>
        <v>202511</v>
      </c>
      <c r="R1" s="28" t="str">
        <f>+IV_Compras_Totales_Base!P1</f>
        <v>202512</v>
      </c>
    </row>
    <row r="2" spans="1:18">
      <c r="A2" s="48" t="s">
        <v>45</v>
      </c>
      <c r="B2" s="48" t="s">
        <v>775</v>
      </c>
      <c r="C2" s="48" t="s">
        <v>84</v>
      </c>
      <c r="D2" s="48" t="s">
        <v>776</v>
      </c>
      <c r="E2" s="48" t="s">
        <v>58</v>
      </c>
      <c r="F2" s="48" t="s">
        <v>847</v>
      </c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</row>
    <row r="3" spans="1:18">
      <c r="A3" s="48" t="s">
        <v>45</v>
      </c>
      <c r="B3" s="48" t="s">
        <v>775</v>
      </c>
      <c r="C3" s="48" t="s">
        <v>84</v>
      </c>
      <c r="D3" s="48" t="s">
        <v>777</v>
      </c>
      <c r="E3" s="48" t="s">
        <v>58</v>
      </c>
      <c r="F3" s="48" t="s">
        <v>848</v>
      </c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 t="s">
        <v>45</v>
      </c>
      <c r="B4" s="48" t="s">
        <v>775</v>
      </c>
      <c r="C4" s="48" t="s">
        <v>84</v>
      </c>
      <c r="D4" s="48" t="s">
        <v>778</v>
      </c>
      <c r="E4" s="48" t="s">
        <v>58</v>
      </c>
      <c r="F4" s="48" t="s">
        <v>849</v>
      </c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 t="s">
        <v>45</v>
      </c>
      <c r="B5" s="48" t="s">
        <v>775</v>
      </c>
      <c r="C5" s="48" t="s">
        <v>84</v>
      </c>
      <c r="D5" s="48" t="s">
        <v>779</v>
      </c>
      <c r="E5" s="48" t="s">
        <v>58</v>
      </c>
      <c r="F5" s="48" t="s">
        <v>850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 t="s">
        <v>45</v>
      </c>
      <c r="B6" s="48" t="s">
        <v>775</v>
      </c>
      <c r="C6" s="48" t="s">
        <v>84</v>
      </c>
      <c r="D6" s="48" t="s">
        <v>780</v>
      </c>
      <c r="E6" s="48" t="s">
        <v>58</v>
      </c>
      <c r="F6" s="48" t="s">
        <v>851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 t="s">
        <v>45</v>
      </c>
      <c r="B7" s="48" t="s">
        <v>775</v>
      </c>
      <c r="C7" s="48" t="s">
        <v>84</v>
      </c>
      <c r="D7" s="48" t="s">
        <v>781</v>
      </c>
      <c r="E7" s="48" t="s">
        <v>58</v>
      </c>
      <c r="F7" s="48" t="s">
        <v>852</v>
      </c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 t="s">
        <v>45</v>
      </c>
      <c r="B8" s="48" t="s">
        <v>775</v>
      </c>
      <c r="C8" s="48" t="s">
        <v>84</v>
      </c>
      <c r="D8" s="48" t="s">
        <v>782</v>
      </c>
      <c r="E8" s="48" t="s">
        <v>58</v>
      </c>
      <c r="F8" s="48" t="s">
        <v>853</v>
      </c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50" t="s">
        <v>45</v>
      </c>
      <c r="B9" s="50" t="s">
        <v>775</v>
      </c>
      <c r="C9" s="50" t="s">
        <v>84</v>
      </c>
      <c r="D9" s="50" t="s">
        <v>783</v>
      </c>
      <c r="E9" s="50" t="s">
        <v>58</v>
      </c>
      <c r="F9" s="50" t="s">
        <v>854</v>
      </c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1:18">
      <c r="A10" s="48" t="s">
        <v>45</v>
      </c>
      <c r="B10" s="48" t="s">
        <v>775</v>
      </c>
      <c r="C10" s="48" t="s">
        <v>757</v>
      </c>
      <c r="D10" s="48" t="s">
        <v>776</v>
      </c>
      <c r="E10" s="48" t="s">
        <v>58</v>
      </c>
      <c r="F10" s="48" t="s">
        <v>855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 t="s">
        <v>45</v>
      </c>
      <c r="B11" s="48" t="s">
        <v>775</v>
      </c>
      <c r="C11" s="48" t="s">
        <v>757</v>
      </c>
      <c r="D11" s="48" t="s">
        <v>777</v>
      </c>
      <c r="E11" s="48" t="s">
        <v>58</v>
      </c>
      <c r="F11" s="48" t="s">
        <v>856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 t="s">
        <v>45</v>
      </c>
      <c r="B12" s="48" t="s">
        <v>775</v>
      </c>
      <c r="C12" s="48" t="s">
        <v>757</v>
      </c>
      <c r="D12" s="48" t="s">
        <v>778</v>
      </c>
      <c r="E12" s="48" t="s">
        <v>58</v>
      </c>
      <c r="F12" s="48" t="s">
        <v>857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 t="s">
        <v>45</v>
      </c>
      <c r="B13" s="48" t="s">
        <v>775</v>
      </c>
      <c r="C13" s="48" t="s">
        <v>757</v>
      </c>
      <c r="D13" s="48" t="s">
        <v>779</v>
      </c>
      <c r="E13" s="48" t="s">
        <v>58</v>
      </c>
      <c r="F13" s="48" t="s">
        <v>858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 t="s">
        <v>45</v>
      </c>
      <c r="B14" s="48" t="s">
        <v>775</v>
      </c>
      <c r="C14" s="48" t="s">
        <v>757</v>
      </c>
      <c r="D14" s="48" t="s">
        <v>780</v>
      </c>
      <c r="E14" s="48" t="s">
        <v>58</v>
      </c>
      <c r="F14" s="48" t="s">
        <v>859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 t="s">
        <v>45</v>
      </c>
      <c r="B15" s="48" t="s">
        <v>775</v>
      </c>
      <c r="C15" s="48" t="s">
        <v>757</v>
      </c>
      <c r="D15" s="48" t="s">
        <v>781</v>
      </c>
      <c r="E15" s="48" t="s">
        <v>58</v>
      </c>
      <c r="F15" s="48" t="s">
        <v>860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 t="s">
        <v>45</v>
      </c>
      <c r="B16" s="48" t="s">
        <v>775</v>
      </c>
      <c r="C16" s="48" t="s">
        <v>757</v>
      </c>
      <c r="D16" s="48" t="s">
        <v>782</v>
      </c>
      <c r="E16" s="48" t="s">
        <v>58</v>
      </c>
      <c r="F16" s="48" t="s">
        <v>861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50" t="s">
        <v>45</v>
      </c>
      <c r="B17" s="50" t="s">
        <v>775</v>
      </c>
      <c r="C17" s="50" t="s">
        <v>757</v>
      </c>
      <c r="D17" s="50" t="s">
        <v>783</v>
      </c>
      <c r="E17" s="50" t="s">
        <v>58</v>
      </c>
      <c r="F17" s="50" t="s">
        <v>862</v>
      </c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</row>
    <row r="18" spans="1:18">
      <c r="A18" s="48" t="s">
        <v>45</v>
      </c>
      <c r="B18" s="48" t="s">
        <v>775</v>
      </c>
      <c r="C18" s="48" t="s">
        <v>56</v>
      </c>
      <c r="D18" s="48" t="s">
        <v>776</v>
      </c>
      <c r="E18" s="48" t="s">
        <v>58</v>
      </c>
      <c r="F18" s="48" t="s">
        <v>863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 t="s">
        <v>45</v>
      </c>
      <c r="B19" s="48" t="s">
        <v>775</v>
      </c>
      <c r="C19" s="48" t="s">
        <v>56</v>
      </c>
      <c r="D19" s="48" t="s">
        <v>777</v>
      </c>
      <c r="E19" s="48" t="s">
        <v>58</v>
      </c>
      <c r="F19" s="48" t="s">
        <v>864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 t="s">
        <v>45</v>
      </c>
      <c r="B20" s="48" t="s">
        <v>775</v>
      </c>
      <c r="C20" s="48" t="s">
        <v>56</v>
      </c>
      <c r="D20" s="48" t="s">
        <v>778</v>
      </c>
      <c r="E20" s="48" t="s">
        <v>58</v>
      </c>
      <c r="F20" s="48" t="s">
        <v>865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48" t="s">
        <v>45</v>
      </c>
      <c r="B21" s="48" t="s">
        <v>775</v>
      </c>
      <c r="C21" s="48" t="s">
        <v>56</v>
      </c>
      <c r="D21" s="48" t="s">
        <v>779</v>
      </c>
      <c r="E21" s="48" t="s">
        <v>58</v>
      </c>
      <c r="F21" s="48" t="s">
        <v>866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48" t="s">
        <v>45</v>
      </c>
      <c r="B22" s="48" t="s">
        <v>775</v>
      </c>
      <c r="C22" s="48" t="s">
        <v>56</v>
      </c>
      <c r="D22" s="48" t="s">
        <v>780</v>
      </c>
      <c r="E22" s="48" t="s">
        <v>58</v>
      </c>
      <c r="F22" s="48" t="s">
        <v>867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48" t="s">
        <v>45</v>
      </c>
      <c r="B23" s="48" t="s">
        <v>775</v>
      </c>
      <c r="C23" s="48" t="s">
        <v>56</v>
      </c>
      <c r="D23" s="48" t="s">
        <v>781</v>
      </c>
      <c r="E23" s="48" t="s">
        <v>58</v>
      </c>
      <c r="F23" s="48" t="s">
        <v>868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48" t="s">
        <v>45</v>
      </c>
      <c r="B24" s="48" t="s">
        <v>775</v>
      </c>
      <c r="C24" s="48" t="s">
        <v>56</v>
      </c>
      <c r="D24" s="48" t="s">
        <v>782</v>
      </c>
      <c r="E24" s="48" t="s">
        <v>58</v>
      </c>
      <c r="F24" s="48" t="s">
        <v>869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0" t="s">
        <v>45</v>
      </c>
      <c r="B25" s="50" t="s">
        <v>775</v>
      </c>
      <c r="C25" s="50" t="s">
        <v>56</v>
      </c>
      <c r="D25" s="50" t="s">
        <v>783</v>
      </c>
      <c r="E25" s="50" t="s">
        <v>58</v>
      </c>
      <c r="F25" s="50" t="s">
        <v>870</v>
      </c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</row>
    <row r="26" spans="1:18">
      <c r="A26" s="48" t="s">
        <v>45</v>
      </c>
      <c r="B26" s="48" t="s">
        <v>775</v>
      </c>
      <c r="C26" s="48" t="s">
        <v>758</v>
      </c>
      <c r="D26" s="48" t="s">
        <v>776</v>
      </c>
      <c r="E26" s="48" t="s">
        <v>58</v>
      </c>
      <c r="F26" s="48" t="s">
        <v>871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>
      <c r="A27" s="48" t="s">
        <v>45</v>
      </c>
      <c r="B27" s="48" t="s">
        <v>775</v>
      </c>
      <c r="C27" s="48" t="s">
        <v>758</v>
      </c>
      <c r="D27" s="48" t="s">
        <v>777</v>
      </c>
      <c r="E27" s="48" t="s">
        <v>58</v>
      </c>
      <c r="F27" s="48" t="s">
        <v>872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>
      <c r="A28" s="48" t="s">
        <v>45</v>
      </c>
      <c r="B28" s="48" t="s">
        <v>775</v>
      </c>
      <c r="C28" s="48" t="s">
        <v>758</v>
      </c>
      <c r="D28" s="48" t="s">
        <v>778</v>
      </c>
      <c r="E28" s="48" t="s">
        <v>58</v>
      </c>
      <c r="F28" s="48" t="s">
        <v>873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>
      <c r="A29" s="48" t="s">
        <v>45</v>
      </c>
      <c r="B29" s="48" t="s">
        <v>775</v>
      </c>
      <c r="C29" s="48" t="s">
        <v>758</v>
      </c>
      <c r="D29" s="48" t="s">
        <v>779</v>
      </c>
      <c r="E29" s="48" t="s">
        <v>58</v>
      </c>
      <c r="F29" s="48" t="s">
        <v>874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>
      <c r="A30" s="48" t="s">
        <v>45</v>
      </c>
      <c r="B30" s="48" t="s">
        <v>775</v>
      </c>
      <c r="C30" s="48" t="s">
        <v>758</v>
      </c>
      <c r="D30" s="48" t="s">
        <v>780</v>
      </c>
      <c r="E30" s="48" t="s">
        <v>58</v>
      </c>
      <c r="F30" s="48" t="s">
        <v>875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>
      <c r="A31" s="48" t="s">
        <v>45</v>
      </c>
      <c r="B31" s="48" t="s">
        <v>775</v>
      </c>
      <c r="C31" s="48" t="s">
        <v>758</v>
      </c>
      <c r="D31" s="48" t="s">
        <v>781</v>
      </c>
      <c r="E31" s="48" t="s">
        <v>58</v>
      </c>
      <c r="F31" s="48" t="s">
        <v>876</v>
      </c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>
      <c r="A32" s="48" t="s">
        <v>45</v>
      </c>
      <c r="B32" s="48" t="s">
        <v>775</v>
      </c>
      <c r="C32" s="48" t="s">
        <v>758</v>
      </c>
      <c r="D32" s="48" t="s">
        <v>782</v>
      </c>
      <c r="E32" s="48" t="s">
        <v>58</v>
      </c>
      <c r="F32" s="48" t="s">
        <v>877</v>
      </c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>
      <c r="A33" s="50" t="s">
        <v>45</v>
      </c>
      <c r="B33" s="50" t="s">
        <v>775</v>
      </c>
      <c r="C33" s="50" t="s">
        <v>758</v>
      </c>
      <c r="D33" s="50" t="s">
        <v>783</v>
      </c>
      <c r="E33" s="50" t="s">
        <v>58</v>
      </c>
      <c r="F33" s="50" t="s">
        <v>878</v>
      </c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</sheetData>
  <conditionalFormatting sqref="A9:F9">
    <cfRule type="expression" dxfId="276" priority="207">
      <formula>$A$2&lt;&gt;""</formula>
    </cfRule>
  </conditionalFormatting>
  <conditionalFormatting sqref="A17:R17">
    <cfRule type="expression" dxfId="275" priority="176">
      <formula>$A$2&lt;&gt;""</formula>
    </cfRule>
  </conditionalFormatting>
  <conditionalFormatting sqref="A25:R25">
    <cfRule type="expression" dxfId="274" priority="175">
      <formula>$A$2&lt;&gt;""</formula>
    </cfRule>
  </conditionalFormatting>
  <conditionalFormatting sqref="A33:R33">
    <cfRule type="expression" dxfId="273" priority="174">
      <formula>$A$2&lt;&gt;""</formula>
    </cfRule>
  </conditionalFormatting>
  <conditionalFormatting sqref="A41:R41">
    <cfRule type="expression" dxfId="272" priority="173">
      <formula>$A$2&lt;&gt;""</formula>
    </cfRule>
  </conditionalFormatting>
  <conditionalFormatting sqref="A49:R49">
    <cfRule type="expression" dxfId="271" priority="172">
      <formula>$A$2&lt;&gt;""</formula>
    </cfRule>
  </conditionalFormatting>
  <conditionalFormatting sqref="A57:R57">
    <cfRule type="expression" dxfId="270" priority="171">
      <formula>$A$2&lt;&gt;""</formula>
    </cfRule>
  </conditionalFormatting>
  <conditionalFormatting sqref="A65:R65">
    <cfRule type="expression" dxfId="269" priority="170">
      <formula>$A$2&lt;&gt;""</formula>
    </cfRule>
  </conditionalFormatting>
  <conditionalFormatting sqref="A73:R73">
    <cfRule type="expression" dxfId="268" priority="169">
      <formula>$A$2&lt;&gt;""</formula>
    </cfRule>
  </conditionalFormatting>
  <conditionalFormatting sqref="A81:R81">
    <cfRule type="expression" dxfId="267" priority="168">
      <formula>$A$2&lt;&gt;""</formula>
    </cfRule>
  </conditionalFormatting>
  <conditionalFormatting sqref="A89:R89">
    <cfRule type="expression" dxfId="266" priority="167">
      <formula>$A$2&lt;&gt;""</formula>
    </cfRule>
  </conditionalFormatting>
  <conditionalFormatting sqref="A97:R97">
    <cfRule type="expression" dxfId="265" priority="166">
      <formula>$A$2&lt;&gt;""</formula>
    </cfRule>
  </conditionalFormatting>
  <conditionalFormatting sqref="A105:R105">
    <cfRule type="expression" dxfId="264" priority="165">
      <formula>$A$2&lt;&gt;""</formula>
    </cfRule>
  </conditionalFormatting>
  <conditionalFormatting sqref="A113:R113">
    <cfRule type="expression" dxfId="263" priority="164">
      <formula>$A$2&lt;&gt;""</formula>
    </cfRule>
  </conditionalFormatting>
  <conditionalFormatting sqref="A121:R121">
    <cfRule type="expression" dxfId="262" priority="163">
      <formula>$A$2&lt;&gt;""</formula>
    </cfRule>
  </conditionalFormatting>
  <conditionalFormatting sqref="A129:R129">
    <cfRule type="expression" dxfId="261" priority="162">
      <formula>$A$2&lt;&gt;""</formula>
    </cfRule>
  </conditionalFormatting>
  <conditionalFormatting sqref="A137:R137">
    <cfRule type="expression" dxfId="260" priority="161">
      <formula>$A$2&lt;&gt;""</formula>
    </cfRule>
  </conditionalFormatting>
  <conditionalFormatting sqref="A145:R145">
    <cfRule type="expression" dxfId="259" priority="160">
      <formula>$A$2&lt;&gt;""</formula>
    </cfRule>
  </conditionalFormatting>
  <conditionalFormatting sqref="A153:R153">
    <cfRule type="expression" dxfId="258" priority="159">
      <formula>$A$2&lt;&gt;""</formula>
    </cfRule>
  </conditionalFormatting>
  <conditionalFormatting sqref="A161:R161">
    <cfRule type="expression" dxfId="257" priority="158">
      <formula>$A$2&lt;&gt;""</formula>
    </cfRule>
  </conditionalFormatting>
  <conditionalFormatting sqref="A169:R169">
    <cfRule type="expression" dxfId="256" priority="157">
      <formula>$A$2&lt;&gt;""</formula>
    </cfRule>
  </conditionalFormatting>
  <conditionalFormatting sqref="A177:R177">
    <cfRule type="expression" dxfId="255" priority="156">
      <formula>$A$2&lt;&gt;""</formula>
    </cfRule>
  </conditionalFormatting>
  <conditionalFormatting sqref="A185:R185">
    <cfRule type="expression" dxfId="254" priority="155">
      <formula>$A$2&lt;&gt;""</formula>
    </cfRule>
  </conditionalFormatting>
  <conditionalFormatting sqref="A193:R193">
    <cfRule type="expression" dxfId="253" priority="154">
      <formula>$A$2&lt;&gt;""</formula>
    </cfRule>
  </conditionalFormatting>
  <conditionalFormatting sqref="A201:R201">
    <cfRule type="expression" dxfId="252" priority="153">
      <formula>$A$2&lt;&gt;""</formula>
    </cfRule>
  </conditionalFormatting>
  <conditionalFormatting sqref="A209:R209">
    <cfRule type="expression" dxfId="251" priority="152">
      <formula>$A$2&lt;&gt;""</formula>
    </cfRule>
  </conditionalFormatting>
  <conditionalFormatting sqref="A217:R217">
    <cfRule type="expression" dxfId="250" priority="151">
      <formula>$A$2&lt;&gt;""</formula>
    </cfRule>
  </conditionalFormatting>
  <conditionalFormatting sqref="A225:R225">
    <cfRule type="expression" dxfId="249" priority="150">
      <formula>$A$2&lt;&gt;""</formula>
    </cfRule>
  </conditionalFormatting>
  <conditionalFormatting sqref="A233:R233">
    <cfRule type="expression" dxfId="248" priority="149">
      <formula>$A$2&lt;&gt;""</formula>
    </cfRule>
  </conditionalFormatting>
  <conditionalFormatting sqref="A241:R241">
    <cfRule type="expression" dxfId="247" priority="148">
      <formula>$A$2&lt;&gt;""</formula>
    </cfRule>
  </conditionalFormatting>
  <conditionalFormatting sqref="A249:R249">
    <cfRule type="expression" dxfId="246" priority="147">
      <formula>$A$2&lt;&gt;""</formula>
    </cfRule>
  </conditionalFormatting>
  <conditionalFormatting sqref="A257:R257">
    <cfRule type="expression" dxfId="245" priority="146">
      <formula>$A$2&lt;&gt;""</formula>
    </cfRule>
  </conditionalFormatting>
  <conditionalFormatting sqref="A265:R265">
    <cfRule type="expression" dxfId="244" priority="145">
      <formula>$A$2&lt;&gt;""</formula>
    </cfRule>
  </conditionalFormatting>
  <conditionalFormatting sqref="A273:R273">
    <cfRule type="expression" dxfId="243" priority="144">
      <formula>$A$2&lt;&gt;""</formula>
    </cfRule>
  </conditionalFormatting>
  <conditionalFormatting sqref="A281:R281">
    <cfRule type="expression" dxfId="242" priority="143">
      <formula>$A$2&lt;&gt;""</formula>
    </cfRule>
  </conditionalFormatting>
  <conditionalFormatting sqref="A289:R289">
    <cfRule type="expression" dxfId="241" priority="142">
      <formula>$A$2&lt;&gt;""</formula>
    </cfRule>
  </conditionalFormatting>
  <conditionalFormatting sqref="A297:R297">
    <cfRule type="expression" dxfId="240" priority="141">
      <formula>$A$2&lt;&gt;""</formula>
    </cfRule>
  </conditionalFormatting>
  <conditionalFormatting sqref="A305:R305">
    <cfRule type="expression" dxfId="239" priority="140">
      <formula>$A$2&lt;&gt;""</formula>
    </cfRule>
  </conditionalFormatting>
  <conditionalFormatting sqref="A313:R313">
    <cfRule type="expression" dxfId="238" priority="139">
      <formula>$A$2&lt;&gt;""</formula>
    </cfRule>
  </conditionalFormatting>
  <conditionalFormatting sqref="A321:R321">
    <cfRule type="expression" dxfId="237" priority="138">
      <formula>$A$2&lt;&gt;""</formula>
    </cfRule>
  </conditionalFormatting>
  <conditionalFormatting sqref="A329:R329">
    <cfRule type="expression" dxfId="236" priority="137">
      <formula>$A$2&lt;&gt;""</formula>
    </cfRule>
  </conditionalFormatting>
  <conditionalFormatting sqref="A337:R337">
    <cfRule type="expression" dxfId="235" priority="136">
      <formula>$A$2&lt;&gt;""</formula>
    </cfRule>
  </conditionalFormatting>
  <conditionalFormatting sqref="A345:R345">
    <cfRule type="expression" dxfId="234" priority="135">
      <formula>$A$2&lt;&gt;""</formula>
    </cfRule>
  </conditionalFormatting>
  <conditionalFormatting sqref="A353:R353">
    <cfRule type="expression" dxfId="233" priority="134">
      <formula>$A$2&lt;&gt;""</formula>
    </cfRule>
  </conditionalFormatting>
  <conditionalFormatting sqref="A361:R361">
    <cfRule type="expression" dxfId="232" priority="133">
      <formula>$A$2&lt;&gt;""</formula>
    </cfRule>
  </conditionalFormatting>
  <conditionalFormatting sqref="A369:R369">
    <cfRule type="expression" dxfId="231" priority="132">
      <formula>$A$2&lt;&gt;""</formula>
    </cfRule>
  </conditionalFormatting>
  <conditionalFormatting sqref="A377:R377">
    <cfRule type="expression" dxfId="230" priority="131">
      <formula>$A$2&lt;&gt;""</formula>
    </cfRule>
  </conditionalFormatting>
  <conditionalFormatting sqref="A385:R385">
    <cfRule type="expression" dxfId="229" priority="130">
      <formula>$A$2&lt;&gt;""</formula>
    </cfRule>
  </conditionalFormatting>
  <conditionalFormatting sqref="A393:R393">
    <cfRule type="expression" dxfId="228" priority="129">
      <formula>$A$2&lt;&gt;""</formula>
    </cfRule>
  </conditionalFormatting>
  <conditionalFormatting sqref="A401:R401">
    <cfRule type="expression" dxfId="227" priority="128">
      <formula>$A$2&lt;&gt;""</formula>
    </cfRule>
  </conditionalFormatting>
  <conditionalFormatting sqref="A409:R409">
    <cfRule type="expression" dxfId="226" priority="127">
      <formula>$A$2&lt;&gt;""</formula>
    </cfRule>
  </conditionalFormatting>
  <conditionalFormatting sqref="A417:R417">
    <cfRule type="expression" dxfId="225" priority="126">
      <formula>$A$2&lt;&gt;""</formula>
    </cfRule>
  </conditionalFormatting>
  <conditionalFormatting sqref="A425:R425">
    <cfRule type="expression" dxfId="224" priority="125">
      <formula>$A$2&lt;&gt;""</formula>
    </cfRule>
  </conditionalFormatting>
  <conditionalFormatting sqref="A433:R433">
    <cfRule type="expression" dxfId="223" priority="124">
      <formula>$A$2&lt;&gt;""</formula>
    </cfRule>
  </conditionalFormatting>
  <conditionalFormatting sqref="A441:R441">
    <cfRule type="expression" dxfId="222" priority="123">
      <formula>$A$2&lt;&gt;""</formula>
    </cfRule>
  </conditionalFormatting>
  <conditionalFormatting sqref="A449:R449">
    <cfRule type="expression" dxfId="221" priority="122">
      <formula>$A$2&lt;&gt;""</formula>
    </cfRule>
  </conditionalFormatting>
  <conditionalFormatting sqref="A457:R457">
    <cfRule type="expression" dxfId="220" priority="121">
      <formula>$A$2&lt;&gt;""</formula>
    </cfRule>
  </conditionalFormatting>
  <conditionalFormatting sqref="A465:R465">
    <cfRule type="expression" dxfId="219" priority="120">
      <formula>$A$2&lt;&gt;""</formula>
    </cfRule>
  </conditionalFormatting>
  <conditionalFormatting sqref="A473:R473">
    <cfRule type="expression" dxfId="218" priority="119">
      <formula>$A$2&lt;&gt;""</formula>
    </cfRule>
  </conditionalFormatting>
  <conditionalFormatting sqref="A481:R481">
    <cfRule type="expression" dxfId="217" priority="118">
      <formula>$A$2&lt;&gt;""</formula>
    </cfRule>
  </conditionalFormatting>
  <conditionalFormatting sqref="A489:R489">
    <cfRule type="expression" dxfId="216" priority="117">
      <formula>$A$2&lt;&gt;""</formula>
    </cfRule>
  </conditionalFormatting>
  <conditionalFormatting sqref="A497:R497">
    <cfRule type="expression" dxfId="215" priority="116">
      <formula>$A$2&lt;&gt;""</formula>
    </cfRule>
  </conditionalFormatting>
  <conditionalFormatting sqref="A505:R505">
    <cfRule type="expression" dxfId="214" priority="115">
      <formula>$A$2&lt;&gt;""</formula>
    </cfRule>
  </conditionalFormatting>
  <conditionalFormatting sqref="A513:R513">
    <cfRule type="expression" dxfId="213" priority="114">
      <formula>$A$2&lt;&gt;""</formula>
    </cfRule>
  </conditionalFormatting>
  <conditionalFormatting sqref="A521:R521">
    <cfRule type="expression" dxfId="212" priority="113">
      <formula>$A$2&lt;&gt;""</formula>
    </cfRule>
  </conditionalFormatting>
  <conditionalFormatting sqref="A529:R529">
    <cfRule type="expression" dxfId="211" priority="112">
      <formula>$A$2&lt;&gt;""</formula>
    </cfRule>
  </conditionalFormatting>
  <conditionalFormatting sqref="A537:R537">
    <cfRule type="expression" dxfId="210" priority="111">
      <formula>$A$2&lt;&gt;""</formula>
    </cfRule>
  </conditionalFormatting>
  <conditionalFormatting sqref="A545:R545">
    <cfRule type="expression" dxfId="209" priority="110">
      <formula>$A$2&lt;&gt;""</formula>
    </cfRule>
  </conditionalFormatting>
  <conditionalFormatting sqref="A553:R553">
    <cfRule type="expression" dxfId="208" priority="109">
      <formula>$A$2&lt;&gt;""</formula>
    </cfRule>
  </conditionalFormatting>
  <conditionalFormatting sqref="A561:R561">
    <cfRule type="expression" dxfId="207" priority="108">
      <formula>$A$2&lt;&gt;""</formula>
    </cfRule>
  </conditionalFormatting>
  <conditionalFormatting sqref="A569:R569">
    <cfRule type="expression" dxfId="206" priority="107">
      <formula>$A$2&lt;&gt;""</formula>
    </cfRule>
  </conditionalFormatting>
  <conditionalFormatting sqref="A577:R577">
    <cfRule type="expression" dxfId="205" priority="106">
      <formula>$A$2&lt;&gt;""</formula>
    </cfRule>
  </conditionalFormatting>
  <conditionalFormatting sqref="A585:R585">
    <cfRule type="expression" dxfId="204" priority="105">
      <formula>$A$2&lt;&gt;""</formula>
    </cfRule>
  </conditionalFormatting>
  <conditionalFormatting sqref="A593:R593">
    <cfRule type="expression" dxfId="203" priority="104">
      <formula>$A$2&lt;&gt;""</formula>
    </cfRule>
  </conditionalFormatting>
  <conditionalFormatting sqref="A601:R601">
    <cfRule type="expression" dxfId="202" priority="103">
      <formula>$A$2&lt;&gt;""</formula>
    </cfRule>
  </conditionalFormatting>
  <conditionalFormatting sqref="A609:R609">
    <cfRule type="expression" dxfId="201" priority="102">
      <formula>$A$2&lt;&gt;""</formula>
    </cfRule>
  </conditionalFormatting>
  <conditionalFormatting sqref="A617:R617">
    <cfRule type="expression" dxfId="200" priority="101">
      <formula>$A$2&lt;&gt;""</formula>
    </cfRule>
  </conditionalFormatting>
  <conditionalFormatting sqref="A625:R625">
    <cfRule type="expression" dxfId="199" priority="100">
      <formula>$A$2&lt;&gt;""</formula>
    </cfRule>
  </conditionalFormatting>
  <conditionalFormatting sqref="A633:R633">
    <cfRule type="expression" dxfId="198" priority="99">
      <formula>$A$2&lt;&gt;""</formula>
    </cfRule>
  </conditionalFormatting>
  <conditionalFormatting sqref="A641:R641">
    <cfRule type="expression" dxfId="197" priority="98">
      <formula>$A$2&lt;&gt;""</formula>
    </cfRule>
  </conditionalFormatting>
  <conditionalFormatting sqref="A649:R649">
    <cfRule type="expression" dxfId="196" priority="97">
      <formula>$A$2&lt;&gt;""</formula>
    </cfRule>
  </conditionalFormatting>
  <conditionalFormatting sqref="A657:R657">
    <cfRule type="expression" dxfId="195" priority="96">
      <formula>$A$2&lt;&gt;""</formula>
    </cfRule>
  </conditionalFormatting>
  <conditionalFormatting sqref="A665:R665">
    <cfRule type="expression" dxfId="194" priority="95">
      <formula>$A$2&lt;&gt;""</formula>
    </cfRule>
  </conditionalFormatting>
  <conditionalFormatting sqref="A673:R673">
    <cfRule type="expression" dxfId="193" priority="94">
      <formula>$A$2&lt;&gt;""</formula>
    </cfRule>
  </conditionalFormatting>
  <conditionalFormatting sqref="A681:R681">
    <cfRule type="expression" dxfId="192" priority="93">
      <formula>$A$2&lt;&gt;""</formula>
    </cfRule>
  </conditionalFormatting>
  <conditionalFormatting sqref="A689:R689">
    <cfRule type="expression" dxfId="191" priority="92">
      <formula>$A$2&lt;&gt;""</formula>
    </cfRule>
  </conditionalFormatting>
  <conditionalFormatting sqref="A697:R697">
    <cfRule type="expression" dxfId="190" priority="91">
      <formula>$A$2&lt;&gt;""</formula>
    </cfRule>
  </conditionalFormatting>
  <conditionalFormatting sqref="A705:R705">
    <cfRule type="expression" dxfId="189" priority="90">
      <formula>$A$2&lt;&gt;""</formula>
    </cfRule>
  </conditionalFormatting>
  <conditionalFormatting sqref="A713:R713">
    <cfRule type="expression" dxfId="188" priority="89">
      <formula>$A$2&lt;&gt;""</formula>
    </cfRule>
  </conditionalFormatting>
  <conditionalFormatting sqref="A721:R721">
    <cfRule type="expression" dxfId="187" priority="88">
      <formula>$A$2&lt;&gt;""</formula>
    </cfRule>
  </conditionalFormatting>
  <conditionalFormatting sqref="A729:R729">
    <cfRule type="expression" dxfId="186" priority="87">
      <formula>$A$2&lt;&gt;""</formula>
    </cfRule>
  </conditionalFormatting>
  <conditionalFormatting sqref="A737:R737">
    <cfRule type="expression" dxfId="185" priority="86">
      <formula>$A$2&lt;&gt;""</formula>
    </cfRule>
  </conditionalFormatting>
  <conditionalFormatting sqref="A745:R745">
    <cfRule type="expression" dxfId="184" priority="85">
      <formula>$A$2&lt;&gt;""</formula>
    </cfRule>
  </conditionalFormatting>
  <conditionalFormatting sqref="A753:R753">
    <cfRule type="expression" dxfId="183" priority="84">
      <formula>$A$2&lt;&gt;""</formula>
    </cfRule>
  </conditionalFormatting>
  <conditionalFormatting sqref="A761:R761">
    <cfRule type="expression" dxfId="182" priority="83">
      <formula>$A$2&lt;&gt;""</formula>
    </cfRule>
  </conditionalFormatting>
  <conditionalFormatting sqref="A769:R769">
    <cfRule type="expression" dxfId="181" priority="82">
      <formula>$A$2&lt;&gt;""</formula>
    </cfRule>
  </conditionalFormatting>
  <conditionalFormatting sqref="A777:R777">
    <cfRule type="expression" dxfId="180" priority="81">
      <formula>$A$2&lt;&gt;""</formula>
    </cfRule>
  </conditionalFormatting>
  <conditionalFormatting sqref="A785:R785">
    <cfRule type="expression" dxfId="179" priority="80">
      <formula>$A$2&lt;&gt;""</formula>
    </cfRule>
  </conditionalFormatting>
  <conditionalFormatting sqref="A793:R793">
    <cfRule type="expression" dxfId="178" priority="79">
      <formula>$A$2&lt;&gt;""</formula>
    </cfRule>
  </conditionalFormatting>
  <conditionalFormatting sqref="A801:R801">
    <cfRule type="expression" dxfId="177" priority="78">
      <formula>$A$2&lt;&gt;""</formula>
    </cfRule>
  </conditionalFormatting>
  <conditionalFormatting sqref="A809:R809">
    <cfRule type="expression" dxfId="176" priority="77">
      <formula>$A$2&lt;&gt;""</formula>
    </cfRule>
  </conditionalFormatting>
  <conditionalFormatting sqref="A817:R817">
    <cfRule type="expression" dxfId="175" priority="76">
      <formula>$A$2&lt;&gt;""</formula>
    </cfRule>
  </conditionalFormatting>
  <conditionalFormatting sqref="A825:R825">
    <cfRule type="expression" dxfId="174" priority="75">
      <formula>$A$2&lt;&gt;""</formula>
    </cfRule>
  </conditionalFormatting>
  <conditionalFormatting sqref="A833:R833">
    <cfRule type="expression" dxfId="173" priority="74">
      <formula>$A$2&lt;&gt;""</formula>
    </cfRule>
  </conditionalFormatting>
  <conditionalFormatting sqref="A841:R841">
    <cfRule type="expression" dxfId="172" priority="73">
      <formula>$A$2&lt;&gt;""</formula>
    </cfRule>
  </conditionalFormatting>
  <conditionalFormatting sqref="A849:R849">
    <cfRule type="expression" dxfId="171" priority="72">
      <formula>$A$2&lt;&gt;""</formula>
    </cfRule>
  </conditionalFormatting>
  <conditionalFormatting sqref="A857:R857">
    <cfRule type="expression" dxfId="170" priority="71">
      <formula>$A$2&lt;&gt;""</formula>
    </cfRule>
  </conditionalFormatting>
  <conditionalFormatting sqref="A865:R865">
    <cfRule type="expression" dxfId="169" priority="70">
      <formula>$A$2&lt;&gt;""</formula>
    </cfRule>
  </conditionalFormatting>
  <conditionalFormatting sqref="A873:R873">
    <cfRule type="expression" dxfId="168" priority="69">
      <formula>$A$2&lt;&gt;""</formula>
    </cfRule>
  </conditionalFormatting>
  <conditionalFormatting sqref="A881:R881">
    <cfRule type="expression" dxfId="167" priority="68">
      <formula>$A$2&lt;&gt;""</formula>
    </cfRule>
  </conditionalFormatting>
  <conditionalFormatting sqref="A889:R889">
    <cfRule type="expression" dxfId="166" priority="67">
      <formula>$A$2&lt;&gt;""</formula>
    </cfRule>
  </conditionalFormatting>
  <conditionalFormatting sqref="A897:R897">
    <cfRule type="expression" dxfId="165" priority="66">
      <formula>$A$2&lt;&gt;""</formula>
    </cfRule>
  </conditionalFormatting>
  <conditionalFormatting sqref="A905:R905">
    <cfRule type="expression" dxfId="164" priority="65">
      <formula>$A$2&lt;&gt;""</formula>
    </cfRule>
  </conditionalFormatting>
  <conditionalFormatting sqref="A913:R913">
    <cfRule type="expression" dxfId="163" priority="64">
      <formula>$A$2&lt;&gt;""</formula>
    </cfRule>
  </conditionalFormatting>
  <conditionalFormatting sqref="A921:R921">
    <cfRule type="expression" dxfId="162" priority="63">
      <formula>$A$2&lt;&gt;""</formula>
    </cfRule>
  </conditionalFormatting>
  <conditionalFormatting sqref="A929:R929">
    <cfRule type="expression" dxfId="161" priority="62">
      <formula>$A$2&lt;&gt;""</formula>
    </cfRule>
  </conditionalFormatting>
  <conditionalFormatting sqref="A937:R937">
    <cfRule type="expression" dxfId="160" priority="61">
      <formula>$A$2&lt;&gt;""</formula>
    </cfRule>
  </conditionalFormatting>
  <conditionalFormatting sqref="A945:R945">
    <cfRule type="expression" dxfId="159" priority="60">
      <formula>$A$2&lt;&gt;""</formula>
    </cfRule>
  </conditionalFormatting>
  <conditionalFormatting sqref="A953:R953">
    <cfRule type="expression" dxfId="158" priority="59">
      <formula>$A$2&lt;&gt;""</formula>
    </cfRule>
  </conditionalFormatting>
  <conditionalFormatting sqref="A961:R961">
    <cfRule type="expression" dxfId="157" priority="58">
      <formula>$A$2&lt;&gt;""</formula>
    </cfRule>
  </conditionalFormatting>
  <conditionalFormatting sqref="A969:R969">
    <cfRule type="expression" dxfId="156" priority="57">
      <formula>$A$2&lt;&gt;""</formula>
    </cfRule>
  </conditionalFormatting>
  <conditionalFormatting sqref="A977:R977">
    <cfRule type="expression" dxfId="155" priority="56">
      <formula>$A$2&lt;&gt;""</formula>
    </cfRule>
  </conditionalFormatting>
  <conditionalFormatting sqref="A985:R985">
    <cfRule type="expression" dxfId="154" priority="55">
      <formula>$A$2&lt;&gt;""</formula>
    </cfRule>
  </conditionalFormatting>
  <conditionalFormatting sqref="A993:R993">
    <cfRule type="expression" dxfId="153" priority="54">
      <formula>$A$2&lt;&gt;""</formula>
    </cfRule>
  </conditionalFormatting>
  <conditionalFormatting sqref="A1001:R1001">
    <cfRule type="expression" dxfId="152" priority="53">
      <formula>$A$2&lt;&gt;""</formula>
    </cfRule>
  </conditionalFormatting>
  <conditionalFormatting sqref="A1009:R1009">
    <cfRule type="expression" dxfId="151" priority="52">
      <formula>$A$2&lt;&gt;""</formula>
    </cfRule>
  </conditionalFormatting>
  <conditionalFormatting sqref="A1017:R1017">
    <cfRule type="expression" dxfId="150" priority="51">
      <formula>$A$2&lt;&gt;""</formula>
    </cfRule>
  </conditionalFormatting>
  <conditionalFormatting sqref="A1025:R1025">
    <cfRule type="expression" dxfId="149" priority="50">
      <formula>$A$2&lt;&gt;""</formula>
    </cfRule>
  </conditionalFormatting>
  <conditionalFormatting sqref="A1033:R1033">
    <cfRule type="expression" dxfId="148" priority="49">
      <formula>$A$2&lt;&gt;""</formula>
    </cfRule>
  </conditionalFormatting>
  <conditionalFormatting sqref="A1041:R1041">
    <cfRule type="expression" dxfId="147" priority="48">
      <formula>$A$2&lt;&gt;""</formula>
    </cfRule>
  </conditionalFormatting>
  <conditionalFormatting sqref="A1049:R1049">
    <cfRule type="expression" dxfId="146" priority="47">
      <formula>$A$2&lt;&gt;""</formula>
    </cfRule>
  </conditionalFormatting>
  <conditionalFormatting sqref="A1057:R1057">
    <cfRule type="expression" dxfId="145" priority="46">
      <formula>$A$2&lt;&gt;""</formula>
    </cfRule>
  </conditionalFormatting>
  <conditionalFormatting sqref="A1065:R1065">
    <cfRule type="expression" dxfId="144" priority="45">
      <formula>$A$2&lt;&gt;""</formula>
    </cfRule>
  </conditionalFormatting>
  <conditionalFormatting sqref="A1073:R1073">
    <cfRule type="expression" dxfId="143" priority="44">
      <formula>$A$2&lt;&gt;""</formula>
    </cfRule>
  </conditionalFormatting>
  <conditionalFormatting sqref="A1081:R1081">
    <cfRule type="expression" dxfId="142" priority="43">
      <formula>$A$2&lt;&gt;""</formula>
    </cfRule>
  </conditionalFormatting>
  <conditionalFormatting sqref="A1089:R1089">
    <cfRule type="expression" dxfId="141" priority="42">
      <formula>$A$2&lt;&gt;""</formula>
    </cfRule>
  </conditionalFormatting>
  <conditionalFormatting sqref="A1097:R1097">
    <cfRule type="expression" dxfId="140" priority="41">
      <formula>$A$2&lt;&gt;""</formula>
    </cfRule>
  </conditionalFormatting>
  <conditionalFormatting sqref="A1105:R1105">
    <cfRule type="expression" dxfId="139" priority="40">
      <formula>$A$2&lt;&gt;""</formula>
    </cfRule>
  </conditionalFormatting>
  <conditionalFormatting sqref="A1113:R1113">
    <cfRule type="expression" dxfId="138" priority="39">
      <formula>$A$2&lt;&gt;""</formula>
    </cfRule>
  </conditionalFormatting>
  <conditionalFormatting sqref="A1121:R1121">
    <cfRule type="expression" dxfId="137" priority="38">
      <formula>$A$2&lt;&gt;""</formula>
    </cfRule>
  </conditionalFormatting>
  <conditionalFormatting sqref="A1129:R1129">
    <cfRule type="expression" dxfId="136" priority="37">
      <formula>$A$2&lt;&gt;""</formula>
    </cfRule>
  </conditionalFormatting>
  <conditionalFormatting sqref="A1137:R1137">
    <cfRule type="expression" dxfId="135" priority="36">
      <formula>$A$2&lt;&gt;""</formula>
    </cfRule>
  </conditionalFormatting>
  <conditionalFormatting sqref="A1145:R1145">
    <cfRule type="expression" dxfId="134" priority="35">
      <formula>$A$2&lt;&gt;""</formula>
    </cfRule>
  </conditionalFormatting>
  <conditionalFormatting sqref="A1153:R1153">
    <cfRule type="expression" dxfId="133" priority="34">
      <formula>$A$2&lt;&gt;""</formula>
    </cfRule>
  </conditionalFormatting>
  <conditionalFormatting sqref="A1161:R1161">
    <cfRule type="expression" dxfId="132" priority="33">
      <formula>$A$2&lt;&gt;""</formula>
    </cfRule>
  </conditionalFormatting>
  <conditionalFormatting sqref="A1169:R1169">
    <cfRule type="expression" dxfId="131" priority="32">
      <formula>$A$2&lt;&gt;""</formula>
    </cfRule>
  </conditionalFormatting>
  <conditionalFormatting sqref="A1177:R1177">
    <cfRule type="expression" dxfId="130" priority="31">
      <formula>$A$2&lt;&gt;""</formula>
    </cfRule>
  </conditionalFormatting>
  <conditionalFormatting sqref="A1185:R1185">
    <cfRule type="expression" dxfId="129" priority="30">
      <formula>$A$2&lt;&gt;""</formula>
    </cfRule>
  </conditionalFormatting>
  <conditionalFormatting sqref="A1193:R1193">
    <cfRule type="expression" dxfId="128" priority="29">
      <formula>$A$2&lt;&gt;""</formula>
    </cfRule>
  </conditionalFormatting>
  <conditionalFormatting sqref="A1201:R1201">
    <cfRule type="expression" dxfId="127" priority="28">
      <formula>$A$2&lt;&gt;""</formula>
    </cfRule>
  </conditionalFormatting>
  <conditionalFormatting sqref="A1209:R1209">
    <cfRule type="expression" dxfId="126" priority="27">
      <formula>$A$2&lt;&gt;""</formula>
    </cfRule>
  </conditionalFormatting>
  <conditionalFormatting sqref="A1217:R1217">
    <cfRule type="expression" dxfId="125" priority="26">
      <formula>$A$2&lt;&gt;""</formula>
    </cfRule>
  </conditionalFormatting>
  <conditionalFormatting sqref="A1225:R1225">
    <cfRule type="expression" dxfId="124" priority="25">
      <formula>$A$2&lt;&gt;""</formula>
    </cfRule>
  </conditionalFormatting>
  <conditionalFormatting sqref="A1233:R1233">
    <cfRule type="expression" dxfId="123" priority="24">
      <formula>$A$2&lt;&gt;""</formula>
    </cfRule>
  </conditionalFormatting>
  <conditionalFormatting sqref="A1241:R1241">
    <cfRule type="expression" dxfId="122" priority="23">
      <formula>$A$2&lt;&gt;""</formula>
    </cfRule>
  </conditionalFormatting>
  <conditionalFormatting sqref="A1249:R1249">
    <cfRule type="expression" dxfId="121" priority="22">
      <formula>$A$2&lt;&gt;""</formula>
    </cfRule>
  </conditionalFormatting>
  <conditionalFormatting sqref="A1257:R1257">
    <cfRule type="expression" dxfId="120" priority="21">
      <formula>$A$2&lt;&gt;""</formula>
    </cfRule>
  </conditionalFormatting>
  <conditionalFormatting sqref="A1265:R1265">
    <cfRule type="expression" dxfId="119" priority="20">
      <formula>$A$2&lt;&gt;""</formula>
    </cfRule>
  </conditionalFormatting>
  <conditionalFormatting sqref="A1273:R1273">
    <cfRule type="expression" dxfId="118" priority="19">
      <formula>$A$2&lt;&gt;""</formula>
    </cfRule>
  </conditionalFormatting>
  <conditionalFormatting sqref="A1281:R1281">
    <cfRule type="expression" dxfId="117" priority="18">
      <formula>$A$2&lt;&gt;""</formula>
    </cfRule>
  </conditionalFormatting>
  <conditionalFormatting sqref="A1289:R1289">
    <cfRule type="expression" dxfId="116" priority="17">
      <formula>$A$2&lt;&gt;""</formula>
    </cfRule>
  </conditionalFormatting>
  <conditionalFormatting sqref="A1297:R1297">
    <cfRule type="expression" dxfId="115" priority="16">
      <formula>$A$2&lt;&gt;""</formula>
    </cfRule>
  </conditionalFormatting>
  <conditionalFormatting sqref="A1305:R1305">
    <cfRule type="expression" dxfId="114" priority="15">
      <formula>$A$2&lt;&gt;""</formula>
    </cfRule>
  </conditionalFormatting>
  <conditionalFormatting sqref="A1313:R1313">
    <cfRule type="expression" dxfId="113" priority="14">
      <formula>$A$2&lt;&gt;""</formula>
    </cfRule>
  </conditionalFormatting>
  <conditionalFormatting sqref="A1321:R1321">
    <cfRule type="expression" dxfId="112" priority="13">
      <formula>$A$2&lt;&gt;""</formula>
    </cfRule>
  </conditionalFormatting>
  <conditionalFormatting sqref="A1329:R1329">
    <cfRule type="expression" dxfId="111" priority="12">
      <formula>$A$2&lt;&gt;""</formula>
    </cfRule>
  </conditionalFormatting>
  <conditionalFormatting sqref="A1337:R1337">
    <cfRule type="expression" dxfId="110" priority="11">
      <formula>$A$2&lt;&gt;""</formula>
    </cfRule>
  </conditionalFormatting>
  <conditionalFormatting sqref="A1345:R1345">
    <cfRule type="expression" dxfId="109" priority="10">
      <formula>$A$2&lt;&gt;""</formula>
    </cfRule>
  </conditionalFormatting>
  <conditionalFormatting sqref="A1353:R1353">
    <cfRule type="expression" dxfId="108" priority="9">
      <formula>$A$2&lt;&gt;""</formula>
    </cfRule>
  </conditionalFormatting>
  <conditionalFormatting sqref="A1361:R1361">
    <cfRule type="expression" dxfId="107" priority="8">
      <formula>$A$2&lt;&gt;""</formula>
    </cfRule>
  </conditionalFormatting>
  <conditionalFormatting sqref="A1369:R1369">
    <cfRule type="expression" dxfId="106" priority="7">
      <formula>$A$2&lt;&gt;""</formula>
    </cfRule>
  </conditionalFormatting>
  <conditionalFormatting sqref="A1377:R1377">
    <cfRule type="expression" dxfId="105" priority="6">
      <formula>$A$2&lt;&gt;""</formula>
    </cfRule>
  </conditionalFormatting>
  <conditionalFormatting sqref="A1385:R1385">
    <cfRule type="expression" dxfId="104" priority="5">
      <formula>$A$2&lt;&gt;""</formula>
    </cfRule>
  </conditionalFormatting>
  <conditionalFormatting sqref="A1393:R1393">
    <cfRule type="expression" dxfId="103" priority="4">
      <formula>$A$2&lt;&gt;""</formula>
    </cfRule>
  </conditionalFormatting>
  <conditionalFormatting sqref="A1401:R1401">
    <cfRule type="expression" dxfId="102" priority="3">
      <formula>$A$2&lt;&gt;""</formula>
    </cfRule>
  </conditionalFormatting>
  <conditionalFormatting sqref="A1409:R1409">
    <cfRule type="expression" dxfId="101" priority="2">
      <formula>$A$2&lt;&gt;""</formula>
    </cfRule>
  </conditionalFormatting>
  <conditionalFormatting sqref="G9:R9">
    <cfRule type="expression" dxfId="100" priority="1">
      <formula>$A$2&lt;&gt;""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6" s="5" customFormat="1">
      <c r="A1" s="11" t="s">
        <v>16</v>
      </c>
      <c r="B1" s="11" t="s">
        <v>18</v>
      </c>
      <c r="C1" s="11" t="s">
        <v>28</v>
      </c>
      <c r="D1" s="11" t="s">
        <v>774</v>
      </c>
      <c r="E1" s="12" t="s">
        <v>835</v>
      </c>
      <c r="F1" s="12" t="s">
        <v>836</v>
      </c>
      <c r="G1" s="12" t="s">
        <v>837</v>
      </c>
      <c r="H1" s="12" t="s">
        <v>838</v>
      </c>
      <c r="I1" s="12" t="s">
        <v>839</v>
      </c>
      <c r="J1" s="12" t="s">
        <v>840</v>
      </c>
      <c r="K1" s="12" t="s">
        <v>841</v>
      </c>
      <c r="L1" s="12" t="s">
        <v>842</v>
      </c>
      <c r="M1" s="12" t="s">
        <v>843</v>
      </c>
      <c r="N1" s="12" t="s">
        <v>844</v>
      </c>
      <c r="O1" s="12" t="s">
        <v>845</v>
      </c>
      <c r="P1" s="12" t="s">
        <v>846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37" t="s">
        <v>832</v>
      </c>
      <c r="B1" s="37" t="s">
        <v>1</v>
      </c>
      <c r="C1" s="37" t="s">
        <v>2</v>
      </c>
      <c r="D1" s="37" t="s">
        <v>833</v>
      </c>
      <c r="E1" s="38" t="s">
        <v>834</v>
      </c>
      <c r="F1" s="39" t="s">
        <v>835</v>
      </c>
      <c r="G1" s="39" t="s">
        <v>836</v>
      </c>
      <c r="H1" s="39" t="s">
        <v>837</v>
      </c>
      <c r="I1" s="39" t="s">
        <v>838</v>
      </c>
      <c r="J1" s="39" t="s">
        <v>839</v>
      </c>
      <c r="K1" s="39" t="s">
        <v>840</v>
      </c>
      <c r="L1" s="39" t="s">
        <v>841</v>
      </c>
      <c r="M1" s="39" t="s">
        <v>842</v>
      </c>
      <c r="N1" s="39" t="s">
        <v>843</v>
      </c>
      <c r="O1" s="39" t="s">
        <v>844</v>
      </c>
      <c r="P1" s="39" t="s">
        <v>845</v>
      </c>
      <c r="Q1" s="39" t="s">
        <v>846</v>
      </c>
      <c r="R1" s="40" t="s">
        <v>774</v>
      </c>
    </row>
    <row r="2" spans="1:18">
      <c r="A2" t="s">
        <v>45</v>
      </c>
      <c r="B2" t="s">
        <v>775</v>
      </c>
      <c r="C2" t="s">
        <v>84</v>
      </c>
      <c r="D2" t="s">
        <v>776</v>
      </c>
      <c r="E2" t="s">
        <v>847</v>
      </c>
      <c r="F2" s="2">
        <f>SUMIFS(VI_Debitos!$V:$V,VI_Debitos!$H:$H,$C2,VI_Debitos!$T:$T,$D2,VI_Debitos!$R:$R,LEFT(PAGADO!F$1,4),VI_Debitos!$Q:$Q,RIGHT(F$1,2))</f>
        <v>0</v>
      </c>
      <c r="G2" s="2">
        <f>SUMIFS(VI_Debitos!$V:$V,VI_Debitos!$H:$H,$C2,VI_Debitos!$T:$T,$D2,VI_Debitos!$R:$R,LEFT(PAGADO!G$1,4),VI_Debitos!$Q:$Q,RIGHT(G$1,2))</f>
        <v>0</v>
      </c>
      <c r="H2" s="2">
        <f>SUMIFS(VI_Debitos!$V:$V,VI_Debitos!$H:$H,$C2,VI_Debitos!$T:$T,$D2,VI_Debitos!$R:$R,LEFT(PAGADO!H$1,4),VI_Debitos!$Q:$Q,RIGHT(H$1,2))</f>
        <v>0</v>
      </c>
      <c r="I2" s="2">
        <f>SUMIFS(VI_Debitos!$V:$V,VI_Debitos!$H:$H,$C2,VI_Debitos!$T:$T,$D2,VI_Debitos!$R:$R,LEFT(PAGADO!I$1,4),VI_Debitos!$Q:$Q,RIGHT(I$1,2))</f>
        <v>0</v>
      </c>
      <c r="J2" s="2">
        <f>SUMIFS(VI_Debitos!$V:$V,VI_Debitos!$H:$H,$C2,VI_Debitos!$T:$T,$D2,VI_Debitos!$R:$R,LEFT(PAGADO!J$1,4),VI_Debitos!$Q:$Q,RIGHT(J$1,2))</f>
        <v>0</v>
      </c>
      <c r="K2" s="2">
        <f>SUMIFS(VI_Debitos!$V:$V,VI_Debitos!$H:$H,$C2,VI_Debitos!$T:$T,$D2,VI_Debitos!$R:$R,LEFT(PAGADO!K$1,4),VI_Debitos!$Q:$Q,RIGHT(K$1,2))</f>
        <v>0</v>
      </c>
      <c r="L2" s="2">
        <f>SUMIFS(VI_Debitos!$V:$V,VI_Debitos!$H:$H,$C2,VI_Debitos!$T:$T,$D2,VI_Debitos!$R:$R,LEFT(PAGADO!L$1,4),VI_Debitos!$Q:$Q,RIGHT(L$1,2))</f>
        <v>0</v>
      </c>
      <c r="M2" s="2">
        <f>SUMIFS(VI_Debitos!$V:$V,VI_Debitos!$H:$H,$C2,VI_Debitos!$T:$T,$D2,VI_Debitos!$R:$R,LEFT(PAGADO!M$1,4),VI_Debitos!$Q:$Q,RIGHT(M$1,2))</f>
        <v>0</v>
      </c>
      <c r="N2" s="2">
        <f>SUMIFS(VI_Debitos!$V:$V,VI_Debitos!$H:$H,$C2,VI_Debitos!$T:$T,$D2,VI_Debitos!$R:$R,LEFT(PAGADO!N$1,4),VI_Debitos!$Q:$Q,RIGHT(N$1,2))</f>
        <v>0</v>
      </c>
      <c r="O2" s="2">
        <f>SUMIFS(VI_Debitos!$V:$V,VI_Debitos!$H:$H,$C2,VI_Debitos!$T:$T,$D2,VI_Debitos!$R:$R,LEFT(PAGADO!O$1,4),VI_Debitos!$Q:$Q,RIGHT(O$1,2))</f>
        <v>0</v>
      </c>
      <c r="P2" s="2">
        <f>SUMIFS(VI_Debitos!$V:$V,VI_Debitos!$H:$H,$C2,VI_Debitos!$T:$T,$D2,VI_Debitos!$R:$R,LEFT(PAGADO!P$1,4),VI_Debitos!$Q:$Q,RIGHT(P$1,2))</f>
        <v>0</v>
      </c>
      <c r="Q2" s="2">
        <f>SUMIFS(VI_Debitos!$V:$V,VI_Debitos!$H:$H,$C2,VI_Debitos!$T:$T,$D2,VI_Debitos!$R:$R,LEFT(PAGADO!Q$1,4),VI_Debitos!$Q:$Q,RIGHT(Q$1,2))</f>
        <v>-392626</v>
      </c>
      <c r="R2" s="2">
        <f t="shared" ref="R2:R65" si="0">SUM(F2:Q2)</f>
        <v>-392626</v>
      </c>
    </row>
    <row r="3" spans="1:18">
      <c r="A3" t="s">
        <v>45</v>
      </c>
      <c r="B3" t="s">
        <v>775</v>
      </c>
      <c r="C3" t="s">
        <v>84</v>
      </c>
      <c r="D3" t="s">
        <v>777</v>
      </c>
      <c r="E3" t="s">
        <v>848</v>
      </c>
      <c r="F3" s="2">
        <f>SUMIFS(VI_Debitos!$V:$V,VI_Debitos!$H:$H,$C3,VI_Debitos!$T:$T,$D3,VI_Debitos!$R:$R,LEFT(PAGADO!F$1,4),VI_Debitos!$Q:$Q,RIGHT(F$1,2))</f>
        <v>0</v>
      </c>
      <c r="G3" s="2">
        <f>SUMIFS(VI_Debitos!$V:$V,VI_Debitos!$H:$H,$C3,VI_Debitos!$T:$T,$D3,VI_Debitos!$R:$R,LEFT(PAGADO!G$1,4),VI_Debitos!$Q:$Q,RIGHT(G$1,2))</f>
        <v>0</v>
      </c>
      <c r="H3" s="2">
        <f>SUMIFS(VI_Debitos!$V:$V,VI_Debitos!$H:$H,$C3,VI_Debitos!$T:$T,$D3,VI_Debitos!$R:$R,LEFT(PAGADO!H$1,4),VI_Debitos!$Q:$Q,RIGHT(H$1,2))</f>
        <v>0</v>
      </c>
      <c r="I3" s="2">
        <f>SUMIFS(VI_Debitos!$V:$V,VI_Debitos!$H:$H,$C3,VI_Debitos!$T:$T,$D3,VI_Debitos!$R:$R,LEFT(PAGADO!I$1,4),VI_Debitos!$Q:$Q,RIGHT(I$1,2))</f>
        <v>0</v>
      </c>
      <c r="J3" s="2">
        <f>SUMIFS(VI_Debitos!$V:$V,VI_Debitos!$H:$H,$C3,VI_Debitos!$T:$T,$D3,VI_Debitos!$R:$R,LEFT(PAGADO!J$1,4),VI_Debitos!$Q:$Q,RIGHT(J$1,2))</f>
        <v>0</v>
      </c>
      <c r="K3" s="2">
        <f>SUMIFS(VI_Debitos!$V:$V,VI_Debitos!$H:$H,$C3,VI_Debitos!$T:$T,$D3,VI_Debitos!$R:$R,LEFT(PAGADO!K$1,4),VI_Debitos!$Q:$Q,RIGHT(K$1,2))</f>
        <v>0</v>
      </c>
      <c r="L3" s="2">
        <f>SUMIFS(VI_Debitos!$V:$V,VI_Debitos!$H:$H,$C3,VI_Debitos!$T:$T,$D3,VI_Debitos!$R:$R,LEFT(PAGADO!L$1,4),VI_Debitos!$Q:$Q,RIGHT(L$1,2))</f>
        <v>0</v>
      </c>
      <c r="M3" s="2">
        <f>SUMIFS(VI_Debitos!$V:$V,VI_Debitos!$H:$H,$C3,VI_Debitos!$T:$T,$D3,VI_Debitos!$R:$R,LEFT(PAGADO!M$1,4),VI_Debitos!$Q:$Q,RIGHT(M$1,2))</f>
        <v>0</v>
      </c>
      <c r="N3" s="2">
        <f>SUMIFS(VI_Debitos!$V:$V,VI_Debitos!$H:$H,$C3,VI_Debitos!$T:$T,$D3,VI_Debitos!$R:$R,LEFT(PAGADO!N$1,4),VI_Debitos!$Q:$Q,RIGHT(N$1,2))</f>
        <v>0</v>
      </c>
      <c r="O3" s="2">
        <f>SUMIFS(VI_Debitos!$V:$V,VI_Debitos!$H:$H,$C3,VI_Debitos!$T:$T,$D3,VI_Debitos!$R:$R,LEFT(PAGADO!O$1,4),VI_Debitos!$Q:$Q,RIGHT(O$1,2))</f>
        <v>0</v>
      </c>
      <c r="P3" s="2">
        <f>SUMIFS(VI_Debitos!$V:$V,VI_Debitos!$H:$H,$C3,VI_Debitos!$T:$T,$D3,VI_Debitos!$R:$R,LEFT(PAGADO!P$1,4),VI_Debitos!$Q:$Q,RIGHT(P$1,2))</f>
        <v>0</v>
      </c>
      <c r="Q3" s="2">
        <f>SUMIFS(VI_Debitos!$V:$V,VI_Debitos!$H:$H,$C3,VI_Debitos!$T:$T,$D3,VI_Debitos!$R:$R,LEFT(PAGADO!Q$1,4),VI_Debitos!$Q:$Q,RIGHT(Q$1,2))</f>
        <v>0</v>
      </c>
      <c r="R3" s="2">
        <f t="shared" si="0"/>
        <v>0</v>
      </c>
    </row>
    <row r="4" spans="1:18">
      <c r="A4" t="s">
        <v>45</v>
      </c>
      <c r="B4" t="s">
        <v>775</v>
      </c>
      <c r="C4" t="s">
        <v>84</v>
      </c>
      <c r="D4" t="s">
        <v>778</v>
      </c>
      <c r="E4" t="s">
        <v>849</v>
      </c>
      <c r="F4" s="2">
        <f>SUMIFS(VI_Debitos!$V:$V,VI_Debitos!$H:$H,$C4,VI_Debitos!$T:$T,$D4,VI_Debitos!$R:$R,LEFT(PAGADO!F$1,4),VI_Debitos!$Q:$Q,RIGHT(F$1,2))</f>
        <v>0</v>
      </c>
      <c r="G4" s="2">
        <f>SUMIFS(VI_Debitos!$V:$V,VI_Debitos!$H:$H,$C4,VI_Debitos!$T:$T,$D4,VI_Debitos!$R:$R,LEFT(PAGADO!G$1,4),VI_Debitos!$Q:$Q,RIGHT(G$1,2))</f>
        <v>0</v>
      </c>
      <c r="H4" s="2">
        <f>SUMIFS(VI_Debitos!$V:$V,VI_Debitos!$H:$H,$C4,VI_Debitos!$T:$T,$D4,VI_Debitos!$R:$R,LEFT(PAGADO!H$1,4),VI_Debitos!$Q:$Q,RIGHT(H$1,2))</f>
        <v>0</v>
      </c>
      <c r="I4" s="2">
        <f>SUMIFS(VI_Debitos!$V:$V,VI_Debitos!$H:$H,$C4,VI_Debitos!$T:$T,$D4,VI_Debitos!$R:$R,LEFT(PAGADO!I$1,4),VI_Debitos!$Q:$Q,RIGHT(I$1,2))</f>
        <v>0</v>
      </c>
      <c r="J4" s="2">
        <f>SUMIFS(VI_Debitos!$V:$V,VI_Debitos!$H:$H,$C4,VI_Debitos!$T:$T,$D4,VI_Debitos!$R:$R,LEFT(PAGADO!J$1,4),VI_Debitos!$Q:$Q,RIGHT(J$1,2))</f>
        <v>0</v>
      </c>
      <c r="K4" s="2">
        <f>SUMIFS(VI_Debitos!$V:$V,VI_Debitos!$H:$H,$C4,VI_Debitos!$T:$T,$D4,VI_Debitos!$R:$R,LEFT(PAGADO!K$1,4),VI_Debitos!$Q:$Q,RIGHT(K$1,2))</f>
        <v>0</v>
      </c>
      <c r="L4" s="2">
        <f>SUMIFS(VI_Debitos!$V:$V,VI_Debitos!$H:$H,$C4,VI_Debitos!$T:$T,$D4,VI_Debitos!$R:$R,LEFT(PAGADO!L$1,4),VI_Debitos!$Q:$Q,RIGHT(L$1,2))</f>
        <v>0</v>
      </c>
      <c r="M4" s="2">
        <f>SUMIFS(VI_Debitos!$V:$V,VI_Debitos!$H:$H,$C4,VI_Debitos!$T:$T,$D4,VI_Debitos!$R:$R,LEFT(PAGADO!M$1,4),VI_Debitos!$Q:$Q,RIGHT(M$1,2))</f>
        <v>0</v>
      </c>
      <c r="N4" s="2">
        <f>SUMIFS(VI_Debitos!$V:$V,VI_Debitos!$H:$H,$C4,VI_Debitos!$T:$T,$D4,VI_Debitos!$R:$R,LEFT(PAGADO!N$1,4),VI_Debitos!$Q:$Q,RIGHT(N$1,2))</f>
        <v>0</v>
      </c>
      <c r="O4" s="2">
        <f>SUMIFS(VI_Debitos!$V:$V,VI_Debitos!$H:$H,$C4,VI_Debitos!$T:$T,$D4,VI_Debitos!$R:$R,LEFT(PAGADO!O$1,4),VI_Debitos!$Q:$Q,RIGHT(O$1,2))</f>
        <v>0</v>
      </c>
      <c r="P4" s="2">
        <f>SUMIFS(VI_Debitos!$V:$V,VI_Debitos!$H:$H,$C4,VI_Debitos!$T:$T,$D4,VI_Debitos!$R:$R,LEFT(PAGADO!P$1,4),VI_Debitos!$Q:$Q,RIGHT(P$1,2))</f>
        <v>0</v>
      </c>
      <c r="Q4" s="2">
        <f>SUMIFS(VI_Debitos!$V:$V,VI_Debitos!$H:$H,$C4,VI_Debitos!$T:$T,$D4,VI_Debitos!$R:$R,LEFT(PAGADO!Q$1,4),VI_Debitos!$Q:$Q,RIGHT(Q$1,2))</f>
        <v>0</v>
      </c>
      <c r="R4" s="2">
        <f t="shared" si="0"/>
        <v>0</v>
      </c>
    </row>
    <row r="5" spans="1:18">
      <c r="A5" t="s">
        <v>45</v>
      </c>
      <c r="B5" t="s">
        <v>775</v>
      </c>
      <c r="C5" t="s">
        <v>84</v>
      </c>
      <c r="D5" t="s">
        <v>779</v>
      </c>
      <c r="E5" t="s">
        <v>850</v>
      </c>
      <c r="F5" s="2">
        <f>SUMIFS(VI_Debitos!$V:$V,VI_Debitos!$H:$H,$C5,VI_Debitos!$T:$T,$D5,VI_Debitos!$R:$R,LEFT(PAGADO!F$1,4),VI_Debitos!$Q:$Q,RIGHT(F$1,2))</f>
        <v>0</v>
      </c>
      <c r="G5" s="2">
        <f>SUMIFS(VI_Debitos!$V:$V,VI_Debitos!$H:$H,$C5,VI_Debitos!$T:$T,$D5,VI_Debitos!$R:$R,LEFT(PAGADO!G$1,4),VI_Debitos!$Q:$Q,RIGHT(G$1,2))</f>
        <v>0</v>
      </c>
      <c r="H5" s="2">
        <f>SUMIFS(VI_Debitos!$V:$V,VI_Debitos!$H:$H,$C5,VI_Debitos!$T:$T,$D5,VI_Debitos!$R:$R,LEFT(PAGADO!H$1,4),VI_Debitos!$Q:$Q,RIGHT(H$1,2))</f>
        <v>0</v>
      </c>
      <c r="I5" s="2">
        <f>SUMIFS(VI_Debitos!$V:$V,VI_Debitos!$H:$H,$C5,VI_Debitos!$T:$T,$D5,VI_Debitos!$R:$R,LEFT(PAGADO!I$1,4),VI_Debitos!$Q:$Q,RIGHT(I$1,2))</f>
        <v>0</v>
      </c>
      <c r="J5" s="2">
        <f>SUMIFS(VI_Debitos!$V:$V,VI_Debitos!$H:$H,$C5,VI_Debitos!$T:$T,$D5,VI_Debitos!$R:$R,LEFT(PAGADO!J$1,4),VI_Debitos!$Q:$Q,RIGHT(J$1,2))</f>
        <v>0</v>
      </c>
      <c r="K5" s="2">
        <f>SUMIFS(VI_Debitos!$V:$V,VI_Debitos!$H:$H,$C5,VI_Debitos!$T:$T,$D5,VI_Debitos!$R:$R,LEFT(PAGADO!K$1,4),VI_Debitos!$Q:$Q,RIGHT(K$1,2))</f>
        <v>0</v>
      </c>
      <c r="L5" s="2">
        <f>SUMIFS(VI_Debitos!$V:$V,VI_Debitos!$H:$H,$C5,VI_Debitos!$T:$T,$D5,VI_Debitos!$R:$R,LEFT(PAGADO!L$1,4),VI_Debitos!$Q:$Q,RIGHT(L$1,2))</f>
        <v>0</v>
      </c>
      <c r="M5" s="2">
        <f>SUMIFS(VI_Debitos!$V:$V,VI_Debitos!$H:$H,$C5,VI_Debitos!$T:$T,$D5,VI_Debitos!$R:$R,LEFT(PAGADO!M$1,4),VI_Debitos!$Q:$Q,RIGHT(M$1,2))</f>
        <v>0</v>
      </c>
      <c r="N5" s="2">
        <f>SUMIFS(VI_Debitos!$V:$V,VI_Debitos!$H:$H,$C5,VI_Debitos!$T:$T,$D5,VI_Debitos!$R:$R,LEFT(PAGADO!N$1,4),VI_Debitos!$Q:$Q,RIGHT(N$1,2))</f>
        <v>0</v>
      </c>
      <c r="O5" s="2">
        <f>SUMIFS(VI_Debitos!$V:$V,VI_Debitos!$H:$H,$C5,VI_Debitos!$T:$T,$D5,VI_Debitos!$R:$R,LEFT(PAGADO!O$1,4),VI_Debitos!$Q:$Q,RIGHT(O$1,2))</f>
        <v>0</v>
      </c>
      <c r="P5" s="2">
        <f>SUMIFS(VI_Debitos!$V:$V,VI_Debitos!$H:$H,$C5,VI_Debitos!$T:$T,$D5,VI_Debitos!$R:$R,LEFT(PAGADO!P$1,4),VI_Debitos!$Q:$Q,RIGHT(P$1,2))</f>
        <v>0</v>
      </c>
      <c r="Q5" s="2">
        <f>SUMIFS(VI_Debitos!$V:$V,VI_Debitos!$H:$H,$C5,VI_Debitos!$T:$T,$D5,VI_Debitos!$R:$R,LEFT(PAGADO!Q$1,4),VI_Debitos!$Q:$Q,RIGHT(Q$1,2))</f>
        <v>0</v>
      </c>
      <c r="R5" s="2">
        <f t="shared" si="0"/>
        <v>0</v>
      </c>
    </row>
    <row r="6" spans="1:18">
      <c r="A6" t="s">
        <v>45</v>
      </c>
      <c r="B6" t="s">
        <v>775</v>
      </c>
      <c r="C6" t="s">
        <v>84</v>
      </c>
      <c r="D6" t="s">
        <v>780</v>
      </c>
      <c r="E6" t="s">
        <v>851</v>
      </c>
      <c r="F6" s="2">
        <f>SUMIFS(VI_Debitos!$V:$V,VI_Debitos!$H:$H,$C6,VI_Debitos!$T:$T,$D6,VI_Debitos!$R:$R,LEFT(PAGADO!F$1,4),VI_Debitos!$Q:$Q,RIGHT(F$1,2))</f>
        <v>0</v>
      </c>
      <c r="G6" s="2">
        <f>SUMIFS(VI_Debitos!$V:$V,VI_Debitos!$H:$H,$C6,VI_Debitos!$T:$T,$D6,VI_Debitos!$R:$R,LEFT(PAGADO!G$1,4),VI_Debitos!$Q:$Q,RIGHT(G$1,2))</f>
        <v>0</v>
      </c>
      <c r="H6" s="2">
        <f>SUMIFS(VI_Debitos!$V:$V,VI_Debitos!$H:$H,$C6,VI_Debitos!$T:$T,$D6,VI_Debitos!$R:$R,LEFT(PAGADO!H$1,4),VI_Debitos!$Q:$Q,RIGHT(H$1,2))</f>
        <v>0</v>
      </c>
      <c r="I6" s="2">
        <f>SUMIFS(VI_Debitos!$V:$V,VI_Debitos!$H:$H,$C6,VI_Debitos!$T:$T,$D6,VI_Debitos!$R:$R,LEFT(PAGADO!I$1,4),VI_Debitos!$Q:$Q,RIGHT(I$1,2))</f>
        <v>0</v>
      </c>
      <c r="J6" s="2">
        <f>SUMIFS(VI_Debitos!$V:$V,VI_Debitos!$H:$H,$C6,VI_Debitos!$T:$T,$D6,VI_Debitos!$R:$R,LEFT(PAGADO!J$1,4),VI_Debitos!$Q:$Q,RIGHT(J$1,2))</f>
        <v>0</v>
      </c>
      <c r="K6" s="2">
        <f>SUMIFS(VI_Debitos!$V:$V,VI_Debitos!$H:$H,$C6,VI_Debitos!$T:$T,$D6,VI_Debitos!$R:$R,LEFT(PAGADO!K$1,4),VI_Debitos!$Q:$Q,RIGHT(K$1,2))</f>
        <v>0</v>
      </c>
      <c r="L6" s="2">
        <f>SUMIFS(VI_Debitos!$V:$V,VI_Debitos!$H:$H,$C6,VI_Debitos!$T:$T,$D6,VI_Debitos!$R:$R,LEFT(PAGADO!L$1,4),VI_Debitos!$Q:$Q,RIGHT(L$1,2))</f>
        <v>0</v>
      </c>
      <c r="M6" s="2">
        <f>SUMIFS(VI_Debitos!$V:$V,VI_Debitos!$H:$H,$C6,VI_Debitos!$T:$T,$D6,VI_Debitos!$R:$R,LEFT(PAGADO!M$1,4),VI_Debitos!$Q:$Q,RIGHT(M$1,2))</f>
        <v>0</v>
      </c>
      <c r="N6" s="2">
        <f>SUMIFS(VI_Debitos!$V:$V,VI_Debitos!$H:$H,$C6,VI_Debitos!$T:$T,$D6,VI_Debitos!$R:$R,LEFT(PAGADO!N$1,4),VI_Debitos!$Q:$Q,RIGHT(N$1,2))</f>
        <v>0</v>
      </c>
      <c r="O6" s="2">
        <f>SUMIFS(VI_Debitos!$V:$V,VI_Debitos!$H:$H,$C6,VI_Debitos!$T:$T,$D6,VI_Debitos!$R:$R,LEFT(PAGADO!O$1,4),VI_Debitos!$Q:$Q,RIGHT(O$1,2))</f>
        <v>0</v>
      </c>
      <c r="P6" s="2">
        <f>SUMIFS(VI_Debitos!$V:$V,VI_Debitos!$H:$H,$C6,VI_Debitos!$T:$T,$D6,VI_Debitos!$R:$R,LEFT(PAGADO!P$1,4),VI_Debitos!$Q:$Q,RIGHT(P$1,2))</f>
        <v>0</v>
      </c>
      <c r="Q6" s="2">
        <f>SUMIFS(VI_Debitos!$V:$V,VI_Debitos!$H:$H,$C6,VI_Debitos!$T:$T,$D6,VI_Debitos!$R:$R,LEFT(PAGADO!Q$1,4),VI_Debitos!$Q:$Q,RIGHT(Q$1,2))</f>
        <v>0</v>
      </c>
      <c r="R6" s="2">
        <f t="shared" si="0"/>
        <v>0</v>
      </c>
    </row>
    <row r="7" spans="1:18">
      <c r="A7" t="s">
        <v>45</v>
      </c>
      <c r="B7" t="s">
        <v>775</v>
      </c>
      <c r="C7" t="s">
        <v>84</v>
      </c>
      <c r="D7" t="s">
        <v>781</v>
      </c>
      <c r="E7" t="s">
        <v>852</v>
      </c>
      <c r="F7" s="2">
        <f>SUMIFS(VI_Debitos!$V:$V,VI_Debitos!$H:$H,$C7,VI_Debitos!$T:$T,$D7,VI_Debitos!$R:$R,LEFT(PAGADO!F$1,4),VI_Debitos!$Q:$Q,RIGHT(F$1,2))</f>
        <v>0</v>
      </c>
      <c r="G7" s="2">
        <f>SUMIFS(VI_Debitos!$V:$V,VI_Debitos!$H:$H,$C7,VI_Debitos!$T:$T,$D7,VI_Debitos!$R:$R,LEFT(PAGADO!G$1,4),VI_Debitos!$Q:$Q,RIGHT(G$1,2))</f>
        <v>0</v>
      </c>
      <c r="H7" s="2">
        <f>SUMIFS(VI_Debitos!$V:$V,VI_Debitos!$H:$H,$C7,VI_Debitos!$T:$T,$D7,VI_Debitos!$R:$R,LEFT(PAGADO!H$1,4),VI_Debitos!$Q:$Q,RIGHT(H$1,2))</f>
        <v>0</v>
      </c>
      <c r="I7" s="2">
        <f>SUMIFS(VI_Debitos!$V:$V,VI_Debitos!$H:$H,$C7,VI_Debitos!$T:$T,$D7,VI_Debitos!$R:$R,LEFT(PAGADO!I$1,4),VI_Debitos!$Q:$Q,RIGHT(I$1,2))</f>
        <v>0</v>
      </c>
      <c r="J7" s="2">
        <f>SUMIFS(VI_Debitos!$V:$V,VI_Debitos!$H:$H,$C7,VI_Debitos!$T:$T,$D7,VI_Debitos!$R:$R,LEFT(PAGADO!J$1,4),VI_Debitos!$Q:$Q,RIGHT(J$1,2))</f>
        <v>0</v>
      </c>
      <c r="K7" s="2">
        <f>SUMIFS(VI_Debitos!$V:$V,VI_Debitos!$H:$H,$C7,VI_Debitos!$T:$T,$D7,VI_Debitos!$R:$R,LEFT(PAGADO!K$1,4),VI_Debitos!$Q:$Q,RIGHT(K$1,2))</f>
        <v>0</v>
      </c>
      <c r="L7" s="2">
        <f>SUMIFS(VI_Debitos!$V:$V,VI_Debitos!$H:$H,$C7,VI_Debitos!$T:$T,$D7,VI_Debitos!$R:$R,LEFT(PAGADO!L$1,4),VI_Debitos!$Q:$Q,RIGHT(L$1,2))</f>
        <v>0</v>
      </c>
      <c r="M7" s="2">
        <f>SUMIFS(VI_Debitos!$V:$V,VI_Debitos!$H:$H,$C7,VI_Debitos!$T:$T,$D7,VI_Debitos!$R:$R,LEFT(PAGADO!M$1,4),VI_Debitos!$Q:$Q,RIGHT(M$1,2))</f>
        <v>0</v>
      </c>
      <c r="N7" s="2">
        <f>SUMIFS(VI_Debitos!$V:$V,VI_Debitos!$H:$H,$C7,VI_Debitos!$T:$T,$D7,VI_Debitos!$R:$R,LEFT(PAGADO!N$1,4),VI_Debitos!$Q:$Q,RIGHT(N$1,2))</f>
        <v>0</v>
      </c>
      <c r="O7" s="2">
        <f>SUMIFS(VI_Debitos!$V:$V,VI_Debitos!$H:$H,$C7,VI_Debitos!$T:$T,$D7,VI_Debitos!$R:$R,LEFT(PAGADO!O$1,4),VI_Debitos!$Q:$Q,RIGHT(O$1,2))</f>
        <v>0</v>
      </c>
      <c r="P7" s="2">
        <f>SUMIFS(VI_Debitos!$V:$V,VI_Debitos!$H:$H,$C7,VI_Debitos!$T:$T,$D7,VI_Debitos!$R:$R,LEFT(PAGADO!P$1,4),VI_Debitos!$Q:$Q,RIGHT(P$1,2))</f>
        <v>0</v>
      </c>
      <c r="Q7" s="2">
        <f>SUMIFS(VI_Debitos!$V:$V,VI_Debitos!$H:$H,$C7,VI_Debitos!$T:$T,$D7,VI_Debitos!$R:$R,LEFT(PAGADO!Q$1,4),VI_Debitos!$Q:$Q,RIGHT(Q$1,2))</f>
        <v>0</v>
      </c>
      <c r="R7" s="2">
        <f t="shared" si="0"/>
        <v>0</v>
      </c>
    </row>
    <row r="8" spans="1:18">
      <c r="A8" t="s">
        <v>45</v>
      </c>
      <c r="B8" t="s">
        <v>775</v>
      </c>
      <c r="C8" t="s">
        <v>84</v>
      </c>
      <c r="D8" t="s">
        <v>782</v>
      </c>
      <c r="E8" t="s">
        <v>853</v>
      </c>
      <c r="F8" s="2">
        <f>SUMIFS(VI_Debitos!$V:$V,VI_Debitos!$H:$H,$C8,VI_Debitos!$T:$T,$D8,VI_Debitos!$R:$R,LEFT(PAGADO!F$1,4),VI_Debitos!$Q:$Q,RIGHT(F$1,2))</f>
        <v>0</v>
      </c>
      <c r="G8" s="2">
        <f>SUMIFS(VI_Debitos!$V:$V,VI_Debitos!$H:$H,$C8,VI_Debitos!$T:$T,$D8,VI_Debitos!$R:$R,LEFT(PAGADO!G$1,4),VI_Debitos!$Q:$Q,RIGHT(G$1,2))</f>
        <v>0</v>
      </c>
      <c r="H8" s="2">
        <f>SUMIFS(VI_Debitos!$V:$V,VI_Debitos!$H:$H,$C8,VI_Debitos!$T:$T,$D8,VI_Debitos!$R:$R,LEFT(PAGADO!H$1,4),VI_Debitos!$Q:$Q,RIGHT(H$1,2))</f>
        <v>0</v>
      </c>
      <c r="I8" s="2">
        <f>SUMIFS(VI_Debitos!$V:$V,VI_Debitos!$H:$H,$C8,VI_Debitos!$T:$T,$D8,VI_Debitos!$R:$R,LEFT(PAGADO!I$1,4),VI_Debitos!$Q:$Q,RIGHT(I$1,2))</f>
        <v>0</v>
      </c>
      <c r="J8" s="2">
        <f>SUMIFS(VI_Debitos!$V:$V,VI_Debitos!$H:$H,$C8,VI_Debitos!$T:$T,$D8,VI_Debitos!$R:$R,LEFT(PAGADO!J$1,4),VI_Debitos!$Q:$Q,RIGHT(J$1,2))</f>
        <v>0</v>
      </c>
      <c r="K8" s="2">
        <f>SUMIFS(VI_Debitos!$V:$V,VI_Debitos!$H:$H,$C8,VI_Debitos!$T:$T,$D8,VI_Debitos!$R:$R,LEFT(PAGADO!K$1,4),VI_Debitos!$Q:$Q,RIGHT(K$1,2))</f>
        <v>0</v>
      </c>
      <c r="L8" s="2">
        <f>SUMIFS(VI_Debitos!$V:$V,VI_Debitos!$H:$H,$C8,VI_Debitos!$T:$T,$D8,VI_Debitos!$R:$R,LEFT(PAGADO!L$1,4),VI_Debitos!$Q:$Q,RIGHT(L$1,2))</f>
        <v>0</v>
      </c>
      <c r="M8" s="2">
        <f>SUMIFS(VI_Debitos!$V:$V,VI_Debitos!$H:$H,$C8,VI_Debitos!$T:$T,$D8,VI_Debitos!$R:$R,LEFT(PAGADO!M$1,4),VI_Debitos!$Q:$Q,RIGHT(M$1,2))</f>
        <v>0</v>
      </c>
      <c r="N8" s="2">
        <f>SUMIFS(VI_Debitos!$V:$V,VI_Debitos!$H:$H,$C8,VI_Debitos!$T:$T,$D8,VI_Debitos!$R:$R,LEFT(PAGADO!N$1,4),VI_Debitos!$Q:$Q,RIGHT(N$1,2))</f>
        <v>0</v>
      </c>
      <c r="O8" s="2">
        <f>SUMIFS(VI_Debitos!$V:$V,VI_Debitos!$H:$H,$C8,VI_Debitos!$T:$T,$D8,VI_Debitos!$R:$R,LEFT(PAGADO!O$1,4),VI_Debitos!$Q:$Q,RIGHT(O$1,2))</f>
        <v>0</v>
      </c>
      <c r="P8" s="2">
        <f>SUMIFS(VI_Debitos!$V:$V,VI_Debitos!$H:$H,$C8,VI_Debitos!$T:$T,$D8,VI_Debitos!$R:$R,LEFT(PAGADO!P$1,4),VI_Debitos!$Q:$Q,RIGHT(P$1,2))</f>
        <v>0</v>
      </c>
      <c r="Q8" s="2">
        <f>SUMIFS(VI_Debitos!$V:$V,VI_Debitos!$H:$H,$C8,VI_Debitos!$T:$T,$D8,VI_Debitos!$R:$R,LEFT(PAGADO!Q$1,4),VI_Debitos!$Q:$Q,RIGHT(Q$1,2))</f>
        <v>0</v>
      </c>
      <c r="R8" s="2">
        <f t="shared" si="0"/>
        <v>0</v>
      </c>
    </row>
    <row r="9" spans="1:18">
      <c r="A9" t="s">
        <v>45</v>
      </c>
      <c r="B9" t="s">
        <v>775</v>
      </c>
      <c r="C9" t="s">
        <v>84</v>
      </c>
      <c r="D9" t="s">
        <v>783</v>
      </c>
      <c r="E9" t="s">
        <v>854</v>
      </c>
      <c r="F9" s="2">
        <f>SUMIFS(VI_Debitos!$V:$V,VI_Debitos!$H:$H,$C9,VI_Debitos!$T:$T,$D9,VI_Debitos!$R:$R,LEFT(PAGADO!F$1,4),VI_Debitos!$Q:$Q,RIGHT(F$1,2))</f>
        <v>0</v>
      </c>
      <c r="G9" s="2">
        <f>SUMIFS(VI_Debitos!$V:$V,VI_Debitos!$H:$H,$C9,VI_Debitos!$T:$T,$D9,VI_Debitos!$R:$R,LEFT(PAGADO!G$1,4),VI_Debitos!$Q:$Q,RIGHT(G$1,2))</f>
        <v>0</v>
      </c>
      <c r="H9" s="2">
        <f>SUMIFS(VI_Debitos!$V:$V,VI_Debitos!$H:$H,$C9,VI_Debitos!$T:$T,$D9,VI_Debitos!$R:$R,LEFT(PAGADO!H$1,4),VI_Debitos!$Q:$Q,RIGHT(H$1,2))</f>
        <v>0</v>
      </c>
      <c r="I9" s="2">
        <f>SUMIFS(VI_Debitos!$V:$V,VI_Debitos!$H:$H,$C9,VI_Debitos!$T:$T,$D9,VI_Debitos!$R:$R,LEFT(PAGADO!I$1,4),VI_Debitos!$Q:$Q,RIGHT(I$1,2))</f>
        <v>0</v>
      </c>
      <c r="J9" s="2">
        <f>SUMIFS(VI_Debitos!$V:$V,VI_Debitos!$H:$H,$C9,VI_Debitos!$T:$T,$D9,VI_Debitos!$R:$R,LEFT(PAGADO!J$1,4),VI_Debitos!$Q:$Q,RIGHT(J$1,2))</f>
        <v>0</v>
      </c>
      <c r="K9" s="2">
        <f>SUMIFS(VI_Debitos!$V:$V,VI_Debitos!$H:$H,$C9,VI_Debitos!$T:$T,$D9,VI_Debitos!$R:$R,LEFT(PAGADO!K$1,4),VI_Debitos!$Q:$Q,RIGHT(K$1,2))</f>
        <v>0</v>
      </c>
      <c r="L9" s="2">
        <f>SUMIFS(VI_Debitos!$V:$V,VI_Debitos!$H:$H,$C9,VI_Debitos!$T:$T,$D9,VI_Debitos!$R:$R,LEFT(PAGADO!L$1,4),VI_Debitos!$Q:$Q,RIGHT(L$1,2))</f>
        <v>0</v>
      </c>
      <c r="M9" s="2">
        <f>SUMIFS(VI_Debitos!$V:$V,VI_Debitos!$H:$H,$C9,VI_Debitos!$T:$T,$D9,VI_Debitos!$R:$R,LEFT(PAGADO!M$1,4),VI_Debitos!$Q:$Q,RIGHT(M$1,2))</f>
        <v>0</v>
      </c>
      <c r="N9" s="2">
        <f>SUMIFS(VI_Debitos!$V:$V,VI_Debitos!$H:$H,$C9,VI_Debitos!$T:$T,$D9,VI_Debitos!$R:$R,LEFT(PAGADO!N$1,4),VI_Debitos!$Q:$Q,RIGHT(N$1,2))</f>
        <v>0</v>
      </c>
      <c r="O9" s="2">
        <f>SUMIFS(VI_Debitos!$V:$V,VI_Debitos!$H:$H,$C9,VI_Debitos!$T:$T,$D9,VI_Debitos!$R:$R,LEFT(PAGADO!O$1,4),VI_Debitos!$Q:$Q,RIGHT(O$1,2))</f>
        <v>0</v>
      </c>
      <c r="P9" s="2">
        <f>SUMIFS(VI_Debitos!$V:$V,VI_Debitos!$H:$H,$C9,VI_Debitos!$T:$T,$D9,VI_Debitos!$R:$R,LEFT(PAGADO!P$1,4),VI_Debitos!$Q:$Q,RIGHT(P$1,2))</f>
        <v>0</v>
      </c>
      <c r="Q9" s="2">
        <f>SUMIFS(VI_Debitos!$V:$V,VI_Debitos!$H:$H,$C9,VI_Debitos!$T:$T,$D9,VI_Debitos!$R:$R,LEFT(PAGADO!Q$1,4),VI_Debitos!$Q:$Q,RIGHT(Q$1,2))</f>
        <v>0</v>
      </c>
      <c r="R9" s="2">
        <f t="shared" si="0"/>
        <v>0</v>
      </c>
    </row>
    <row r="10" spans="1:18">
      <c r="A10" t="s">
        <v>45</v>
      </c>
      <c r="B10" t="s">
        <v>775</v>
      </c>
      <c r="C10" t="s">
        <v>757</v>
      </c>
      <c r="D10" t="s">
        <v>776</v>
      </c>
      <c r="E10" t="s">
        <v>855</v>
      </c>
      <c r="F10" s="2">
        <f>SUMIFS(VI_Debitos!$V:$V,VI_Debitos!$H:$H,$C10,VI_Debitos!$T:$T,$D10,VI_Debitos!$R:$R,LEFT(PAGADO!F$1,4),VI_Debitos!$Q:$Q,RIGHT(F$1,2))</f>
        <v>0</v>
      </c>
      <c r="G10" s="2">
        <f>SUMIFS(VI_Debitos!$V:$V,VI_Debitos!$H:$H,$C10,VI_Debitos!$T:$T,$D10,VI_Debitos!$R:$R,LEFT(PAGADO!G$1,4),VI_Debitos!$Q:$Q,RIGHT(G$1,2))</f>
        <v>0</v>
      </c>
      <c r="H10" s="2">
        <f>SUMIFS(VI_Debitos!$V:$V,VI_Debitos!$H:$H,$C10,VI_Debitos!$T:$T,$D10,VI_Debitos!$R:$R,LEFT(PAGADO!H$1,4),VI_Debitos!$Q:$Q,RIGHT(H$1,2))</f>
        <v>0</v>
      </c>
      <c r="I10" s="2">
        <f>SUMIFS(VI_Debitos!$V:$V,VI_Debitos!$H:$H,$C10,VI_Debitos!$T:$T,$D10,VI_Debitos!$R:$R,LEFT(PAGADO!I$1,4),VI_Debitos!$Q:$Q,RIGHT(I$1,2))</f>
        <v>0</v>
      </c>
      <c r="J10" s="2">
        <f>SUMIFS(VI_Debitos!$V:$V,VI_Debitos!$H:$H,$C10,VI_Debitos!$T:$T,$D10,VI_Debitos!$R:$R,LEFT(PAGADO!J$1,4),VI_Debitos!$Q:$Q,RIGHT(J$1,2))</f>
        <v>0</v>
      </c>
      <c r="K10" s="2">
        <f>SUMIFS(VI_Debitos!$V:$V,VI_Debitos!$H:$H,$C10,VI_Debitos!$T:$T,$D10,VI_Debitos!$R:$R,LEFT(PAGADO!K$1,4),VI_Debitos!$Q:$Q,RIGHT(K$1,2))</f>
        <v>0</v>
      </c>
      <c r="L10" s="2">
        <f>SUMIFS(VI_Debitos!$V:$V,VI_Debitos!$H:$H,$C10,VI_Debitos!$T:$T,$D10,VI_Debitos!$R:$R,LEFT(PAGADO!L$1,4),VI_Debitos!$Q:$Q,RIGHT(L$1,2))</f>
        <v>0</v>
      </c>
      <c r="M10" s="2">
        <f>SUMIFS(VI_Debitos!$V:$V,VI_Debitos!$H:$H,$C10,VI_Debitos!$T:$T,$D10,VI_Debitos!$R:$R,LEFT(PAGADO!M$1,4),VI_Debitos!$Q:$Q,RIGHT(M$1,2))</f>
        <v>0</v>
      </c>
      <c r="N10" s="2">
        <f>SUMIFS(VI_Debitos!$V:$V,VI_Debitos!$H:$H,$C10,VI_Debitos!$T:$T,$D10,VI_Debitos!$R:$R,LEFT(PAGADO!N$1,4),VI_Debitos!$Q:$Q,RIGHT(N$1,2))</f>
        <v>-4</v>
      </c>
      <c r="O10" s="2">
        <f>SUMIFS(VI_Debitos!$V:$V,VI_Debitos!$H:$H,$C10,VI_Debitos!$T:$T,$D10,VI_Debitos!$R:$R,LEFT(PAGADO!O$1,4),VI_Debitos!$Q:$Q,RIGHT(O$1,2))</f>
        <v>0</v>
      </c>
      <c r="P10" s="2">
        <f>SUMIFS(VI_Debitos!$V:$V,VI_Debitos!$H:$H,$C10,VI_Debitos!$T:$T,$D10,VI_Debitos!$R:$R,LEFT(PAGADO!P$1,4),VI_Debitos!$Q:$Q,RIGHT(P$1,2))</f>
        <v>0</v>
      </c>
      <c r="Q10" s="2">
        <f>SUMIFS(VI_Debitos!$V:$V,VI_Debitos!$H:$H,$C10,VI_Debitos!$T:$T,$D10,VI_Debitos!$R:$R,LEFT(PAGADO!Q$1,4),VI_Debitos!$Q:$Q,RIGHT(Q$1,2))</f>
        <v>0</v>
      </c>
      <c r="R10" s="2">
        <f t="shared" si="0"/>
        <v>-4</v>
      </c>
    </row>
    <row r="11" spans="1:18">
      <c r="A11" t="s">
        <v>45</v>
      </c>
      <c r="B11" t="s">
        <v>775</v>
      </c>
      <c r="C11" t="s">
        <v>757</v>
      </c>
      <c r="D11" t="s">
        <v>777</v>
      </c>
      <c r="E11" t="s">
        <v>856</v>
      </c>
      <c r="F11" s="2">
        <f>SUMIFS(VI_Debitos!$V:$V,VI_Debitos!$H:$H,$C11,VI_Debitos!$T:$T,$D11,VI_Debitos!$R:$R,LEFT(PAGADO!F$1,4),VI_Debitos!$Q:$Q,RIGHT(F$1,2))</f>
        <v>0</v>
      </c>
      <c r="G11" s="2">
        <f>SUMIFS(VI_Debitos!$V:$V,VI_Debitos!$H:$H,$C11,VI_Debitos!$T:$T,$D11,VI_Debitos!$R:$R,LEFT(PAGADO!G$1,4),VI_Debitos!$Q:$Q,RIGHT(G$1,2))</f>
        <v>0</v>
      </c>
      <c r="H11" s="2">
        <f>SUMIFS(VI_Debitos!$V:$V,VI_Debitos!$H:$H,$C11,VI_Debitos!$T:$T,$D11,VI_Debitos!$R:$R,LEFT(PAGADO!H$1,4),VI_Debitos!$Q:$Q,RIGHT(H$1,2))</f>
        <v>0</v>
      </c>
      <c r="I11" s="2">
        <f>SUMIFS(VI_Debitos!$V:$V,VI_Debitos!$H:$H,$C11,VI_Debitos!$T:$T,$D11,VI_Debitos!$R:$R,LEFT(PAGADO!I$1,4),VI_Debitos!$Q:$Q,RIGHT(I$1,2))</f>
        <v>0</v>
      </c>
      <c r="J11" s="2">
        <f>SUMIFS(VI_Debitos!$V:$V,VI_Debitos!$H:$H,$C11,VI_Debitos!$T:$T,$D11,VI_Debitos!$R:$R,LEFT(PAGADO!J$1,4),VI_Debitos!$Q:$Q,RIGHT(J$1,2))</f>
        <v>0</v>
      </c>
      <c r="K11" s="2">
        <f>SUMIFS(VI_Debitos!$V:$V,VI_Debitos!$H:$H,$C11,VI_Debitos!$T:$T,$D11,VI_Debitos!$R:$R,LEFT(PAGADO!K$1,4),VI_Debitos!$Q:$Q,RIGHT(K$1,2))</f>
        <v>0</v>
      </c>
      <c r="L11" s="2">
        <f>SUMIFS(VI_Debitos!$V:$V,VI_Debitos!$H:$H,$C11,VI_Debitos!$T:$T,$D11,VI_Debitos!$R:$R,LEFT(PAGADO!L$1,4),VI_Debitos!$Q:$Q,RIGHT(L$1,2))</f>
        <v>0</v>
      </c>
      <c r="M11" s="2">
        <f>SUMIFS(VI_Debitos!$V:$V,VI_Debitos!$H:$H,$C11,VI_Debitos!$T:$T,$D11,VI_Debitos!$R:$R,LEFT(PAGADO!M$1,4),VI_Debitos!$Q:$Q,RIGHT(M$1,2))</f>
        <v>0</v>
      </c>
      <c r="N11" s="2">
        <f>SUMIFS(VI_Debitos!$V:$V,VI_Debitos!$H:$H,$C11,VI_Debitos!$T:$T,$D11,VI_Debitos!$R:$R,LEFT(PAGADO!N$1,4),VI_Debitos!$Q:$Q,RIGHT(N$1,2))</f>
        <v>0</v>
      </c>
      <c r="O11" s="2">
        <f>SUMIFS(VI_Debitos!$V:$V,VI_Debitos!$H:$H,$C11,VI_Debitos!$T:$T,$D11,VI_Debitos!$R:$R,LEFT(PAGADO!O$1,4),VI_Debitos!$Q:$Q,RIGHT(O$1,2))</f>
        <v>0</v>
      </c>
      <c r="P11" s="2">
        <f>SUMIFS(VI_Debitos!$V:$V,VI_Debitos!$H:$H,$C11,VI_Debitos!$T:$T,$D11,VI_Debitos!$R:$R,LEFT(PAGADO!P$1,4),VI_Debitos!$Q:$Q,RIGHT(P$1,2))</f>
        <v>0</v>
      </c>
      <c r="Q11" s="2">
        <f>SUMIFS(VI_Debitos!$V:$V,VI_Debitos!$H:$H,$C11,VI_Debitos!$T:$T,$D11,VI_Debitos!$R:$R,LEFT(PAGADO!Q$1,4),VI_Debitos!$Q:$Q,RIGHT(Q$1,2))</f>
        <v>0</v>
      </c>
      <c r="R11" s="2">
        <f t="shared" si="0"/>
        <v>0</v>
      </c>
    </row>
    <row r="12" spans="1:18">
      <c r="A12" t="s">
        <v>45</v>
      </c>
      <c r="B12" t="s">
        <v>775</v>
      </c>
      <c r="C12" t="s">
        <v>757</v>
      </c>
      <c r="D12" t="s">
        <v>778</v>
      </c>
      <c r="E12" t="s">
        <v>857</v>
      </c>
      <c r="F12" s="2">
        <f>SUMIFS(VI_Debitos!$V:$V,VI_Debitos!$H:$H,$C12,VI_Debitos!$T:$T,$D12,VI_Debitos!$R:$R,LEFT(PAGADO!F$1,4),VI_Debitos!$Q:$Q,RIGHT(F$1,2))</f>
        <v>0</v>
      </c>
      <c r="G12" s="2">
        <f>SUMIFS(VI_Debitos!$V:$V,VI_Debitos!$H:$H,$C12,VI_Debitos!$T:$T,$D12,VI_Debitos!$R:$R,LEFT(PAGADO!G$1,4),VI_Debitos!$Q:$Q,RIGHT(G$1,2))</f>
        <v>0</v>
      </c>
      <c r="H12" s="2">
        <f>SUMIFS(VI_Debitos!$V:$V,VI_Debitos!$H:$H,$C12,VI_Debitos!$T:$T,$D12,VI_Debitos!$R:$R,LEFT(PAGADO!H$1,4),VI_Debitos!$Q:$Q,RIGHT(H$1,2))</f>
        <v>0</v>
      </c>
      <c r="I12" s="2">
        <f>SUMIFS(VI_Debitos!$V:$V,VI_Debitos!$H:$H,$C12,VI_Debitos!$T:$T,$D12,VI_Debitos!$R:$R,LEFT(PAGADO!I$1,4),VI_Debitos!$Q:$Q,RIGHT(I$1,2))</f>
        <v>0</v>
      </c>
      <c r="J12" s="2">
        <f>SUMIFS(VI_Debitos!$V:$V,VI_Debitos!$H:$H,$C12,VI_Debitos!$T:$T,$D12,VI_Debitos!$R:$R,LEFT(PAGADO!J$1,4),VI_Debitos!$Q:$Q,RIGHT(J$1,2))</f>
        <v>0</v>
      </c>
      <c r="K12" s="2">
        <f>SUMIFS(VI_Debitos!$V:$V,VI_Debitos!$H:$H,$C12,VI_Debitos!$T:$T,$D12,VI_Debitos!$R:$R,LEFT(PAGADO!K$1,4),VI_Debitos!$Q:$Q,RIGHT(K$1,2))</f>
        <v>0</v>
      </c>
      <c r="L12" s="2">
        <f>SUMIFS(VI_Debitos!$V:$V,VI_Debitos!$H:$H,$C12,VI_Debitos!$T:$T,$D12,VI_Debitos!$R:$R,LEFT(PAGADO!L$1,4),VI_Debitos!$Q:$Q,RIGHT(L$1,2))</f>
        <v>0</v>
      </c>
      <c r="M12" s="2">
        <f>SUMIFS(VI_Debitos!$V:$V,VI_Debitos!$H:$H,$C12,VI_Debitos!$T:$T,$D12,VI_Debitos!$R:$R,LEFT(PAGADO!M$1,4),VI_Debitos!$Q:$Q,RIGHT(M$1,2))</f>
        <v>0</v>
      </c>
      <c r="N12" s="2">
        <f>SUMIFS(VI_Debitos!$V:$V,VI_Debitos!$H:$H,$C12,VI_Debitos!$T:$T,$D12,VI_Debitos!$R:$R,LEFT(PAGADO!N$1,4),VI_Debitos!$Q:$Q,RIGHT(N$1,2))</f>
        <v>0</v>
      </c>
      <c r="O12" s="2">
        <f>SUMIFS(VI_Debitos!$V:$V,VI_Debitos!$H:$H,$C12,VI_Debitos!$T:$T,$D12,VI_Debitos!$R:$R,LEFT(PAGADO!O$1,4),VI_Debitos!$Q:$Q,RIGHT(O$1,2))</f>
        <v>0</v>
      </c>
      <c r="P12" s="2">
        <f>SUMIFS(VI_Debitos!$V:$V,VI_Debitos!$H:$H,$C12,VI_Debitos!$T:$T,$D12,VI_Debitos!$R:$R,LEFT(PAGADO!P$1,4),VI_Debitos!$Q:$Q,RIGHT(P$1,2))</f>
        <v>0</v>
      </c>
      <c r="Q12" s="2">
        <f>SUMIFS(VI_Debitos!$V:$V,VI_Debitos!$H:$H,$C12,VI_Debitos!$T:$T,$D12,VI_Debitos!$R:$R,LEFT(PAGADO!Q$1,4),VI_Debitos!$Q:$Q,RIGHT(Q$1,2))</f>
        <v>0</v>
      </c>
      <c r="R12" s="2">
        <f t="shared" si="0"/>
        <v>0</v>
      </c>
    </row>
    <row r="13" spans="1:18">
      <c r="A13" t="s">
        <v>45</v>
      </c>
      <c r="B13" t="s">
        <v>775</v>
      </c>
      <c r="C13" t="s">
        <v>757</v>
      </c>
      <c r="D13" t="s">
        <v>779</v>
      </c>
      <c r="E13" t="s">
        <v>858</v>
      </c>
      <c r="F13" s="2">
        <f>SUMIFS(VI_Debitos!$V:$V,VI_Debitos!$H:$H,$C13,VI_Debitos!$T:$T,$D13,VI_Debitos!$R:$R,LEFT(PAGADO!F$1,4),VI_Debitos!$Q:$Q,RIGHT(F$1,2))</f>
        <v>0</v>
      </c>
      <c r="G13" s="2">
        <f>SUMIFS(VI_Debitos!$V:$V,VI_Debitos!$H:$H,$C13,VI_Debitos!$T:$T,$D13,VI_Debitos!$R:$R,LEFT(PAGADO!G$1,4),VI_Debitos!$Q:$Q,RIGHT(G$1,2))</f>
        <v>0</v>
      </c>
      <c r="H13" s="2">
        <f>SUMIFS(VI_Debitos!$V:$V,VI_Debitos!$H:$H,$C13,VI_Debitos!$T:$T,$D13,VI_Debitos!$R:$R,LEFT(PAGADO!H$1,4),VI_Debitos!$Q:$Q,RIGHT(H$1,2))</f>
        <v>0</v>
      </c>
      <c r="I13" s="2">
        <f>SUMIFS(VI_Debitos!$V:$V,VI_Debitos!$H:$H,$C13,VI_Debitos!$T:$T,$D13,VI_Debitos!$R:$R,LEFT(PAGADO!I$1,4),VI_Debitos!$Q:$Q,RIGHT(I$1,2))</f>
        <v>0</v>
      </c>
      <c r="J13" s="2">
        <f>SUMIFS(VI_Debitos!$V:$V,VI_Debitos!$H:$H,$C13,VI_Debitos!$T:$T,$D13,VI_Debitos!$R:$R,LEFT(PAGADO!J$1,4),VI_Debitos!$Q:$Q,RIGHT(J$1,2))</f>
        <v>0</v>
      </c>
      <c r="K13" s="2">
        <f>SUMIFS(VI_Debitos!$V:$V,VI_Debitos!$H:$H,$C13,VI_Debitos!$T:$T,$D13,VI_Debitos!$R:$R,LEFT(PAGADO!K$1,4),VI_Debitos!$Q:$Q,RIGHT(K$1,2))</f>
        <v>0</v>
      </c>
      <c r="L13" s="2">
        <f>SUMIFS(VI_Debitos!$V:$V,VI_Debitos!$H:$H,$C13,VI_Debitos!$T:$T,$D13,VI_Debitos!$R:$R,LEFT(PAGADO!L$1,4),VI_Debitos!$Q:$Q,RIGHT(L$1,2))</f>
        <v>0</v>
      </c>
      <c r="M13" s="2">
        <f>SUMIFS(VI_Debitos!$V:$V,VI_Debitos!$H:$H,$C13,VI_Debitos!$T:$T,$D13,VI_Debitos!$R:$R,LEFT(PAGADO!M$1,4),VI_Debitos!$Q:$Q,RIGHT(M$1,2))</f>
        <v>0</v>
      </c>
      <c r="N13" s="2">
        <f>SUMIFS(VI_Debitos!$V:$V,VI_Debitos!$H:$H,$C13,VI_Debitos!$T:$T,$D13,VI_Debitos!$R:$R,LEFT(PAGADO!N$1,4),VI_Debitos!$Q:$Q,RIGHT(N$1,2))</f>
        <v>0</v>
      </c>
      <c r="O13" s="2">
        <f>SUMIFS(VI_Debitos!$V:$V,VI_Debitos!$H:$H,$C13,VI_Debitos!$T:$T,$D13,VI_Debitos!$R:$R,LEFT(PAGADO!O$1,4),VI_Debitos!$Q:$Q,RIGHT(O$1,2))</f>
        <v>0</v>
      </c>
      <c r="P13" s="2">
        <f>SUMIFS(VI_Debitos!$V:$V,VI_Debitos!$H:$H,$C13,VI_Debitos!$T:$T,$D13,VI_Debitos!$R:$R,LEFT(PAGADO!P$1,4),VI_Debitos!$Q:$Q,RIGHT(P$1,2))</f>
        <v>0</v>
      </c>
      <c r="Q13" s="2">
        <f>SUMIFS(VI_Debitos!$V:$V,VI_Debitos!$H:$H,$C13,VI_Debitos!$T:$T,$D13,VI_Debitos!$R:$R,LEFT(PAGADO!Q$1,4),VI_Debitos!$Q:$Q,RIGHT(Q$1,2))</f>
        <v>0</v>
      </c>
      <c r="R13" s="2">
        <f t="shared" si="0"/>
        <v>0</v>
      </c>
    </row>
    <row r="14" spans="1:18">
      <c r="A14" t="s">
        <v>45</v>
      </c>
      <c r="B14" t="s">
        <v>775</v>
      </c>
      <c r="C14" t="s">
        <v>757</v>
      </c>
      <c r="D14" t="s">
        <v>780</v>
      </c>
      <c r="E14" t="s">
        <v>859</v>
      </c>
      <c r="F14" s="2">
        <f>SUMIFS(VI_Debitos!$V:$V,VI_Debitos!$H:$H,$C14,VI_Debitos!$T:$T,$D14,VI_Debitos!$R:$R,LEFT(PAGADO!F$1,4),VI_Debitos!$Q:$Q,RIGHT(F$1,2))</f>
        <v>0</v>
      </c>
      <c r="G14" s="2">
        <f>SUMIFS(VI_Debitos!$V:$V,VI_Debitos!$H:$H,$C14,VI_Debitos!$T:$T,$D14,VI_Debitos!$R:$R,LEFT(PAGADO!G$1,4),VI_Debitos!$Q:$Q,RIGHT(G$1,2))</f>
        <v>0</v>
      </c>
      <c r="H14" s="2">
        <f>SUMIFS(VI_Debitos!$V:$V,VI_Debitos!$H:$H,$C14,VI_Debitos!$T:$T,$D14,VI_Debitos!$R:$R,LEFT(PAGADO!H$1,4),VI_Debitos!$Q:$Q,RIGHT(H$1,2))</f>
        <v>0</v>
      </c>
      <c r="I14" s="2">
        <f>SUMIFS(VI_Debitos!$V:$V,VI_Debitos!$H:$H,$C14,VI_Debitos!$T:$T,$D14,VI_Debitos!$R:$R,LEFT(PAGADO!I$1,4),VI_Debitos!$Q:$Q,RIGHT(I$1,2))</f>
        <v>0</v>
      </c>
      <c r="J14" s="2">
        <f>SUMIFS(VI_Debitos!$V:$V,VI_Debitos!$H:$H,$C14,VI_Debitos!$T:$T,$D14,VI_Debitos!$R:$R,LEFT(PAGADO!J$1,4),VI_Debitos!$Q:$Q,RIGHT(J$1,2))</f>
        <v>0</v>
      </c>
      <c r="K14" s="2">
        <f>SUMIFS(VI_Debitos!$V:$V,VI_Debitos!$H:$H,$C14,VI_Debitos!$T:$T,$D14,VI_Debitos!$R:$R,LEFT(PAGADO!K$1,4),VI_Debitos!$Q:$Q,RIGHT(K$1,2))</f>
        <v>0</v>
      </c>
      <c r="L14" s="2">
        <f>SUMIFS(VI_Debitos!$V:$V,VI_Debitos!$H:$H,$C14,VI_Debitos!$T:$T,$D14,VI_Debitos!$R:$R,LEFT(PAGADO!L$1,4),VI_Debitos!$Q:$Q,RIGHT(L$1,2))</f>
        <v>0</v>
      </c>
      <c r="M14" s="2">
        <f>SUMIFS(VI_Debitos!$V:$V,VI_Debitos!$H:$H,$C14,VI_Debitos!$T:$T,$D14,VI_Debitos!$R:$R,LEFT(PAGADO!M$1,4),VI_Debitos!$Q:$Q,RIGHT(M$1,2))</f>
        <v>0</v>
      </c>
      <c r="N14" s="2">
        <f>SUMIFS(VI_Debitos!$V:$V,VI_Debitos!$H:$H,$C14,VI_Debitos!$T:$T,$D14,VI_Debitos!$R:$R,LEFT(PAGADO!N$1,4),VI_Debitos!$Q:$Q,RIGHT(N$1,2))</f>
        <v>0</v>
      </c>
      <c r="O14" s="2">
        <f>SUMIFS(VI_Debitos!$V:$V,VI_Debitos!$H:$H,$C14,VI_Debitos!$T:$T,$D14,VI_Debitos!$R:$R,LEFT(PAGADO!O$1,4),VI_Debitos!$Q:$Q,RIGHT(O$1,2))</f>
        <v>0</v>
      </c>
      <c r="P14" s="2">
        <f>SUMIFS(VI_Debitos!$V:$V,VI_Debitos!$H:$H,$C14,VI_Debitos!$T:$T,$D14,VI_Debitos!$R:$R,LEFT(PAGADO!P$1,4),VI_Debitos!$Q:$Q,RIGHT(P$1,2))</f>
        <v>0</v>
      </c>
      <c r="Q14" s="2">
        <f>SUMIFS(VI_Debitos!$V:$V,VI_Debitos!$H:$H,$C14,VI_Debitos!$T:$T,$D14,VI_Debitos!$R:$R,LEFT(PAGADO!Q$1,4),VI_Debitos!$Q:$Q,RIGHT(Q$1,2))</f>
        <v>0</v>
      </c>
      <c r="R14" s="2">
        <f t="shared" si="0"/>
        <v>0</v>
      </c>
    </row>
    <row r="15" spans="1:18">
      <c r="A15" t="s">
        <v>45</v>
      </c>
      <c r="B15" t="s">
        <v>775</v>
      </c>
      <c r="C15" t="s">
        <v>757</v>
      </c>
      <c r="D15" t="s">
        <v>781</v>
      </c>
      <c r="E15" t="s">
        <v>860</v>
      </c>
      <c r="F15" s="2">
        <f>SUMIFS(VI_Debitos!$V:$V,VI_Debitos!$H:$H,$C15,VI_Debitos!$T:$T,$D15,VI_Debitos!$R:$R,LEFT(PAGADO!F$1,4),VI_Debitos!$Q:$Q,RIGHT(F$1,2))</f>
        <v>0</v>
      </c>
      <c r="G15" s="2">
        <f>SUMIFS(VI_Debitos!$V:$V,VI_Debitos!$H:$H,$C15,VI_Debitos!$T:$T,$D15,VI_Debitos!$R:$R,LEFT(PAGADO!G$1,4),VI_Debitos!$Q:$Q,RIGHT(G$1,2))</f>
        <v>0</v>
      </c>
      <c r="H15" s="2">
        <f>SUMIFS(VI_Debitos!$V:$V,VI_Debitos!$H:$H,$C15,VI_Debitos!$T:$T,$D15,VI_Debitos!$R:$R,LEFT(PAGADO!H$1,4),VI_Debitos!$Q:$Q,RIGHT(H$1,2))</f>
        <v>0</v>
      </c>
      <c r="I15" s="2">
        <f>SUMIFS(VI_Debitos!$V:$V,VI_Debitos!$H:$H,$C15,VI_Debitos!$T:$T,$D15,VI_Debitos!$R:$R,LEFT(PAGADO!I$1,4),VI_Debitos!$Q:$Q,RIGHT(I$1,2))</f>
        <v>0</v>
      </c>
      <c r="J15" s="2">
        <f>SUMIFS(VI_Debitos!$V:$V,VI_Debitos!$H:$H,$C15,VI_Debitos!$T:$T,$D15,VI_Debitos!$R:$R,LEFT(PAGADO!J$1,4),VI_Debitos!$Q:$Q,RIGHT(J$1,2))</f>
        <v>0</v>
      </c>
      <c r="K15" s="2">
        <f>SUMIFS(VI_Debitos!$V:$V,VI_Debitos!$H:$H,$C15,VI_Debitos!$T:$T,$D15,VI_Debitos!$R:$R,LEFT(PAGADO!K$1,4),VI_Debitos!$Q:$Q,RIGHT(K$1,2))</f>
        <v>0</v>
      </c>
      <c r="L15" s="2">
        <f>SUMIFS(VI_Debitos!$V:$V,VI_Debitos!$H:$H,$C15,VI_Debitos!$T:$T,$D15,VI_Debitos!$R:$R,LEFT(PAGADO!L$1,4),VI_Debitos!$Q:$Q,RIGHT(L$1,2))</f>
        <v>0</v>
      </c>
      <c r="M15" s="2">
        <f>SUMIFS(VI_Debitos!$V:$V,VI_Debitos!$H:$H,$C15,VI_Debitos!$T:$T,$D15,VI_Debitos!$R:$R,LEFT(PAGADO!M$1,4),VI_Debitos!$Q:$Q,RIGHT(M$1,2))</f>
        <v>0</v>
      </c>
      <c r="N15" s="2">
        <f>SUMIFS(VI_Debitos!$V:$V,VI_Debitos!$H:$H,$C15,VI_Debitos!$T:$T,$D15,VI_Debitos!$R:$R,LEFT(PAGADO!N$1,4),VI_Debitos!$Q:$Q,RIGHT(N$1,2))</f>
        <v>0</v>
      </c>
      <c r="O15" s="2">
        <f>SUMIFS(VI_Debitos!$V:$V,VI_Debitos!$H:$H,$C15,VI_Debitos!$T:$T,$D15,VI_Debitos!$R:$R,LEFT(PAGADO!O$1,4),VI_Debitos!$Q:$Q,RIGHT(O$1,2))</f>
        <v>0</v>
      </c>
      <c r="P15" s="2">
        <f>SUMIFS(VI_Debitos!$V:$V,VI_Debitos!$H:$H,$C15,VI_Debitos!$T:$T,$D15,VI_Debitos!$R:$R,LEFT(PAGADO!P$1,4),VI_Debitos!$Q:$Q,RIGHT(P$1,2))</f>
        <v>0</v>
      </c>
      <c r="Q15" s="2">
        <f>SUMIFS(VI_Debitos!$V:$V,VI_Debitos!$H:$H,$C15,VI_Debitos!$T:$T,$D15,VI_Debitos!$R:$R,LEFT(PAGADO!Q$1,4),VI_Debitos!$Q:$Q,RIGHT(Q$1,2))</f>
        <v>0</v>
      </c>
      <c r="R15" s="2">
        <f t="shared" si="0"/>
        <v>0</v>
      </c>
    </row>
    <row r="16" spans="1:18">
      <c r="A16" t="s">
        <v>45</v>
      </c>
      <c r="B16" t="s">
        <v>775</v>
      </c>
      <c r="C16" t="s">
        <v>757</v>
      </c>
      <c r="D16" t="s">
        <v>782</v>
      </c>
      <c r="E16" t="s">
        <v>861</v>
      </c>
      <c r="F16" s="2">
        <f>SUMIFS(VI_Debitos!$V:$V,VI_Debitos!$H:$H,$C16,VI_Debitos!$T:$T,$D16,VI_Debitos!$R:$R,LEFT(PAGADO!F$1,4),VI_Debitos!$Q:$Q,RIGHT(F$1,2))</f>
        <v>0</v>
      </c>
      <c r="G16" s="2">
        <f>SUMIFS(VI_Debitos!$V:$V,VI_Debitos!$H:$H,$C16,VI_Debitos!$T:$T,$D16,VI_Debitos!$R:$R,LEFT(PAGADO!G$1,4),VI_Debitos!$Q:$Q,RIGHT(G$1,2))</f>
        <v>0</v>
      </c>
      <c r="H16" s="2">
        <f>SUMIFS(VI_Debitos!$V:$V,VI_Debitos!$H:$H,$C16,VI_Debitos!$T:$T,$D16,VI_Debitos!$R:$R,LEFT(PAGADO!H$1,4),VI_Debitos!$Q:$Q,RIGHT(H$1,2))</f>
        <v>0</v>
      </c>
      <c r="I16" s="2">
        <f>SUMIFS(VI_Debitos!$V:$V,VI_Debitos!$H:$H,$C16,VI_Debitos!$T:$T,$D16,VI_Debitos!$R:$R,LEFT(PAGADO!I$1,4),VI_Debitos!$Q:$Q,RIGHT(I$1,2))</f>
        <v>0</v>
      </c>
      <c r="J16" s="2">
        <f>SUMIFS(VI_Debitos!$V:$V,VI_Debitos!$H:$H,$C16,VI_Debitos!$T:$T,$D16,VI_Debitos!$R:$R,LEFT(PAGADO!J$1,4),VI_Debitos!$Q:$Q,RIGHT(J$1,2))</f>
        <v>0</v>
      </c>
      <c r="K16" s="2">
        <f>SUMIFS(VI_Debitos!$V:$V,VI_Debitos!$H:$H,$C16,VI_Debitos!$T:$T,$D16,VI_Debitos!$R:$R,LEFT(PAGADO!K$1,4),VI_Debitos!$Q:$Q,RIGHT(K$1,2))</f>
        <v>0</v>
      </c>
      <c r="L16" s="2">
        <f>SUMIFS(VI_Debitos!$V:$V,VI_Debitos!$H:$H,$C16,VI_Debitos!$T:$T,$D16,VI_Debitos!$R:$R,LEFT(PAGADO!L$1,4),VI_Debitos!$Q:$Q,RIGHT(L$1,2))</f>
        <v>0</v>
      </c>
      <c r="M16" s="2">
        <f>SUMIFS(VI_Debitos!$V:$V,VI_Debitos!$H:$H,$C16,VI_Debitos!$T:$T,$D16,VI_Debitos!$R:$R,LEFT(PAGADO!M$1,4),VI_Debitos!$Q:$Q,RIGHT(M$1,2))</f>
        <v>0</v>
      </c>
      <c r="N16" s="2">
        <f>SUMIFS(VI_Debitos!$V:$V,VI_Debitos!$H:$H,$C16,VI_Debitos!$T:$T,$D16,VI_Debitos!$R:$R,LEFT(PAGADO!N$1,4),VI_Debitos!$Q:$Q,RIGHT(N$1,2))</f>
        <v>0</v>
      </c>
      <c r="O16" s="2">
        <f>SUMIFS(VI_Debitos!$V:$V,VI_Debitos!$H:$H,$C16,VI_Debitos!$T:$T,$D16,VI_Debitos!$R:$R,LEFT(PAGADO!O$1,4),VI_Debitos!$Q:$Q,RIGHT(O$1,2))</f>
        <v>0</v>
      </c>
      <c r="P16" s="2">
        <f>SUMIFS(VI_Debitos!$V:$V,VI_Debitos!$H:$H,$C16,VI_Debitos!$T:$T,$D16,VI_Debitos!$R:$R,LEFT(PAGADO!P$1,4),VI_Debitos!$Q:$Q,RIGHT(P$1,2))</f>
        <v>0</v>
      </c>
      <c r="Q16" s="2">
        <f>SUMIFS(VI_Debitos!$V:$V,VI_Debitos!$H:$H,$C16,VI_Debitos!$T:$T,$D16,VI_Debitos!$R:$R,LEFT(PAGADO!Q$1,4),VI_Debitos!$Q:$Q,RIGHT(Q$1,2))</f>
        <v>0</v>
      </c>
      <c r="R16" s="2">
        <f t="shared" si="0"/>
        <v>0</v>
      </c>
    </row>
    <row r="17" spans="1:18">
      <c r="A17" t="s">
        <v>45</v>
      </c>
      <c r="B17" t="s">
        <v>775</v>
      </c>
      <c r="C17" t="s">
        <v>757</v>
      </c>
      <c r="D17" t="s">
        <v>783</v>
      </c>
      <c r="E17" t="s">
        <v>862</v>
      </c>
      <c r="F17" s="2">
        <f>SUMIFS(VI_Debitos!$V:$V,VI_Debitos!$H:$H,$C17,VI_Debitos!$T:$T,$D17,VI_Debitos!$R:$R,LEFT(PAGADO!F$1,4),VI_Debitos!$Q:$Q,RIGHT(F$1,2))</f>
        <v>0</v>
      </c>
      <c r="G17" s="2">
        <f>SUMIFS(VI_Debitos!$V:$V,VI_Debitos!$H:$H,$C17,VI_Debitos!$T:$T,$D17,VI_Debitos!$R:$R,LEFT(PAGADO!G$1,4),VI_Debitos!$Q:$Q,RIGHT(G$1,2))</f>
        <v>0</v>
      </c>
      <c r="H17" s="2">
        <f>SUMIFS(VI_Debitos!$V:$V,VI_Debitos!$H:$H,$C17,VI_Debitos!$T:$T,$D17,VI_Debitos!$R:$R,LEFT(PAGADO!H$1,4),VI_Debitos!$Q:$Q,RIGHT(H$1,2))</f>
        <v>0</v>
      </c>
      <c r="I17" s="2">
        <f>SUMIFS(VI_Debitos!$V:$V,VI_Debitos!$H:$H,$C17,VI_Debitos!$T:$T,$D17,VI_Debitos!$R:$R,LEFT(PAGADO!I$1,4),VI_Debitos!$Q:$Q,RIGHT(I$1,2))</f>
        <v>0</v>
      </c>
      <c r="J17" s="2">
        <f>SUMIFS(VI_Debitos!$V:$V,VI_Debitos!$H:$H,$C17,VI_Debitos!$T:$T,$D17,VI_Debitos!$R:$R,LEFT(PAGADO!J$1,4),VI_Debitos!$Q:$Q,RIGHT(J$1,2))</f>
        <v>0</v>
      </c>
      <c r="K17" s="2">
        <f>SUMIFS(VI_Debitos!$V:$V,VI_Debitos!$H:$H,$C17,VI_Debitos!$T:$T,$D17,VI_Debitos!$R:$R,LEFT(PAGADO!K$1,4),VI_Debitos!$Q:$Q,RIGHT(K$1,2))</f>
        <v>0</v>
      </c>
      <c r="L17" s="2">
        <f>SUMIFS(VI_Debitos!$V:$V,VI_Debitos!$H:$H,$C17,VI_Debitos!$T:$T,$D17,VI_Debitos!$R:$R,LEFT(PAGADO!L$1,4),VI_Debitos!$Q:$Q,RIGHT(L$1,2))</f>
        <v>0</v>
      </c>
      <c r="M17" s="2">
        <f>SUMIFS(VI_Debitos!$V:$V,VI_Debitos!$H:$H,$C17,VI_Debitos!$T:$T,$D17,VI_Debitos!$R:$R,LEFT(PAGADO!M$1,4),VI_Debitos!$Q:$Q,RIGHT(M$1,2))</f>
        <v>0</v>
      </c>
      <c r="N17" s="2">
        <f>SUMIFS(VI_Debitos!$V:$V,VI_Debitos!$H:$H,$C17,VI_Debitos!$T:$T,$D17,VI_Debitos!$R:$R,LEFT(PAGADO!N$1,4),VI_Debitos!$Q:$Q,RIGHT(N$1,2))</f>
        <v>0</v>
      </c>
      <c r="O17" s="2">
        <f>SUMIFS(VI_Debitos!$V:$V,VI_Debitos!$H:$H,$C17,VI_Debitos!$T:$T,$D17,VI_Debitos!$R:$R,LEFT(PAGADO!O$1,4),VI_Debitos!$Q:$Q,RIGHT(O$1,2))</f>
        <v>0</v>
      </c>
      <c r="P17" s="2">
        <f>SUMIFS(VI_Debitos!$V:$V,VI_Debitos!$H:$H,$C17,VI_Debitos!$T:$T,$D17,VI_Debitos!$R:$R,LEFT(PAGADO!P$1,4),VI_Debitos!$Q:$Q,RIGHT(P$1,2))</f>
        <v>0</v>
      </c>
      <c r="Q17" s="2">
        <f>SUMIFS(VI_Debitos!$V:$V,VI_Debitos!$H:$H,$C17,VI_Debitos!$T:$T,$D17,VI_Debitos!$R:$R,LEFT(PAGADO!Q$1,4),VI_Debitos!$Q:$Q,RIGHT(Q$1,2))</f>
        <v>0</v>
      </c>
      <c r="R17" s="2">
        <f t="shared" si="0"/>
        <v>0</v>
      </c>
    </row>
    <row r="18" spans="1:18">
      <c r="A18" t="s">
        <v>45</v>
      </c>
      <c r="B18" t="s">
        <v>775</v>
      </c>
      <c r="C18" t="s">
        <v>56</v>
      </c>
      <c r="D18" t="s">
        <v>776</v>
      </c>
      <c r="E18" t="s">
        <v>863</v>
      </c>
      <c r="F18" s="2">
        <f>SUMIFS(VI_Debitos!$V:$V,VI_Debitos!$H:$H,$C18,VI_Debitos!$T:$T,$D18,VI_Debitos!$R:$R,LEFT(PAGADO!F$1,4),VI_Debitos!$Q:$Q,RIGHT(F$1,2))</f>
        <v>0</v>
      </c>
      <c r="G18" s="2">
        <f>SUMIFS(VI_Debitos!$V:$V,VI_Debitos!$H:$H,$C18,VI_Debitos!$T:$T,$D18,VI_Debitos!$R:$R,LEFT(PAGADO!G$1,4),VI_Debitos!$Q:$Q,RIGHT(G$1,2))</f>
        <v>-9636530</v>
      </c>
      <c r="H18" s="2">
        <f>SUMIFS(VI_Debitos!$V:$V,VI_Debitos!$H:$H,$C18,VI_Debitos!$T:$T,$D18,VI_Debitos!$R:$R,LEFT(PAGADO!H$1,4),VI_Debitos!$Q:$Q,RIGHT(H$1,2))</f>
        <v>0</v>
      </c>
      <c r="I18" s="2">
        <f>SUMIFS(VI_Debitos!$V:$V,VI_Debitos!$H:$H,$C18,VI_Debitos!$T:$T,$D18,VI_Debitos!$R:$R,LEFT(PAGADO!I$1,4),VI_Debitos!$Q:$Q,RIGHT(I$1,2))</f>
        <v>-10538970</v>
      </c>
      <c r="J18" s="2">
        <f>SUMIFS(VI_Debitos!$V:$V,VI_Debitos!$H:$H,$C18,VI_Debitos!$T:$T,$D18,VI_Debitos!$R:$R,LEFT(PAGADO!J$1,4),VI_Debitos!$Q:$Q,RIGHT(J$1,2))</f>
        <v>-12234236</v>
      </c>
      <c r="K18" s="2">
        <f>SUMIFS(VI_Debitos!$V:$V,VI_Debitos!$H:$H,$C18,VI_Debitos!$T:$T,$D18,VI_Debitos!$R:$R,LEFT(PAGADO!K$1,4),VI_Debitos!$Q:$Q,RIGHT(K$1,2))</f>
        <v>-5277009</v>
      </c>
      <c r="L18" s="2">
        <f>SUMIFS(VI_Debitos!$V:$V,VI_Debitos!$H:$H,$C18,VI_Debitos!$T:$T,$D18,VI_Debitos!$R:$R,LEFT(PAGADO!L$1,4),VI_Debitos!$Q:$Q,RIGHT(L$1,2))</f>
        <v>-7165158</v>
      </c>
      <c r="M18" s="2">
        <f>SUMIFS(VI_Debitos!$V:$V,VI_Debitos!$H:$H,$C18,VI_Debitos!$T:$T,$D18,VI_Debitos!$R:$R,LEFT(PAGADO!M$1,4),VI_Debitos!$Q:$Q,RIGHT(M$1,2))</f>
        <v>0</v>
      </c>
      <c r="N18" s="2">
        <f>SUMIFS(VI_Debitos!$V:$V,VI_Debitos!$H:$H,$C18,VI_Debitos!$T:$T,$D18,VI_Debitos!$R:$R,LEFT(PAGADO!N$1,4),VI_Debitos!$Q:$Q,RIGHT(N$1,2))</f>
        <v>-30215455</v>
      </c>
      <c r="O18" s="2">
        <f>SUMIFS(VI_Debitos!$V:$V,VI_Debitos!$H:$H,$C18,VI_Debitos!$T:$T,$D18,VI_Debitos!$R:$R,LEFT(PAGADO!O$1,4),VI_Debitos!$Q:$Q,RIGHT(O$1,2))</f>
        <v>-19311242</v>
      </c>
      <c r="P18" s="2">
        <f>SUMIFS(VI_Debitos!$V:$V,VI_Debitos!$H:$H,$C18,VI_Debitos!$T:$T,$D18,VI_Debitos!$R:$R,LEFT(PAGADO!P$1,4),VI_Debitos!$Q:$Q,RIGHT(P$1,2))</f>
        <v>-6855857</v>
      </c>
      <c r="Q18" s="2">
        <f>SUMIFS(VI_Debitos!$V:$V,VI_Debitos!$H:$H,$C18,VI_Debitos!$T:$T,$D18,VI_Debitos!$R:$R,LEFT(PAGADO!Q$1,4),VI_Debitos!$Q:$Q,RIGHT(Q$1,2))</f>
        <v>-15171249</v>
      </c>
      <c r="R18" s="2">
        <f t="shared" si="0"/>
        <v>-116405706</v>
      </c>
    </row>
    <row r="19" spans="1:18">
      <c r="A19" t="s">
        <v>45</v>
      </c>
      <c r="B19" t="s">
        <v>775</v>
      </c>
      <c r="C19" t="s">
        <v>56</v>
      </c>
      <c r="D19" t="s">
        <v>777</v>
      </c>
      <c r="E19" t="s">
        <v>864</v>
      </c>
      <c r="F19" s="2">
        <f>SUMIFS(VI_Debitos!$V:$V,VI_Debitos!$H:$H,$C19,VI_Debitos!$T:$T,$D19,VI_Debitos!$R:$R,LEFT(PAGADO!F$1,4),VI_Debitos!$Q:$Q,RIGHT(F$1,2))</f>
        <v>0</v>
      </c>
      <c r="G19" s="2">
        <f>SUMIFS(VI_Debitos!$V:$V,VI_Debitos!$H:$H,$C19,VI_Debitos!$T:$T,$D19,VI_Debitos!$R:$R,LEFT(PAGADO!G$1,4),VI_Debitos!$Q:$Q,RIGHT(G$1,2))</f>
        <v>0</v>
      </c>
      <c r="H19" s="2">
        <f>SUMIFS(VI_Debitos!$V:$V,VI_Debitos!$H:$H,$C19,VI_Debitos!$T:$T,$D19,VI_Debitos!$R:$R,LEFT(PAGADO!H$1,4),VI_Debitos!$Q:$Q,RIGHT(H$1,2))</f>
        <v>0</v>
      </c>
      <c r="I19" s="2">
        <f>SUMIFS(VI_Debitos!$V:$V,VI_Debitos!$H:$H,$C19,VI_Debitos!$T:$T,$D19,VI_Debitos!$R:$R,LEFT(PAGADO!I$1,4),VI_Debitos!$Q:$Q,RIGHT(I$1,2))</f>
        <v>0</v>
      </c>
      <c r="J19" s="2">
        <f>SUMIFS(VI_Debitos!$V:$V,VI_Debitos!$H:$H,$C19,VI_Debitos!$T:$T,$D19,VI_Debitos!$R:$R,LEFT(PAGADO!J$1,4),VI_Debitos!$Q:$Q,RIGHT(J$1,2))</f>
        <v>0</v>
      </c>
      <c r="K19" s="2">
        <f>SUMIFS(VI_Debitos!$V:$V,VI_Debitos!$H:$H,$C19,VI_Debitos!$T:$T,$D19,VI_Debitos!$R:$R,LEFT(PAGADO!K$1,4),VI_Debitos!$Q:$Q,RIGHT(K$1,2))</f>
        <v>0</v>
      </c>
      <c r="L19" s="2">
        <f>SUMIFS(VI_Debitos!$V:$V,VI_Debitos!$H:$H,$C19,VI_Debitos!$T:$T,$D19,VI_Debitos!$R:$R,LEFT(PAGADO!L$1,4),VI_Debitos!$Q:$Q,RIGHT(L$1,2))</f>
        <v>0</v>
      </c>
      <c r="M19" s="2">
        <f>SUMIFS(VI_Debitos!$V:$V,VI_Debitos!$H:$H,$C19,VI_Debitos!$T:$T,$D19,VI_Debitos!$R:$R,LEFT(PAGADO!M$1,4),VI_Debitos!$Q:$Q,RIGHT(M$1,2))</f>
        <v>0</v>
      </c>
      <c r="N19" s="2">
        <f>SUMIFS(VI_Debitos!$V:$V,VI_Debitos!$H:$H,$C19,VI_Debitos!$T:$T,$D19,VI_Debitos!$R:$R,LEFT(PAGADO!N$1,4),VI_Debitos!$Q:$Q,RIGHT(N$1,2))</f>
        <v>0</v>
      </c>
      <c r="O19" s="2">
        <f>SUMIFS(VI_Debitos!$V:$V,VI_Debitos!$H:$H,$C19,VI_Debitos!$T:$T,$D19,VI_Debitos!$R:$R,LEFT(PAGADO!O$1,4),VI_Debitos!$Q:$Q,RIGHT(O$1,2))</f>
        <v>0</v>
      </c>
      <c r="P19" s="2">
        <f>SUMIFS(VI_Debitos!$V:$V,VI_Debitos!$H:$H,$C19,VI_Debitos!$T:$T,$D19,VI_Debitos!$R:$R,LEFT(PAGADO!P$1,4),VI_Debitos!$Q:$Q,RIGHT(P$1,2))</f>
        <v>0</v>
      </c>
      <c r="Q19" s="2">
        <f>SUMIFS(VI_Debitos!$V:$V,VI_Debitos!$H:$H,$C19,VI_Debitos!$T:$T,$D19,VI_Debitos!$R:$R,LEFT(PAGADO!Q$1,4),VI_Debitos!$Q:$Q,RIGHT(Q$1,2))</f>
        <v>0</v>
      </c>
      <c r="R19" s="2">
        <f t="shared" si="0"/>
        <v>0</v>
      </c>
    </row>
    <row r="20" spans="1:18">
      <c r="A20" t="s">
        <v>45</v>
      </c>
      <c r="B20" t="s">
        <v>775</v>
      </c>
      <c r="C20" t="s">
        <v>56</v>
      </c>
      <c r="D20" t="s">
        <v>778</v>
      </c>
      <c r="E20" t="s">
        <v>865</v>
      </c>
      <c r="F20" s="2">
        <f>SUMIFS(VI_Debitos!$V:$V,VI_Debitos!$H:$H,$C20,VI_Debitos!$T:$T,$D20,VI_Debitos!$R:$R,LEFT(PAGADO!F$1,4),VI_Debitos!$Q:$Q,RIGHT(F$1,2))</f>
        <v>0</v>
      </c>
      <c r="G20" s="2">
        <f>SUMIFS(VI_Debitos!$V:$V,VI_Debitos!$H:$H,$C20,VI_Debitos!$T:$T,$D20,VI_Debitos!$R:$R,LEFT(PAGADO!G$1,4),VI_Debitos!$Q:$Q,RIGHT(G$1,2))</f>
        <v>0</v>
      </c>
      <c r="H20" s="2">
        <f>SUMIFS(VI_Debitos!$V:$V,VI_Debitos!$H:$H,$C20,VI_Debitos!$T:$T,$D20,VI_Debitos!$R:$R,LEFT(PAGADO!H$1,4),VI_Debitos!$Q:$Q,RIGHT(H$1,2))</f>
        <v>0</v>
      </c>
      <c r="I20" s="2">
        <f>SUMIFS(VI_Debitos!$V:$V,VI_Debitos!$H:$H,$C20,VI_Debitos!$T:$T,$D20,VI_Debitos!$R:$R,LEFT(PAGADO!I$1,4),VI_Debitos!$Q:$Q,RIGHT(I$1,2))</f>
        <v>0</v>
      </c>
      <c r="J20" s="2">
        <f>SUMIFS(VI_Debitos!$V:$V,VI_Debitos!$H:$H,$C20,VI_Debitos!$T:$T,$D20,VI_Debitos!$R:$R,LEFT(PAGADO!J$1,4),VI_Debitos!$Q:$Q,RIGHT(J$1,2))</f>
        <v>0</v>
      </c>
      <c r="K20" s="2">
        <f>SUMIFS(VI_Debitos!$V:$V,VI_Debitos!$H:$H,$C20,VI_Debitos!$T:$T,$D20,VI_Debitos!$R:$R,LEFT(PAGADO!K$1,4),VI_Debitos!$Q:$Q,RIGHT(K$1,2))</f>
        <v>0</v>
      </c>
      <c r="L20" s="2">
        <f>SUMIFS(VI_Debitos!$V:$V,VI_Debitos!$H:$H,$C20,VI_Debitos!$T:$T,$D20,VI_Debitos!$R:$R,LEFT(PAGADO!L$1,4),VI_Debitos!$Q:$Q,RIGHT(L$1,2))</f>
        <v>0</v>
      </c>
      <c r="M20" s="2">
        <f>SUMIFS(VI_Debitos!$V:$V,VI_Debitos!$H:$H,$C20,VI_Debitos!$T:$T,$D20,VI_Debitos!$R:$R,LEFT(PAGADO!M$1,4),VI_Debitos!$Q:$Q,RIGHT(M$1,2))</f>
        <v>0</v>
      </c>
      <c r="N20" s="2">
        <f>SUMIFS(VI_Debitos!$V:$V,VI_Debitos!$H:$H,$C20,VI_Debitos!$T:$T,$D20,VI_Debitos!$R:$R,LEFT(PAGADO!N$1,4),VI_Debitos!$Q:$Q,RIGHT(N$1,2))</f>
        <v>0</v>
      </c>
      <c r="O20" s="2">
        <f>SUMIFS(VI_Debitos!$V:$V,VI_Debitos!$H:$H,$C20,VI_Debitos!$T:$T,$D20,VI_Debitos!$R:$R,LEFT(PAGADO!O$1,4),VI_Debitos!$Q:$Q,RIGHT(O$1,2))</f>
        <v>0</v>
      </c>
      <c r="P20" s="2">
        <f>SUMIFS(VI_Debitos!$V:$V,VI_Debitos!$H:$H,$C20,VI_Debitos!$T:$T,$D20,VI_Debitos!$R:$R,LEFT(PAGADO!P$1,4),VI_Debitos!$Q:$Q,RIGHT(P$1,2))</f>
        <v>0</v>
      </c>
      <c r="Q20" s="2">
        <f>SUMIFS(VI_Debitos!$V:$V,VI_Debitos!$H:$H,$C20,VI_Debitos!$T:$T,$D20,VI_Debitos!$R:$R,LEFT(PAGADO!Q$1,4),VI_Debitos!$Q:$Q,RIGHT(Q$1,2))</f>
        <v>0</v>
      </c>
      <c r="R20" s="2">
        <f t="shared" si="0"/>
        <v>0</v>
      </c>
    </row>
    <row r="21" spans="1:18">
      <c r="A21" t="s">
        <v>45</v>
      </c>
      <c r="B21" t="s">
        <v>775</v>
      </c>
      <c r="C21" t="s">
        <v>56</v>
      </c>
      <c r="D21" t="s">
        <v>779</v>
      </c>
      <c r="E21" t="s">
        <v>866</v>
      </c>
      <c r="F21" s="2">
        <f>SUMIFS(VI_Debitos!$V:$V,VI_Debitos!$H:$H,$C21,VI_Debitos!$T:$T,$D21,VI_Debitos!$R:$R,LEFT(PAGADO!F$1,4),VI_Debitos!$Q:$Q,RIGHT(F$1,2))</f>
        <v>0</v>
      </c>
      <c r="G21" s="2">
        <f>SUMIFS(VI_Debitos!$V:$V,VI_Debitos!$H:$H,$C21,VI_Debitos!$T:$T,$D21,VI_Debitos!$R:$R,LEFT(PAGADO!G$1,4),VI_Debitos!$Q:$Q,RIGHT(G$1,2))</f>
        <v>0</v>
      </c>
      <c r="H21" s="2">
        <f>SUMIFS(VI_Debitos!$V:$V,VI_Debitos!$H:$H,$C21,VI_Debitos!$T:$T,$D21,VI_Debitos!$R:$R,LEFT(PAGADO!H$1,4),VI_Debitos!$Q:$Q,RIGHT(H$1,2))</f>
        <v>0</v>
      </c>
      <c r="I21" s="2">
        <f>SUMIFS(VI_Debitos!$V:$V,VI_Debitos!$H:$H,$C21,VI_Debitos!$T:$T,$D21,VI_Debitos!$R:$R,LEFT(PAGADO!I$1,4),VI_Debitos!$Q:$Q,RIGHT(I$1,2))</f>
        <v>0</v>
      </c>
      <c r="J21" s="2">
        <f>SUMIFS(VI_Debitos!$V:$V,VI_Debitos!$H:$H,$C21,VI_Debitos!$T:$T,$D21,VI_Debitos!$R:$R,LEFT(PAGADO!J$1,4),VI_Debitos!$Q:$Q,RIGHT(J$1,2))</f>
        <v>0</v>
      </c>
      <c r="K21" s="2">
        <f>SUMIFS(VI_Debitos!$V:$V,VI_Debitos!$H:$H,$C21,VI_Debitos!$T:$T,$D21,VI_Debitos!$R:$R,LEFT(PAGADO!K$1,4),VI_Debitos!$Q:$Q,RIGHT(K$1,2))</f>
        <v>0</v>
      </c>
      <c r="L21" s="2">
        <f>SUMIFS(VI_Debitos!$V:$V,VI_Debitos!$H:$H,$C21,VI_Debitos!$T:$T,$D21,VI_Debitos!$R:$R,LEFT(PAGADO!L$1,4),VI_Debitos!$Q:$Q,RIGHT(L$1,2))</f>
        <v>0</v>
      </c>
      <c r="M21" s="2">
        <f>SUMIFS(VI_Debitos!$V:$V,VI_Debitos!$H:$H,$C21,VI_Debitos!$T:$T,$D21,VI_Debitos!$R:$R,LEFT(PAGADO!M$1,4),VI_Debitos!$Q:$Q,RIGHT(M$1,2))</f>
        <v>0</v>
      </c>
      <c r="N21" s="2">
        <f>SUMIFS(VI_Debitos!$V:$V,VI_Debitos!$H:$H,$C21,VI_Debitos!$T:$T,$D21,VI_Debitos!$R:$R,LEFT(PAGADO!N$1,4),VI_Debitos!$Q:$Q,RIGHT(N$1,2))</f>
        <v>0</v>
      </c>
      <c r="O21" s="2">
        <f>SUMIFS(VI_Debitos!$V:$V,VI_Debitos!$H:$H,$C21,VI_Debitos!$T:$T,$D21,VI_Debitos!$R:$R,LEFT(PAGADO!O$1,4),VI_Debitos!$Q:$Q,RIGHT(O$1,2))</f>
        <v>0</v>
      </c>
      <c r="P21" s="2">
        <f>SUMIFS(VI_Debitos!$V:$V,VI_Debitos!$H:$H,$C21,VI_Debitos!$T:$T,$D21,VI_Debitos!$R:$R,LEFT(PAGADO!P$1,4),VI_Debitos!$Q:$Q,RIGHT(P$1,2))</f>
        <v>0</v>
      </c>
      <c r="Q21" s="2">
        <f>SUMIFS(VI_Debitos!$V:$V,VI_Debitos!$H:$H,$C21,VI_Debitos!$T:$T,$D21,VI_Debitos!$R:$R,LEFT(PAGADO!Q$1,4),VI_Debitos!$Q:$Q,RIGHT(Q$1,2))</f>
        <v>0</v>
      </c>
      <c r="R21" s="2">
        <f t="shared" si="0"/>
        <v>0</v>
      </c>
    </row>
    <row r="22" spans="1:18">
      <c r="A22" t="s">
        <v>45</v>
      </c>
      <c r="B22" t="s">
        <v>775</v>
      </c>
      <c r="C22" t="s">
        <v>56</v>
      </c>
      <c r="D22" t="s">
        <v>780</v>
      </c>
      <c r="E22" t="s">
        <v>867</v>
      </c>
      <c r="F22" s="2">
        <f>SUMIFS(VI_Debitos!$V:$V,VI_Debitos!$H:$H,$C22,VI_Debitos!$T:$T,$D22,VI_Debitos!$R:$R,LEFT(PAGADO!F$1,4),VI_Debitos!$Q:$Q,RIGHT(F$1,2))</f>
        <v>0</v>
      </c>
      <c r="G22" s="2">
        <f>SUMIFS(VI_Debitos!$V:$V,VI_Debitos!$H:$H,$C22,VI_Debitos!$T:$T,$D22,VI_Debitos!$R:$R,LEFT(PAGADO!G$1,4),VI_Debitos!$Q:$Q,RIGHT(G$1,2))</f>
        <v>-2638466</v>
      </c>
      <c r="H22" s="2">
        <f>SUMIFS(VI_Debitos!$V:$V,VI_Debitos!$H:$H,$C22,VI_Debitos!$T:$T,$D22,VI_Debitos!$R:$R,LEFT(PAGADO!H$1,4),VI_Debitos!$Q:$Q,RIGHT(H$1,2))</f>
        <v>0</v>
      </c>
      <c r="I22" s="2">
        <f>SUMIFS(VI_Debitos!$V:$V,VI_Debitos!$H:$H,$C22,VI_Debitos!$T:$T,$D22,VI_Debitos!$R:$R,LEFT(PAGADO!I$1,4),VI_Debitos!$Q:$Q,RIGHT(I$1,2))</f>
        <v>-1608646</v>
      </c>
      <c r="J22" s="2">
        <f>SUMIFS(VI_Debitos!$V:$V,VI_Debitos!$H:$H,$C22,VI_Debitos!$T:$T,$D22,VI_Debitos!$R:$R,LEFT(PAGADO!J$1,4),VI_Debitos!$Q:$Q,RIGHT(J$1,2))</f>
        <v>-5136871</v>
      </c>
      <c r="K22" s="2">
        <f>SUMIFS(VI_Debitos!$V:$V,VI_Debitos!$H:$H,$C22,VI_Debitos!$T:$T,$D22,VI_Debitos!$R:$R,LEFT(PAGADO!K$1,4),VI_Debitos!$Q:$Q,RIGHT(K$1,2))</f>
        <v>-2216861</v>
      </c>
      <c r="L22" s="2">
        <f>SUMIFS(VI_Debitos!$V:$V,VI_Debitos!$H:$H,$C22,VI_Debitos!$T:$T,$D22,VI_Debitos!$R:$R,LEFT(PAGADO!L$1,4),VI_Debitos!$Q:$Q,RIGHT(L$1,2))</f>
        <v>-1331508</v>
      </c>
      <c r="M22" s="2">
        <f>SUMIFS(VI_Debitos!$V:$V,VI_Debitos!$H:$H,$C22,VI_Debitos!$T:$T,$D22,VI_Debitos!$R:$R,LEFT(PAGADO!M$1,4),VI_Debitos!$Q:$Q,RIGHT(M$1,2))</f>
        <v>0</v>
      </c>
      <c r="N22" s="2">
        <f>SUMIFS(VI_Debitos!$V:$V,VI_Debitos!$H:$H,$C22,VI_Debitos!$T:$T,$D22,VI_Debitos!$R:$R,LEFT(PAGADO!N$1,4),VI_Debitos!$Q:$Q,RIGHT(N$1,2))</f>
        <v>-5761940</v>
      </c>
      <c r="O22" s="2">
        <f>SUMIFS(VI_Debitos!$V:$V,VI_Debitos!$H:$H,$C22,VI_Debitos!$T:$T,$D22,VI_Debitos!$R:$R,LEFT(PAGADO!O$1,4),VI_Debitos!$Q:$Q,RIGHT(O$1,2))</f>
        <v>-2840667</v>
      </c>
      <c r="P22" s="2">
        <f>SUMIFS(VI_Debitos!$V:$V,VI_Debitos!$H:$H,$C22,VI_Debitos!$T:$T,$D22,VI_Debitos!$R:$R,LEFT(PAGADO!P$1,4),VI_Debitos!$Q:$Q,RIGHT(P$1,2))</f>
        <v>-1556192</v>
      </c>
      <c r="Q22" s="2">
        <f>SUMIFS(VI_Debitos!$V:$V,VI_Debitos!$H:$H,$C22,VI_Debitos!$T:$T,$D22,VI_Debitos!$R:$R,LEFT(PAGADO!Q$1,4),VI_Debitos!$Q:$Q,RIGHT(Q$1,2))</f>
        <v>-3847445</v>
      </c>
      <c r="R22" s="2">
        <f t="shared" si="0"/>
        <v>-26938596</v>
      </c>
    </row>
    <row r="23" spans="1:18">
      <c r="A23" t="s">
        <v>45</v>
      </c>
      <c r="B23" t="s">
        <v>775</v>
      </c>
      <c r="C23" t="s">
        <v>56</v>
      </c>
      <c r="D23" t="s">
        <v>781</v>
      </c>
      <c r="E23" t="s">
        <v>868</v>
      </c>
      <c r="F23" s="2">
        <f>SUMIFS(VI_Debitos!$V:$V,VI_Debitos!$H:$H,$C23,VI_Debitos!$T:$T,$D23,VI_Debitos!$R:$R,LEFT(PAGADO!F$1,4),VI_Debitos!$Q:$Q,RIGHT(F$1,2))</f>
        <v>0</v>
      </c>
      <c r="G23" s="2">
        <f>SUMIFS(VI_Debitos!$V:$V,VI_Debitos!$H:$H,$C23,VI_Debitos!$T:$T,$D23,VI_Debitos!$R:$R,LEFT(PAGADO!G$1,4),VI_Debitos!$Q:$Q,RIGHT(G$1,2))</f>
        <v>0</v>
      </c>
      <c r="H23" s="2">
        <f>SUMIFS(VI_Debitos!$V:$V,VI_Debitos!$H:$H,$C23,VI_Debitos!$T:$T,$D23,VI_Debitos!$R:$R,LEFT(PAGADO!H$1,4),VI_Debitos!$Q:$Q,RIGHT(H$1,2))</f>
        <v>0</v>
      </c>
      <c r="I23" s="2">
        <f>SUMIFS(VI_Debitos!$V:$V,VI_Debitos!$H:$H,$C23,VI_Debitos!$T:$T,$D23,VI_Debitos!$R:$R,LEFT(PAGADO!I$1,4),VI_Debitos!$Q:$Q,RIGHT(I$1,2))</f>
        <v>0</v>
      </c>
      <c r="J23" s="2">
        <f>SUMIFS(VI_Debitos!$V:$V,VI_Debitos!$H:$H,$C23,VI_Debitos!$T:$T,$D23,VI_Debitos!$R:$R,LEFT(PAGADO!J$1,4),VI_Debitos!$Q:$Q,RIGHT(J$1,2))</f>
        <v>0</v>
      </c>
      <c r="K23" s="2">
        <f>SUMIFS(VI_Debitos!$V:$V,VI_Debitos!$H:$H,$C23,VI_Debitos!$T:$T,$D23,VI_Debitos!$R:$R,LEFT(PAGADO!K$1,4),VI_Debitos!$Q:$Q,RIGHT(K$1,2))</f>
        <v>0</v>
      </c>
      <c r="L23" s="2">
        <f>SUMIFS(VI_Debitos!$V:$V,VI_Debitos!$H:$H,$C23,VI_Debitos!$T:$T,$D23,VI_Debitos!$R:$R,LEFT(PAGADO!L$1,4),VI_Debitos!$Q:$Q,RIGHT(L$1,2))</f>
        <v>0</v>
      </c>
      <c r="M23" s="2">
        <f>SUMIFS(VI_Debitos!$V:$V,VI_Debitos!$H:$H,$C23,VI_Debitos!$T:$T,$D23,VI_Debitos!$R:$R,LEFT(PAGADO!M$1,4),VI_Debitos!$Q:$Q,RIGHT(M$1,2))</f>
        <v>0</v>
      </c>
      <c r="N23" s="2">
        <f>SUMIFS(VI_Debitos!$V:$V,VI_Debitos!$H:$H,$C23,VI_Debitos!$T:$T,$D23,VI_Debitos!$R:$R,LEFT(PAGADO!N$1,4),VI_Debitos!$Q:$Q,RIGHT(N$1,2))</f>
        <v>0</v>
      </c>
      <c r="O23" s="2">
        <f>SUMIFS(VI_Debitos!$V:$V,VI_Debitos!$H:$H,$C23,VI_Debitos!$T:$T,$D23,VI_Debitos!$R:$R,LEFT(PAGADO!O$1,4),VI_Debitos!$Q:$Q,RIGHT(O$1,2))</f>
        <v>0</v>
      </c>
      <c r="P23" s="2">
        <f>SUMIFS(VI_Debitos!$V:$V,VI_Debitos!$H:$H,$C23,VI_Debitos!$T:$T,$D23,VI_Debitos!$R:$R,LEFT(PAGADO!P$1,4),VI_Debitos!$Q:$Q,RIGHT(P$1,2))</f>
        <v>0</v>
      </c>
      <c r="Q23" s="2">
        <f>SUMIFS(VI_Debitos!$V:$V,VI_Debitos!$H:$H,$C23,VI_Debitos!$T:$T,$D23,VI_Debitos!$R:$R,LEFT(PAGADO!Q$1,4),VI_Debitos!$Q:$Q,RIGHT(Q$1,2))</f>
        <v>0</v>
      </c>
      <c r="R23" s="2">
        <f t="shared" si="0"/>
        <v>0</v>
      </c>
    </row>
    <row r="24" spans="1:18">
      <c r="A24" t="s">
        <v>45</v>
      </c>
      <c r="B24" t="s">
        <v>775</v>
      </c>
      <c r="C24" t="s">
        <v>56</v>
      </c>
      <c r="D24" t="s">
        <v>782</v>
      </c>
      <c r="E24" t="s">
        <v>869</v>
      </c>
      <c r="F24" s="2">
        <f>SUMIFS(VI_Debitos!$V:$V,VI_Debitos!$H:$H,$C24,VI_Debitos!$T:$T,$D24,VI_Debitos!$R:$R,LEFT(PAGADO!F$1,4),VI_Debitos!$Q:$Q,RIGHT(F$1,2))</f>
        <v>0</v>
      </c>
      <c r="G24" s="2">
        <f>SUMIFS(VI_Debitos!$V:$V,VI_Debitos!$H:$H,$C24,VI_Debitos!$T:$T,$D24,VI_Debitos!$R:$R,LEFT(PAGADO!G$1,4),VI_Debitos!$Q:$Q,RIGHT(G$1,2))</f>
        <v>0</v>
      </c>
      <c r="H24" s="2">
        <f>SUMIFS(VI_Debitos!$V:$V,VI_Debitos!$H:$H,$C24,VI_Debitos!$T:$T,$D24,VI_Debitos!$R:$R,LEFT(PAGADO!H$1,4),VI_Debitos!$Q:$Q,RIGHT(H$1,2))</f>
        <v>0</v>
      </c>
      <c r="I24" s="2">
        <f>SUMIFS(VI_Debitos!$V:$V,VI_Debitos!$H:$H,$C24,VI_Debitos!$T:$T,$D24,VI_Debitos!$R:$R,LEFT(PAGADO!I$1,4),VI_Debitos!$Q:$Q,RIGHT(I$1,2))</f>
        <v>0</v>
      </c>
      <c r="J24" s="2">
        <f>SUMIFS(VI_Debitos!$V:$V,VI_Debitos!$H:$H,$C24,VI_Debitos!$T:$T,$D24,VI_Debitos!$R:$R,LEFT(PAGADO!J$1,4),VI_Debitos!$Q:$Q,RIGHT(J$1,2))</f>
        <v>0</v>
      </c>
      <c r="K24" s="2">
        <f>SUMIFS(VI_Debitos!$V:$V,VI_Debitos!$H:$H,$C24,VI_Debitos!$T:$T,$D24,VI_Debitos!$R:$R,LEFT(PAGADO!K$1,4),VI_Debitos!$Q:$Q,RIGHT(K$1,2))</f>
        <v>0</v>
      </c>
      <c r="L24" s="2">
        <f>SUMIFS(VI_Debitos!$V:$V,VI_Debitos!$H:$H,$C24,VI_Debitos!$T:$T,$D24,VI_Debitos!$R:$R,LEFT(PAGADO!L$1,4),VI_Debitos!$Q:$Q,RIGHT(L$1,2))</f>
        <v>0</v>
      </c>
      <c r="M24" s="2">
        <f>SUMIFS(VI_Debitos!$V:$V,VI_Debitos!$H:$H,$C24,VI_Debitos!$T:$T,$D24,VI_Debitos!$R:$R,LEFT(PAGADO!M$1,4),VI_Debitos!$Q:$Q,RIGHT(M$1,2))</f>
        <v>0</v>
      </c>
      <c r="N24" s="2">
        <f>SUMIFS(VI_Debitos!$V:$V,VI_Debitos!$H:$H,$C24,VI_Debitos!$T:$T,$D24,VI_Debitos!$R:$R,LEFT(PAGADO!N$1,4),VI_Debitos!$Q:$Q,RIGHT(N$1,2))</f>
        <v>0</v>
      </c>
      <c r="O24" s="2">
        <f>SUMIFS(VI_Debitos!$V:$V,VI_Debitos!$H:$H,$C24,VI_Debitos!$T:$T,$D24,VI_Debitos!$R:$R,LEFT(PAGADO!O$1,4),VI_Debitos!$Q:$Q,RIGHT(O$1,2))</f>
        <v>0</v>
      </c>
      <c r="P24" s="2">
        <f>SUMIFS(VI_Debitos!$V:$V,VI_Debitos!$H:$H,$C24,VI_Debitos!$T:$T,$D24,VI_Debitos!$R:$R,LEFT(PAGADO!P$1,4),VI_Debitos!$Q:$Q,RIGHT(P$1,2))</f>
        <v>0</v>
      </c>
      <c r="Q24" s="2">
        <f>SUMIFS(VI_Debitos!$V:$V,VI_Debitos!$H:$H,$C24,VI_Debitos!$T:$T,$D24,VI_Debitos!$R:$R,LEFT(PAGADO!Q$1,4),VI_Debitos!$Q:$Q,RIGHT(Q$1,2))</f>
        <v>0</v>
      </c>
      <c r="R24" s="2">
        <f t="shared" si="0"/>
        <v>0</v>
      </c>
    </row>
    <row r="25" spans="1:18">
      <c r="A25" t="s">
        <v>45</v>
      </c>
      <c r="B25" t="s">
        <v>775</v>
      </c>
      <c r="C25" t="s">
        <v>56</v>
      </c>
      <c r="D25" t="s">
        <v>783</v>
      </c>
      <c r="E25" t="s">
        <v>870</v>
      </c>
      <c r="F25" s="2">
        <f>SUMIFS(VI_Debitos!$V:$V,VI_Debitos!$H:$H,$C25,VI_Debitos!$T:$T,$D25,VI_Debitos!$R:$R,LEFT(PAGADO!F$1,4),VI_Debitos!$Q:$Q,RIGHT(F$1,2))</f>
        <v>0</v>
      </c>
      <c r="G25" s="2">
        <f>SUMIFS(VI_Debitos!$V:$V,VI_Debitos!$H:$H,$C25,VI_Debitos!$T:$T,$D25,VI_Debitos!$R:$R,LEFT(PAGADO!G$1,4),VI_Debitos!$Q:$Q,RIGHT(G$1,2))</f>
        <v>-424987</v>
      </c>
      <c r="H25" s="2">
        <f>SUMIFS(VI_Debitos!$V:$V,VI_Debitos!$H:$H,$C25,VI_Debitos!$T:$T,$D25,VI_Debitos!$R:$R,LEFT(PAGADO!H$1,4),VI_Debitos!$Q:$Q,RIGHT(H$1,2))</f>
        <v>0</v>
      </c>
      <c r="I25" s="2">
        <f>SUMIFS(VI_Debitos!$V:$V,VI_Debitos!$H:$H,$C25,VI_Debitos!$T:$T,$D25,VI_Debitos!$R:$R,LEFT(PAGADO!I$1,4),VI_Debitos!$Q:$Q,RIGHT(I$1,2))</f>
        <v>1475588</v>
      </c>
      <c r="J25" s="2">
        <f>SUMIFS(VI_Debitos!$V:$V,VI_Debitos!$H:$H,$C25,VI_Debitos!$T:$T,$D25,VI_Debitos!$R:$R,LEFT(PAGADO!J$1,4),VI_Debitos!$Q:$Q,RIGHT(J$1,2))</f>
        <v>-167891</v>
      </c>
      <c r="K25" s="2">
        <f>SUMIFS(VI_Debitos!$V:$V,VI_Debitos!$H:$H,$C25,VI_Debitos!$T:$T,$D25,VI_Debitos!$R:$R,LEFT(PAGADO!K$1,4),VI_Debitos!$Q:$Q,RIGHT(K$1,2))</f>
        <v>-425398</v>
      </c>
      <c r="L25" s="2">
        <f>SUMIFS(VI_Debitos!$V:$V,VI_Debitos!$H:$H,$C25,VI_Debitos!$T:$T,$D25,VI_Debitos!$R:$R,LEFT(PAGADO!L$1,4),VI_Debitos!$Q:$Q,RIGHT(L$1,2))</f>
        <v>0</v>
      </c>
      <c r="M25" s="2">
        <f>SUMIFS(VI_Debitos!$V:$V,VI_Debitos!$H:$H,$C25,VI_Debitos!$T:$T,$D25,VI_Debitos!$R:$R,LEFT(PAGADO!M$1,4),VI_Debitos!$Q:$Q,RIGHT(M$1,2))</f>
        <v>0</v>
      </c>
      <c r="N25" s="2">
        <f>SUMIFS(VI_Debitos!$V:$V,VI_Debitos!$H:$H,$C25,VI_Debitos!$T:$T,$D25,VI_Debitos!$R:$R,LEFT(PAGADO!N$1,4),VI_Debitos!$Q:$Q,RIGHT(N$1,2))</f>
        <v>0</v>
      </c>
      <c r="O25" s="2">
        <f>SUMIFS(VI_Debitos!$V:$V,VI_Debitos!$H:$H,$C25,VI_Debitos!$T:$T,$D25,VI_Debitos!$R:$R,LEFT(PAGADO!O$1,4),VI_Debitos!$Q:$Q,RIGHT(O$1,2))</f>
        <v>-374459</v>
      </c>
      <c r="P25" s="2">
        <f>SUMIFS(VI_Debitos!$V:$V,VI_Debitos!$H:$H,$C25,VI_Debitos!$T:$T,$D25,VI_Debitos!$R:$R,LEFT(PAGADO!P$1,4),VI_Debitos!$Q:$Q,RIGHT(P$1,2))</f>
        <v>-82366</v>
      </c>
      <c r="Q25" s="2">
        <f>SUMIFS(VI_Debitos!$V:$V,VI_Debitos!$H:$H,$C25,VI_Debitos!$T:$T,$D25,VI_Debitos!$R:$R,LEFT(PAGADO!Q$1,4),VI_Debitos!$Q:$Q,RIGHT(Q$1,2))</f>
        <v>-5164103</v>
      </c>
      <c r="R25" s="2">
        <f t="shared" si="0"/>
        <v>-5163616</v>
      </c>
    </row>
    <row r="26" spans="1:18">
      <c r="A26" t="s">
        <v>45</v>
      </c>
      <c r="B26" t="s">
        <v>775</v>
      </c>
      <c r="C26" t="s">
        <v>758</v>
      </c>
      <c r="D26" t="s">
        <v>776</v>
      </c>
      <c r="E26" t="s">
        <v>871</v>
      </c>
      <c r="F26" s="2">
        <f>SUMIFS(VI_Debitos!$V:$V,VI_Debitos!$H:$H,$C26,VI_Debitos!$T:$T,$D26,VI_Debitos!$R:$R,LEFT(PAGADO!F$1,4),VI_Debitos!$Q:$Q,RIGHT(F$1,2))</f>
        <v>0</v>
      </c>
      <c r="G26" s="2">
        <f>SUMIFS(VI_Debitos!$V:$V,VI_Debitos!$H:$H,$C26,VI_Debitos!$T:$T,$D26,VI_Debitos!$R:$R,LEFT(PAGADO!G$1,4),VI_Debitos!$Q:$Q,RIGHT(G$1,2))</f>
        <v>0</v>
      </c>
      <c r="H26" s="2">
        <f>SUMIFS(VI_Debitos!$V:$V,VI_Debitos!$H:$H,$C26,VI_Debitos!$T:$T,$D26,VI_Debitos!$R:$R,LEFT(PAGADO!H$1,4),VI_Debitos!$Q:$Q,RIGHT(H$1,2))</f>
        <v>0</v>
      </c>
      <c r="I26" s="2">
        <f>SUMIFS(VI_Debitos!$V:$V,VI_Debitos!$H:$H,$C26,VI_Debitos!$T:$T,$D26,VI_Debitos!$R:$R,LEFT(PAGADO!I$1,4),VI_Debitos!$Q:$Q,RIGHT(I$1,2))</f>
        <v>0</v>
      </c>
      <c r="J26" s="2">
        <f>SUMIFS(VI_Debitos!$V:$V,VI_Debitos!$H:$H,$C26,VI_Debitos!$T:$T,$D26,VI_Debitos!$R:$R,LEFT(PAGADO!J$1,4),VI_Debitos!$Q:$Q,RIGHT(J$1,2))</f>
        <v>0</v>
      </c>
      <c r="K26" s="2">
        <f>SUMIFS(VI_Debitos!$V:$V,VI_Debitos!$H:$H,$C26,VI_Debitos!$T:$T,$D26,VI_Debitos!$R:$R,LEFT(PAGADO!K$1,4),VI_Debitos!$Q:$Q,RIGHT(K$1,2))</f>
        <v>0</v>
      </c>
      <c r="L26" s="2">
        <f>SUMIFS(VI_Debitos!$V:$V,VI_Debitos!$H:$H,$C26,VI_Debitos!$T:$T,$D26,VI_Debitos!$R:$R,LEFT(PAGADO!L$1,4),VI_Debitos!$Q:$Q,RIGHT(L$1,2))</f>
        <v>0</v>
      </c>
      <c r="M26" s="2">
        <f>SUMIFS(VI_Debitos!$V:$V,VI_Debitos!$H:$H,$C26,VI_Debitos!$T:$T,$D26,VI_Debitos!$R:$R,LEFT(PAGADO!M$1,4),VI_Debitos!$Q:$Q,RIGHT(M$1,2))</f>
        <v>0</v>
      </c>
      <c r="N26" s="2">
        <f>SUMIFS(VI_Debitos!$V:$V,VI_Debitos!$H:$H,$C26,VI_Debitos!$T:$T,$D26,VI_Debitos!$R:$R,LEFT(PAGADO!N$1,4),VI_Debitos!$Q:$Q,RIGHT(N$1,2))</f>
        <v>0</v>
      </c>
      <c r="O26" s="2">
        <f>SUMIFS(VI_Debitos!$V:$V,VI_Debitos!$H:$H,$C26,VI_Debitos!$T:$T,$D26,VI_Debitos!$R:$R,LEFT(PAGADO!O$1,4),VI_Debitos!$Q:$Q,RIGHT(O$1,2))</f>
        <v>-1</v>
      </c>
      <c r="P26" s="2">
        <f>SUMIFS(VI_Debitos!$V:$V,VI_Debitos!$H:$H,$C26,VI_Debitos!$T:$T,$D26,VI_Debitos!$R:$R,LEFT(PAGADO!P$1,4),VI_Debitos!$Q:$Q,RIGHT(P$1,2))</f>
        <v>0</v>
      </c>
      <c r="Q26" s="2">
        <f>SUMIFS(VI_Debitos!$V:$V,VI_Debitos!$H:$H,$C26,VI_Debitos!$T:$T,$D26,VI_Debitos!$R:$R,LEFT(PAGADO!Q$1,4),VI_Debitos!$Q:$Q,RIGHT(Q$1,2))</f>
        <v>0</v>
      </c>
      <c r="R26" s="2">
        <f t="shared" si="0"/>
        <v>-1</v>
      </c>
    </row>
    <row r="27" spans="1:18">
      <c r="A27" t="s">
        <v>45</v>
      </c>
      <c r="B27" t="s">
        <v>775</v>
      </c>
      <c r="C27" t="s">
        <v>758</v>
      </c>
      <c r="D27" t="s">
        <v>777</v>
      </c>
      <c r="E27" t="s">
        <v>872</v>
      </c>
      <c r="F27" s="2">
        <f>SUMIFS(VI_Debitos!$V:$V,VI_Debitos!$H:$H,$C27,VI_Debitos!$T:$T,$D27,VI_Debitos!$R:$R,LEFT(PAGADO!F$1,4),VI_Debitos!$Q:$Q,RIGHT(F$1,2))</f>
        <v>0</v>
      </c>
      <c r="G27" s="2">
        <f>SUMIFS(VI_Debitos!$V:$V,VI_Debitos!$H:$H,$C27,VI_Debitos!$T:$T,$D27,VI_Debitos!$R:$R,LEFT(PAGADO!G$1,4),VI_Debitos!$Q:$Q,RIGHT(G$1,2))</f>
        <v>0</v>
      </c>
      <c r="H27" s="2">
        <f>SUMIFS(VI_Debitos!$V:$V,VI_Debitos!$H:$H,$C27,VI_Debitos!$T:$T,$D27,VI_Debitos!$R:$R,LEFT(PAGADO!H$1,4),VI_Debitos!$Q:$Q,RIGHT(H$1,2))</f>
        <v>0</v>
      </c>
      <c r="I27" s="2">
        <f>SUMIFS(VI_Debitos!$V:$V,VI_Debitos!$H:$H,$C27,VI_Debitos!$T:$T,$D27,VI_Debitos!$R:$R,LEFT(PAGADO!I$1,4),VI_Debitos!$Q:$Q,RIGHT(I$1,2))</f>
        <v>0</v>
      </c>
      <c r="J27" s="2">
        <f>SUMIFS(VI_Debitos!$V:$V,VI_Debitos!$H:$H,$C27,VI_Debitos!$T:$T,$D27,VI_Debitos!$R:$R,LEFT(PAGADO!J$1,4),VI_Debitos!$Q:$Q,RIGHT(J$1,2))</f>
        <v>0</v>
      </c>
      <c r="K27" s="2">
        <f>SUMIFS(VI_Debitos!$V:$V,VI_Debitos!$H:$H,$C27,VI_Debitos!$T:$T,$D27,VI_Debitos!$R:$R,LEFT(PAGADO!K$1,4),VI_Debitos!$Q:$Q,RIGHT(K$1,2))</f>
        <v>0</v>
      </c>
      <c r="L27" s="2">
        <f>SUMIFS(VI_Debitos!$V:$V,VI_Debitos!$H:$H,$C27,VI_Debitos!$T:$T,$D27,VI_Debitos!$R:$R,LEFT(PAGADO!L$1,4),VI_Debitos!$Q:$Q,RIGHT(L$1,2))</f>
        <v>0</v>
      </c>
      <c r="M27" s="2">
        <f>SUMIFS(VI_Debitos!$V:$V,VI_Debitos!$H:$H,$C27,VI_Debitos!$T:$T,$D27,VI_Debitos!$R:$R,LEFT(PAGADO!M$1,4),VI_Debitos!$Q:$Q,RIGHT(M$1,2))</f>
        <v>0</v>
      </c>
      <c r="N27" s="2">
        <f>SUMIFS(VI_Debitos!$V:$V,VI_Debitos!$H:$H,$C27,VI_Debitos!$T:$T,$D27,VI_Debitos!$R:$R,LEFT(PAGADO!N$1,4),VI_Debitos!$Q:$Q,RIGHT(N$1,2))</f>
        <v>0</v>
      </c>
      <c r="O27" s="2">
        <f>SUMIFS(VI_Debitos!$V:$V,VI_Debitos!$H:$H,$C27,VI_Debitos!$T:$T,$D27,VI_Debitos!$R:$R,LEFT(PAGADO!O$1,4),VI_Debitos!$Q:$Q,RIGHT(O$1,2))</f>
        <v>0</v>
      </c>
      <c r="P27" s="2">
        <f>SUMIFS(VI_Debitos!$V:$V,VI_Debitos!$H:$H,$C27,VI_Debitos!$T:$T,$D27,VI_Debitos!$R:$R,LEFT(PAGADO!P$1,4),VI_Debitos!$Q:$Q,RIGHT(P$1,2))</f>
        <v>0</v>
      </c>
      <c r="Q27" s="2">
        <f>SUMIFS(VI_Debitos!$V:$V,VI_Debitos!$H:$H,$C27,VI_Debitos!$T:$T,$D27,VI_Debitos!$R:$R,LEFT(PAGADO!Q$1,4),VI_Debitos!$Q:$Q,RIGHT(Q$1,2))</f>
        <v>0</v>
      </c>
      <c r="R27" s="2">
        <f t="shared" si="0"/>
        <v>0</v>
      </c>
    </row>
    <row r="28" spans="1:18">
      <c r="A28" t="s">
        <v>45</v>
      </c>
      <c r="B28" t="s">
        <v>775</v>
      </c>
      <c r="C28" t="s">
        <v>758</v>
      </c>
      <c r="D28" t="s">
        <v>778</v>
      </c>
      <c r="E28" t="s">
        <v>873</v>
      </c>
      <c r="F28" s="2">
        <f>SUMIFS(VI_Debitos!$V:$V,VI_Debitos!$H:$H,$C28,VI_Debitos!$T:$T,$D28,VI_Debitos!$R:$R,LEFT(PAGADO!F$1,4),VI_Debitos!$Q:$Q,RIGHT(F$1,2))</f>
        <v>0</v>
      </c>
      <c r="G28" s="2">
        <f>SUMIFS(VI_Debitos!$V:$V,VI_Debitos!$H:$H,$C28,VI_Debitos!$T:$T,$D28,VI_Debitos!$R:$R,LEFT(PAGADO!G$1,4),VI_Debitos!$Q:$Q,RIGHT(G$1,2))</f>
        <v>0</v>
      </c>
      <c r="H28" s="2">
        <f>SUMIFS(VI_Debitos!$V:$V,VI_Debitos!$H:$H,$C28,VI_Debitos!$T:$T,$D28,VI_Debitos!$R:$R,LEFT(PAGADO!H$1,4),VI_Debitos!$Q:$Q,RIGHT(H$1,2))</f>
        <v>0</v>
      </c>
      <c r="I28" s="2">
        <f>SUMIFS(VI_Debitos!$V:$V,VI_Debitos!$H:$H,$C28,VI_Debitos!$T:$T,$D28,VI_Debitos!$R:$R,LEFT(PAGADO!I$1,4),VI_Debitos!$Q:$Q,RIGHT(I$1,2))</f>
        <v>0</v>
      </c>
      <c r="J28" s="2">
        <f>SUMIFS(VI_Debitos!$V:$V,VI_Debitos!$H:$H,$C28,VI_Debitos!$T:$T,$D28,VI_Debitos!$R:$R,LEFT(PAGADO!J$1,4),VI_Debitos!$Q:$Q,RIGHT(J$1,2))</f>
        <v>0</v>
      </c>
      <c r="K28" s="2">
        <f>SUMIFS(VI_Debitos!$V:$V,VI_Debitos!$H:$H,$C28,VI_Debitos!$T:$T,$D28,VI_Debitos!$R:$R,LEFT(PAGADO!K$1,4),VI_Debitos!$Q:$Q,RIGHT(K$1,2))</f>
        <v>0</v>
      </c>
      <c r="L28" s="2">
        <f>SUMIFS(VI_Debitos!$V:$V,VI_Debitos!$H:$H,$C28,VI_Debitos!$T:$T,$D28,VI_Debitos!$R:$R,LEFT(PAGADO!L$1,4),VI_Debitos!$Q:$Q,RIGHT(L$1,2))</f>
        <v>0</v>
      </c>
      <c r="M28" s="2">
        <f>SUMIFS(VI_Debitos!$V:$V,VI_Debitos!$H:$H,$C28,VI_Debitos!$T:$T,$D28,VI_Debitos!$R:$R,LEFT(PAGADO!M$1,4),VI_Debitos!$Q:$Q,RIGHT(M$1,2))</f>
        <v>0</v>
      </c>
      <c r="N28" s="2">
        <f>SUMIFS(VI_Debitos!$V:$V,VI_Debitos!$H:$H,$C28,VI_Debitos!$T:$T,$D28,VI_Debitos!$R:$R,LEFT(PAGADO!N$1,4),VI_Debitos!$Q:$Q,RIGHT(N$1,2))</f>
        <v>0</v>
      </c>
      <c r="O28" s="2">
        <f>SUMIFS(VI_Debitos!$V:$V,VI_Debitos!$H:$H,$C28,VI_Debitos!$T:$T,$D28,VI_Debitos!$R:$R,LEFT(PAGADO!O$1,4),VI_Debitos!$Q:$Q,RIGHT(O$1,2))</f>
        <v>0</v>
      </c>
      <c r="P28" s="2">
        <f>SUMIFS(VI_Debitos!$V:$V,VI_Debitos!$H:$H,$C28,VI_Debitos!$T:$T,$D28,VI_Debitos!$R:$R,LEFT(PAGADO!P$1,4),VI_Debitos!$Q:$Q,RIGHT(P$1,2))</f>
        <v>0</v>
      </c>
      <c r="Q28" s="2">
        <f>SUMIFS(VI_Debitos!$V:$V,VI_Debitos!$H:$H,$C28,VI_Debitos!$T:$T,$D28,VI_Debitos!$R:$R,LEFT(PAGADO!Q$1,4),VI_Debitos!$Q:$Q,RIGHT(Q$1,2))</f>
        <v>0</v>
      </c>
      <c r="R28" s="2">
        <f t="shared" si="0"/>
        <v>0</v>
      </c>
    </row>
    <row r="29" spans="1:18">
      <c r="A29" t="s">
        <v>45</v>
      </c>
      <c r="B29" t="s">
        <v>775</v>
      </c>
      <c r="C29" t="s">
        <v>758</v>
      </c>
      <c r="D29" t="s">
        <v>779</v>
      </c>
      <c r="E29" t="s">
        <v>874</v>
      </c>
      <c r="F29" s="2">
        <f>SUMIFS(VI_Debitos!$V:$V,VI_Debitos!$H:$H,$C29,VI_Debitos!$T:$T,$D29,VI_Debitos!$R:$R,LEFT(PAGADO!F$1,4),VI_Debitos!$Q:$Q,RIGHT(F$1,2))</f>
        <v>0</v>
      </c>
      <c r="G29" s="2">
        <f>SUMIFS(VI_Debitos!$V:$V,VI_Debitos!$H:$H,$C29,VI_Debitos!$T:$T,$D29,VI_Debitos!$R:$R,LEFT(PAGADO!G$1,4),VI_Debitos!$Q:$Q,RIGHT(G$1,2))</f>
        <v>0</v>
      </c>
      <c r="H29" s="2">
        <f>SUMIFS(VI_Debitos!$V:$V,VI_Debitos!$H:$H,$C29,VI_Debitos!$T:$T,$D29,VI_Debitos!$R:$R,LEFT(PAGADO!H$1,4),VI_Debitos!$Q:$Q,RIGHT(H$1,2))</f>
        <v>0</v>
      </c>
      <c r="I29" s="2">
        <f>SUMIFS(VI_Debitos!$V:$V,VI_Debitos!$H:$H,$C29,VI_Debitos!$T:$T,$D29,VI_Debitos!$R:$R,LEFT(PAGADO!I$1,4),VI_Debitos!$Q:$Q,RIGHT(I$1,2))</f>
        <v>0</v>
      </c>
      <c r="J29" s="2">
        <f>SUMIFS(VI_Debitos!$V:$V,VI_Debitos!$H:$H,$C29,VI_Debitos!$T:$T,$D29,VI_Debitos!$R:$R,LEFT(PAGADO!J$1,4),VI_Debitos!$Q:$Q,RIGHT(J$1,2))</f>
        <v>0</v>
      </c>
      <c r="K29" s="2">
        <f>SUMIFS(VI_Debitos!$V:$V,VI_Debitos!$H:$H,$C29,VI_Debitos!$T:$T,$D29,VI_Debitos!$R:$R,LEFT(PAGADO!K$1,4),VI_Debitos!$Q:$Q,RIGHT(K$1,2))</f>
        <v>0</v>
      </c>
      <c r="L29" s="2">
        <f>SUMIFS(VI_Debitos!$V:$V,VI_Debitos!$H:$H,$C29,VI_Debitos!$T:$T,$D29,VI_Debitos!$R:$R,LEFT(PAGADO!L$1,4),VI_Debitos!$Q:$Q,RIGHT(L$1,2))</f>
        <v>0</v>
      </c>
      <c r="M29" s="2">
        <f>SUMIFS(VI_Debitos!$V:$V,VI_Debitos!$H:$H,$C29,VI_Debitos!$T:$T,$D29,VI_Debitos!$R:$R,LEFT(PAGADO!M$1,4),VI_Debitos!$Q:$Q,RIGHT(M$1,2))</f>
        <v>0</v>
      </c>
      <c r="N29" s="2">
        <f>SUMIFS(VI_Debitos!$V:$V,VI_Debitos!$H:$H,$C29,VI_Debitos!$T:$T,$D29,VI_Debitos!$R:$R,LEFT(PAGADO!N$1,4),VI_Debitos!$Q:$Q,RIGHT(N$1,2))</f>
        <v>0</v>
      </c>
      <c r="O29" s="2">
        <f>SUMIFS(VI_Debitos!$V:$V,VI_Debitos!$H:$H,$C29,VI_Debitos!$T:$T,$D29,VI_Debitos!$R:$R,LEFT(PAGADO!O$1,4),VI_Debitos!$Q:$Q,RIGHT(O$1,2))</f>
        <v>0</v>
      </c>
      <c r="P29" s="2">
        <f>SUMIFS(VI_Debitos!$V:$V,VI_Debitos!$H:$H,$C29,VI_Debitos!$T:$T,$D29,VI_Debitos!$R:$R,LEFT(PAGADO!P$1,4),VI_Debitos!$Q:$Q,RIGHT(P$1,2))</f>
        <v>0</v>
      </c>
      <c r="Q29" s="2">
        <f>SUMIFS(VI_Debitos!$V:$V,VI_Debitos!$H:$H,$C29,VI_Debitos!$T:$T,$D29,VI_Debitos!$R:$R,LEFT(PAGADO!Q$1,4),VI_Debitos!$Q:$Q,RIGHT(Q$1,2))</f>
        <v>0</v>
      </c>
      <c r="R29" s="2">
        <f t="shared" si="0"/>
        <v>0</v>
      </c>
    </row>
    <row r="30" spans="1:18">
      <c r="A30" t="s">
        <v>45</v>
      </c>
      <c r="B30" t="s">
        <v>775</v>
      </c>
      <c r="C30" t="s">
        <v>758</v>
      </c>
      <c r="D30" t="s">
        <v>780</v>
      </c>
      <c r="E30" t="s">
        <v>875</v>
      </c>
      <c r="F30" s="2">
        <f>SUMIFS(VI_Debitos!$V:$V,VI_Debitos!$H:$H,$C30,VI_Debitos!$T:$T,$D30,VI_Debitos!$R:$R,LEFT(PAGADO!F$1,4),VI_Debitos!$Q:$Q,RIGHT(F$1,2))</f>
        <v>0</v>
      </c>
      <c r="G30" s="2">
        <f>SUMIFS(VI_Debitos!$V:$V,VI_Debitos!$H:$H,$C30,VI_Debitos!$T:$T,$D30,VI_Debitos!$R:$R,LEFT(PAGADO!G$1,4),VI_Debitos!$Q:$Q,RIGHT(G$1,2))</f>
        <v>0</v>
      </c>
      <c r="H30" s="2">
        <f>SUMIFS(VI_Debitos!$V:$V,VI_Debitos!$H:$H,$C30,VI_Debitos!$T:$T,$D30,VI_Debitos!$R:$R,LEFT(PAGADO!H$1,4),VI_Debitos!$Q:$Q,RIGHT(H$1,2))</f>
        <v>0</v>
      </c>
      <c r="I30" s="2">
        <f>SUMIFS(VI_Debitos!$V:$V,VI_Debitos!$H:$H,$C30,VI_Debitos!$T:$T,$D30,VI_Debitos!$R:$R,LEFT(PAGADO!I$1,4),VI_Debitos!$Q:$Q,RIGHT(I$1,2))</f>
        <v>0</v>
      </c>
      <c r="J30" s="2">
        <f>SUMIFS(VI_Debitos!$V:$V,VI_Debitos!$H:$H,$C30,VI_Debitos!$T:$T,$D30,VI_Debitos!$R:$R,LEFT(PAGADO!J$1,4),VI_Debitos!$Q:$Q,RIGHT(J$1,2))</f>
        <v>0</v>
      </c>
      <c r="K30" s="2">
        <f>SUMIFS(VI_Debitos!$V:$V,VI_Debitos!$H:$H,$C30,VI_Debitos!$T:$T,$D30,VI_Debitos!$R:$R,LEFT(PAGADO!K$1,4),VI_Debitos!$Q:$Q,RIGHT(K$1,2))</f>
        <v>0</v>
      </c>
      <c r="L30" s="2">
        <f>SUMIFS(VI_Debitos!$V:$V,VI_Debitos!$H:$H,$C30,VI_Debitos!$T:$T,$D30,VI_Debitos!$R:$R,LEFT(PAGADO!L$1,4),VI_Debitos!$Q:$Q,RIGHT(L$1,2))</f>
        <v>0</v>
      </c>
      <c r="M30" s="2">
        <f>SUMIFS(VI_Debitos!$V:$V,VI_Debitos!$H:$H,$C30,VI_Debitos!$T:$T,$D30,VI_Debitos!$R:$R,LEFT(PAGADO!M$1,4),VI_Debitos!$Q:$Q,RIGHT(M$1,2))</f>
        <v>0</v>
      </c>
      <c r="N30" s="2">
        <f>SUMIFS(VI_Debitos!$V:$V,VI_Debitos!$H:$H,$C30,VI_Debitos!$T:$T,$D30,VI_Debitos!$R:$R,LEFT(PAGADO!N$1,4),VI_Debitos!$Q:$Q,RIGHT(N$1,2))</f>
        <v>0</v>
      </c>
      <c r="O30" s="2">
        <f>SUMIFS(VI_Debitos!$V:$V,VI_Debitos!$H:$H,$C30,VI_Debitos!$T:$T,$D30,VI_Debitos!$R:$R,LEFT(PAGADO!O$1,4),VI_Debitos!$Q:$Q,RIGHT(O$1,2))</f>
        <v>0</v>
      </c>
      <c r="P30" s="2">
        <f>SUMIFS(VI_Debitos!$V:$V,VI_Debitos!$H:$H,$C30,VI_Debitos!$T:$T,$D30,VI_Debitos!$R:$R,LEFT(PAGADO!P$1,4),VI_Debitos!$Q:$Q,RIGHT(P$1,2))</f>
        <v>0</v>
      </c>
      <c r="Q30" s="2">
        <f>SUMIFS(VI_Debitos!$V:$V,VI_Debitos!$H:$H,$C30,VI_Debitos!$T:$T,$D30,VI_Debitos!$R:$R,LEFT(PAGADO!Q$1,4),VI_Debitos!$Q:$Q,RIGHT(Q$1,2))</f>
        <v>0</v>
      </c>
      <c r="R30" s="2">
        <f t="shared" si="0"/>
        <v>0</v>
      </c>
    </row>
    <row r="31" spans="1:18">
      <c r="A31" t="s">
        <v>45</v>
      </c>
      <c r="B31" t="s">
        <v>775</v>
      </c>
      <c r="C31" t="s">
        <v>758</v>
      </c>
      <c r="D31" t="s">
        <v>781</v>
      </c>
      <c r="E31" t="s">
        <v>876</v>
      </c>
      <c r="F31" s="2">
        <f>SUMIFS(VI_Debitos!$V:$V,VI_Debitos!$H:$H,$C31,VI_Debitos!$T:$T,$D31,VI_Debitos!$R:$R,LEFT(PAGADO!F$1,4),VI_Debitos!$Q:$Q,RIGHT(F$1,2))</f>
        <v>0</v>
      </c>
      <c r="G31" s="2">
        <f>SUMIFS(VI_Debitos!$V:$V,VI_Debitos!$H:$H,$C31,VI_Debitos!$T:$T,$D31,VI_Debitos!$R:$R,LEFT(PAGADO!G$1,4),VI_Debitos!$Q:$Q,RIGHT(G$1,2))</f>
        <v>0</v>
      </c>
      <c r="H31" s="2">
        <f>SUMIFS(VI_Debitos!$V:$V,VI_Debitos!$H:$H,$C31,VI_Debitos!$T:$T,$D31,VI_Debitos!$R:$R,LEFT(PAGADO!H$1,4),VI_Debitos!$Q:$Q,RIGHT(H$1,2))</f>
        <v>0</v>
      </c>
      <c r="I31" s="2">
        <f>SUMIFS(VI_Debitos!$V:$V,VI_Debitos!$H:$H,$C31,VI_Debitos!$T:$T,$D31,VI_Debitos!$R:$R,LEFT(PAGADO!I$1,4),VI_Debitos!$Q:$Q,RIGHT(I$1,2))</f>
        <v>0</v>
      </c>
      <c r="J31" s="2">
        <f>SUMIFS(VI_Debitos!$V:$V,VI_Debitos!$H:$H,$C31,VI_Debitos!$T:$T,$D31,VI_Debitos!$R:$R,LEFT(PAGADO!J$1,4),VI_Debitos!$Q:$Q,RIGHT(J$1,2))</f>
        <v>0</v>
      </c>
      <c r="K31" s="2">
        <f>SUMIFS(VI_Debitos!$V:$V,VI_Debitos!$H:$H,$C31,VI_Debitos!$T:$T,$D31,VI_Debitos!$R:$R,LEFT(PAGADO!K$1,4),VI_Debitos!$Q:$Q,RIGHT(K$1,2))</f>
        <v>0</v>
      </c>
      <c r="L31" s="2">
        <f>SUMIFS(VI_Debitos!$V:$V,VI_Debitos!$H:$H,$C31,VI_Debitos!$T:$T,$D31,VI_Debitos!$R:$R,LEFT(PAGADO!L$1,4),VI_Debitos!$Q:$Q,RIGHT(L$1,2))</f>
        <v>0</v>
      </c>
      <c r="M31" s="2">
        <f>SUMIFS(VI_Debitos!$V:$V,VI_Debitos!$H:$H,$C31,VI_Debitos!$T:$T,$D31,VI_Debitos!$R:$R,LEFT(PAGADO!M$1,4),VI_Debitos!$Q:$Q,RIGHT(M$1,2))</f>
        <v>0</v>
      </c>
      <c r="N31" s="2">
        <f>SUMIFS(VI_Debitos!$V:$V,VI_Debitos!$H:$H,$C31,VI_Debitos!$T:$T,$D31,VI_Debitos!$R:$R,LEFT(PAGADO!N$1,4),VI_Debitos!$Q:$Q,RIGHT(N$1,2))</f>
        <v>0</v>
      </c>
      <c r="O31" s="2">
        <f>SUMIFS(VI_Debitos!$V:$V,VI_Debitos!$H:$H,$C31,VI_Debitos!$T:$T,$D31,VI_Debitos!$R:$R,LEFT(PAGADO!O$1,4),VI_Debitos!$Q:$Q,RIGHT(O$1,2))</f>
        <v>0</v>
      </c>
      <c r="P31" s="2">
        <f>SUMIFS(VI_Debitos!$V:$V,VI_Debitos!$H:$H,$C31,VI_Debitos!$T:$T,$D31,VI_Debitos!$R:$R,LEFT(PAGADO!P$1,4),VI_Debitos!$Q:$Q,RIGHT(P$1,2))</f>
        <v>0</v>
      </c>
      <c r="Q31" s="2">
        <f>SUMIFS(VI_Debitos!$V:$V,VI_Debitos!$H:$H,$C31,VI_Debitos!$T:$T,$D31,VI_Debitos!$R:$R,LEFT(PAGADO!Q$1,4),VI_Debitos!$Q:$Q,RIGHT(Q$1,2))</f>
        <v>0</v>
      </c>
      <c r="R31" s="2">
        <f t="shared" si="0"/>
        <v>0</v>
      </c>
    </row>
    <row r="32" spans="1:18">
      <c r="A32" t="s">
        <v>45</v>
      </c>
      <c r="B32" t="s">
        <v>775</v>
      </c>
      <c r="C32" t="s">
        <v>758</v>
      </c>
      <c r="D32" t="s">
        <v>782</v>
      </c>
      <c r="E32" t="s">
        <v>877</v>
      </c>
      <c r="F32" s="2">
        <f>SUMIFS(VI_Debitos!$V:$V,VI_Debitos!$H:$H,$C32,VI_Debitos!$T:$T,$D32,VI_Debitos!$R:$R,LEFT(PAGADO!F$1,4),VI_Debitos!$Q:$Q,RIGHT(F$1,2))</f>
        <v>0</v>
      </c>
      <c r="G32" s="2">
        <f>SUMIFS(VI_Debitos!$V:$V,VI_Debitos!$H:$H,$C32,VI_Debitos!$T:$T,$D32,VI_Debitos!$R:$R,LEFT(PAGADO!G$1,4),VI_Debitos!$Q:$Q,RIGHT(G$1,2))</f>
        <v>0</v>
      </c>
      <c r="H32" s="2">
        <f>SUMIFS(VI_Debitos!$V:$V,VI_Debitos!$H:$H,$C32,VI_Debitos!$T:$T,$D32,VI_Debitos!$R:$R,LEFT(PAGADO!H$1,4),VI_Debitos!$Q:$Q,RIGHT(H$1,2))</f>
        <v>0</v>
      </c>
      <c r="I32" s="2">
        <f>SUMIFS(VI_Debitos!$V:$V,VI_Debitos!$H:$H,$C32,VI_Debitos!$T:$T,$D32,VI_Debitos!$R:$R,LEFT(PAGADO!I$1,4),VI_Debitos!$Q:$Q,RIGHT(I$1,2))</f>
        <v>0</v>
      </c>
      <c r="J32" s="2">
        <f>SUMIFS(VI_Debitos!$V:$V,VI_Debitos!$H:$H,$C32,VI_Debitos!$T:$T,$D32,VI_Debitos!$R:$R,LEFT(PAGADO!J$1,4),VI_Debitos!$Q:$Q,RIGHT(J$1,2))</f>
        <v>0</v>
      </c>
      <c r="K32" s="2">
        <f>SUMIFS(VI_Debitos!$V:$V,VI_Debitos!$H:$H,$C32,VI_Debitos!$T:$T,$D32,VI_Debitos!$R:$R,LEFT(PAGADO!K$1,4),VI_Debitos!$Q:$Q,RIGHT(K$1,2))</f>
        <v>0</v>
      </c>
      <c r="L32" s="2">
        <f>SUMIFS(VI_Debitos!$V:$V,VI_Debitos!$H:$H,$C32,VI_Debitos!$T:$T,$D32,VI_Debitos!$R:$R,LEFT(PAGADO!L$1,4),VI_Debitos!$Q:$Q,RIGHT(L$1,2))</f>
        <v>0</v>
      </c>
      <c r="M32" s="2">
        <f>SUMIFS(VI_Debitos!$V:$V,VI_Debitos!$H:$H,$C32,VI_Debitos!$T:$T,$D32,VI_Debitos!$R:$R,LEFT(PAGADO!M$1,4),VI_Debitos!$Q:$Q,RIGHT(M$1,2))</f>
        <v>0</v>
      </c>
      <c r="N32" s="2">
        <f>SUMIFS(VI_Debitos!$V:$V,VI_Debitos!$H:$H,$C32,VI_Debitos!$T:$T,$D32,VI_Debitos!$R:$R,LEFT(PAGADO!N$1,4),VI_Debitos!$Q:$Q,RIGHT(N$1,2))</f>
        <v>0</v>
      </c>
      <c r="O32" s="2">
        <f>SUMIFS(VI_Debitos!$V:$V,VI_Debitos!$H:$H,$C32,VI_Debitos!$T:$T,$D32,VI_Debitos!$R:$R,LEFT(PAGADO!O$1,4),VI_Debitos!$Q:$Q,RIGHT(O$1,2))</f>
        <v>0</v>
      </c>
      <c r="P32" s="2">
        <f>SUMIFS(VI_Debitos!$V:$V,VI_Debitos!$H:$H,$C32,VI_Debitos!$T:$T,$D32,VI_Debitos!$R:$R,LEFT(PAGADO!P$1,4),VI_Debitos!$Q:$Q,RIGHT(P$1,2))</f>
        <v>0</v>
      </c>
      <c r="Q32" s="2">
        <f>SUMIFS(VI_Debitos!$V:$V,VI_Debitos!$H:$H,$C32,VI_Debitos!$T:$T,$D32,VI_Debitos!$R:$R,LEFT(PAGADO!Q$1,4),VI_Debitos!$Q:$Q,RIGHT(Q$1,2))</f>
        <v>0</v>
      </c>
      <c r="R32" s="2">
        <f t="shared" si="0"/>
        <v>0</v>
      </c>
    </row>
    <row r="33" spans="1:18">
      <c r="A33" t="s">
        <v>45</v>
      </c>
      <c r="B33" t="s">
        <v>775</v>
      </c>
      <c r="C33" t="s">
        <v>758</v>
      </c>
      <c r="D33" t="s">
        <v>783</v>
      </c>
      <c r="E33" t="s">
        <v>878</v>
      </c>
      <c r="F33" s="2">
        <f>SUMIFS(VI_Debitos!$V:$V,VI_Debitos!$H:$H,$C33,VI_Debitos!$T:$T,$D33,VI_Debitos!$R:$R,LEFT(PAGADO!F$1,4),VI_Debitos!$Q:$Q,RIGHT(F$1,2))</f>
        <v>0</v>
      </c>
      <c r="G33" s="2">
        <f>SUMIFS(VI_Debitos!$V:$V,VI_Debitos!$H:$H,$C33,VI_Debitos!$T:$T,$D33,VI_Debitos!$R:$R,LEFT(PAGADO!G$1,4),VI_Debitos!$Q:$Q,RIGHT(G$1,2))</f>
        <v>0</v>
      </c>
      <c r="H33" s="2">
        <f>SUMIFS(VI_Debitos!$V:$V,VI_Debitos!$H:$H,$C33,VI_Debitos!$T:$T,$D33,VI_Debitos!$R:$R,LEFT(PAGADO!H$1,4),VI_Debitos!$Q:$Q,RIGHT(H$1,2))</f>
        <v>0</v>
      </c>
      <c r="I33" s="2">
        <f>SUMIFS(VI_Debitos!$V:$V,VI_Debitos!$H:$H,$C33,VI_Debitos!$T:$T,$D33,VI_Debitos!$R:$R,LEFT(PAGADO!I$1,4),VI_Debitos!$Q:$Q,RIGHT(I$1,2))</f>
        <v>0</v>
      </c>
      <c r="J33" s="2">
        <f>SUMIFS(VI_Debitos!$V:$V,VI_Debitos!$H:$H,$C33,VI_Debitos!$T:$T,$D33,VI_Debitos!$R:$R,LEFT(PAGADO!J$1,4),VI_Debitos!$Q:$Q,RIGHT(J$1,2))</f>
        <v>0</v>
      </c>
      <c r="K33" s="2">
        <f>SUMIFS(VI_Debitos!$V:$V,VI_Debitos!$H:$H,$C33,VI_Debitos!$T:$T,$D33,VI_Debitos!$R:$R,LEFT(PAGADO!K$1,4),VI_Debitos!$Q:$Q,RIGHT(K$1,2))</f>
        <v>0</v>
      </c>
      <c r="L33" s="2">
        <f>SUMIFS(VI_Debitos!$V:$V,VI_Debitos!$H:$H,$C33,VI_Debitos!$T:$T,$D33,VI_Debitos!$R:$R,LEFT(PAGADO!L$1,4),VI_Debitos!$Q:$Q,RIGHT(L$1,2))</f>
        <v>0</v>
      </c>
      <c r="M33" s="2">
        <f>SUMIFS(VI_Debitos!$V:$V,VI_Debitos!$H:$H,$C33,VI_Debitos!$T:$T,$D33,VI_Debitos!$R:$R,LEFT(PAGADO!M$1,4),VI_Debitos!$Q:$Q,RIGHT(M$1,2))</f>
        <v>0</v>
      </c>
      <c r="N33" s="2">
        <f>SUMIFS(VI_Debitos!$V:$V,VI_Debitos!$H:$H,$C33,VI_Debitos!$T:$T,$D33,VI_Debitos!$R:$R,LEFT(PAGADO!N$1,4),VI_Debitos!$Q:$Q,RIGHT(N$1,2))</f>
        <v>0</v>
      </c>
      <c r="O33" s="2">
        <f>SUMIFS(VI_Debitos!$V:$V,VI_Debitos!$H:$H,$C33,VI_Debitos!$T:$T,$D33,VI_Debitos!$R:$R,LEFT(PAGADO!O$1,4),VI_Debitos!$Q:$Q,RIGHT(O$1,2))</f>
        <v>0</v>
      </c>
      <c r="P33" s="2">
        <f>SUMIFS(VI_Debitos!$V:$V,VI_Debitos!$H:$H,$C33,VI_Debitos!$T:$T,$D33,VI_Debitos!$R:$R,LEFT(PAGADO!P$1,4),VI_Debitos!$Q:$Q,RIGHT(P$1,2))</f>
        <v>0</v>
      </c>
      <c r="Q33" s="2">
        <f>SUMIFS(VI_Debitos!$V:$V,VI_Debitos!$H:$H,$C33,VI_Debitos!$T:$T,$D33,VI_Debitos!$R:$R,LEFT(PAGADO!Q$1,4),VI_Debitos!$Q:$Q,RIGHT(Q$1,2))</f>
        <v>0</v>
      </c>
      <c r="R33" s="2">
        <f t="shared" si="0"/>
        <v>0</v>
      </c>
    </row>
    <row r="34" spans="1:18">
      <c r="F34" s="2">
        <f>SUMIFS(VI_Debitos!$V:$V,VI_Debitos!$H:$H,$C34,VI_Debitos!$T:$T,$D34,VI_Debitos!$R:$R,LEFT(PAGADO!F$1,4),VI_Debitos!$Q:$Q,RIGHT(F$1,2))</f>
        <v>0</v>
      </c>
      <c r="G34" s="2">
        <f>SUMIFS(VI_Debitos!$V:$V,VI_Debitos!$H:$H,$C34,VI_Debitos!$T:$T,$D34,VI_Debitos!$R:$R,LEFT(PAGADO!G$1,4),VI_Debitos!$Q:$Q,RIGHT(G$1,2))</f>
        <v>0</v>
      </c>
      <c r="H34" s="2">
        <f>SUMIFS(VI_Debitos!$V:$V,VI_Debitos!$H:$H,$C34,VI_Debitos!$T:$T,$D34,VI_Debitos!$R:$R,LEFT(PAGADO!H$1,4),VI_Debitos!$Q:$Q,RIGHT(H$1,2))</f>
        <v>0</v>
      </c>
      <c r="I34" s="2">
        <f>SUMIFS(VI_Debitos!$V:$V,VI_Debitos!$H:$H,$C34,VI_Debitos!$T:$T,$D34,VI_Debitos!$R:$R,LEFT(PAGADO!I$1,4),VI_Debitos!$Q:$Q,RIGHT(I$1,2))</f>
        <v>0</v>
      </c>
      <c r="J34" s="2">
        <f>SUMIFS(VI_Debitos!$V:$V,VI_Debitos!$H:$H,$C34,VI_Debitos!$T:$T,$D34,VI_Debitos!$R:$R,LEFT(PAGADO!J$1,4),VI_Debitos!$Q:$Q,RIGHT(J$1,2))</f>
        <v>0</v>
      </c>
      <c r="K34" s="2">
        <f>SUMIFS(VI_Debitos!$V:$V,VI_Debitos!$H:$H,$C34,VI_Debitos!$T:$T,$D34,VI_Debitos!$R:$R,LEFT(PAGADO!K$1,4),VI_Debitos!$Q:$Q,RIGHT(K$1,2))</f>
        <v>0</v>
      </c>
      <c r="L34" s="2">
        <f>SUMIFS(VI_Debitos!$V:$V,VI_Debitos!$H:$H,$C34,VI_Debitos!$T:$T,$D34,VI_Debitos!$R:$R,LEFT(PAGADO!L$1,4),VI_Debitos!$Q:$Q,RIGHT(L$1,2))</f>
        <v>0</v>
      </c>
      <c r="M34" s="2">
        <f>SUMIFS(VI_Debitos!$V:$V,VI_Debitos!$H:$H,$C34,VI_Debitos!$T:$T,$D34,VI_Debitos!$R:$R,LEFT(PAGADO!M$1,4),VI_Debitos!$Q:$Q,RIGHT(M$1,2))</f>
        <v>0</v>
      </c>
      <c r="N34" s="2">
        <f>SUMIFS(VI_Debitos!$V:$V,VI_Debitos!$H:$H,$C34,VI_Debitos!$T:$T,$D34,VI_Debitos!$R:$R,LEFT(PAGADO!N$1,4),VI_Debitos!$Q:$Q,RIGHT(N$1,2))</f>
        <v>0</v>
      </c>
      <c r="O34" s="2">
        <f>SUMIFS(VI_Debitos!$V:$V,VI_Debitos!$H:$H,$C34,VI_Debitos!$T:$T,$D34,VI_Debitos!$R:$R,LEFT(PAGADO!O$1,4),VI_Debitos!$Q:$Q,RIGHT(O$1,2))</f>
        <v>0</v>
      </c>
      <c r="P34" s="2">
        <f>SUMIFS(VI_Debitos!$V:$V,VI_Debitos!$H:$H,$C34,VI_Debitos!$T:$T,$D34,VI_Debitos!$R:$R,LEFT(PAGADO!P$1,4),VI_Debitos!$Q:$Q,RIGHT(P$1,2))</f>
        <v>0</v>
      </c>
      <c r="Q34" s="2">
        <f>SUMIFS(VI_Debitos!$V:$V,VI_Debitos!$H:$H,$C34,VI_Debitos!$T:$T,$D34,VI_Debitos!$R:$R,LEFT(PAGADO!Q$1,4),VI_Debitos!$Q:$Q,RIGHT(Q$1,2))</f>
        <v>0</v>
      </c>
      <c r="R34" s="2">
        <f t="shared" si="0"/>
        <v>0</v>
      </c>
    </row>
    <row r="35" spans="1:18">
      <c r="F35" s="2">
        <f>SUMIFS(VI_Debitos!$V:$V,VI_Debitos!$H:$H,$C35,VI_Debitos!$T:$T,$D35,VI_Debitos!$R:$R,LEFT(PAGADO!F$1,4),VI_Debitos!$Q:$Q,RIGHT(F$1,2))</f>
        <v>0</v>
      </c>
      <c r="G35" s="2">
        <f>SUMIFS(VI_Debitos!$V:$V,VI_Debitos!$H:$H,$C35,VI_Debitos!$T:$T,$D35,VI_Debitos!$R:$R,LEFT(PAGADO!G$1,4),VI_Debitos!$Q:$Q,RIGHT(G$1,2))</f>
        <v>0</v>
      </c>
      <c r="H35" s="2">
        <f>SUMIFS(VI_Debitos!$V:$V,VI_Debitos!$H:$H,$C35,VI_Debitos!$T:$T,$D35,VI_Debitos!$R:$R,LEFT(PAGADO!H$1,4),VI_Debitos!$Q:$Q,RIGHT(H$1,2))</f>
        <v>0</v>
      </c>
      <c r="I35" s="2">
        <f>SUMIFS(VI_Debitos!$V:$V,VI_Debitos!$H:$H,$C35,VI_Debitos!$T:$T,$D35,VI_Debitos!$R:$R,LEFT(PAGADO!I$1,4),VI_Debitos!$Q:$Q,RIGHT(I$1,2))</f>
        <v>0</v>
      </c>
      <c r="J35" s="2">
        <f>SUMIFS(VI_Debitos!$V:$V,VI_Debitos!$H:$H,$C35,VI_Debitos!$T:$T,$D35,VI_Debitos!$R:$R,LEFT(PAGADO!J$1,4),VI_Debitos!$Q:$Q,RIGHT(J$1,2))</f>
        <v>0</v>
      </c>
      <c r="K35" s="2">
        <f>SUMIFS(VI_Debitos!$V:$V,VI_Debitos!$H:$H,$C35,VI_Debitos!$T:$T,$D35,VI_Debitos!$R:$R,LEFT(PAGADO!K$1,4),VI_Debitos!$Q:$Q,RIGHT(K$1,2))</f>
        <v>0</v>
      </c>
      <c r="L35" s="2">
        <f>SUMIFS(VI_Debitos!$V:$V,VI_Debitos!$H:$H,$C35,VI_Debitos!$T:$T,$D35,VI_Debitos!$R:$R,LEFT(PAGADO!L$1,4),VI_Debitos!$Q:$Q,RIGHT(L$1,2))</f>
        <v>0</v>
      </c>
      <c r="M35" s="2">
        <f>SUMIFS(VI_Debitos!$V:$V,VI_Debitos!$H:$H,$C35,VI_Debitos!$T:$T,$D35,VI_Debitos!$R:$R,LEFT(PAGADO!M$1,4),VI_Debitos!$Q:$Q,RIGHT(M$1,2))</f>
        <v>0</v>
      </c>
      <c r="N35" s="2">
        <f>SUMIFS(VI_Debitos!$V:$V,VI_Debitos!$H:$H,$C35,VI_Debitos!$T:$T,$D35,VI_Debitos!$R:$R,LEFT(PAGADO!N$1,4),VI_Debitos!$Q:$Q,RIGHT(N$1,2))</f>
        <v>0</v>
      </c>
      <c r="O35" s="2">
        <f>SUMIFS(VI_Debitos!$V:$V,VI_Debitos!$H:$H,$C35,VI_Debitos!$T:$T,$D35,VI_Debitos!$R:$R,LEFT(PAGADO!O$1,4),VI_Debitos!$Q:$Q,RIGHT(O$1,2))</f>
        <v>0</v>
      </c>
      <c r="P35" s="2">
        <f>SUMIFS(VI_Debitos!$V:$V,VI_Debitos!$H:$H,$C35,VI_Debitos!$T:$T,$D35,VI_Debitos!$R:$R,LEFT(PAGADO!P$1,4),VI_Debitos!$Q:$Q,RIGHT(P$1,2))</f>
        <v>0</v>
      </c>
      <c r="Q35" s="2">
        <f>SUMIFS(VI_Debitos!$V:$V,VI_Debitos!$H:$H,$C35,VI_Debitos!$T:$T,$D35,VI_Debitos!$R:$R,LEFT(PAGADO!Q$1,4),VI_Debitos!$Q:$Q,RIGHT(Q$1,2))</f>
        <v>0</v>
      </c>
      <c r="R35" s="2">
        <f t="shared" si="0"/>
        <v>0</v>
      </c>
    </row>
    <row r="36" spans="1:18">
      <c r="F36" s="2">
        <f>SUMIFS(VI_Debitos!$V:$V,VI_Debitos!$H:$H,$C36,VI_Debitos!$T:$T,$D36,VI_Debitos!$R:$R,LEFT(PAGADO!F$1,4),VI_Debitos!$Q:$Q,RIGHT(F$1,2))</f>
        <v>0</v>
      </c>
      <c r="G36" s="2">
        <f>SUMIFS(VI_Debitos!$V:$V,VI_Debitos!$H:$H,$C36,VI_Debitos!$T:$T,$D36,VI_Debitos!$R:$R,LEFT(PAGADO!G$1,4),VI_Debitos!$Q:$Q,RIGHT(G$1,2))</f>
        <v>0</v>
      </c>
      <c r="H36" s="2">
        <f>SUMIFS(VI_Debitos!$V:$V,VI_Debitos!$H:$H,$C36,VI_Debitos!$T:$T,$D36,VI_Debitos!$R:$R,LEFT(PAGADO!H$1,4),VI_Debitos!$Q:$Q,RIGHT(H$1,2))</f>
        <v>0</v>
      </c>
      <c r="I36" s="2">
        <f>SUMIFS(VI_Debitos!$V:$V,VI_Debitos!$H:$H,$C36,VI_Debitos!$T:$T,$D36,VI_Debitos!$R:$R,LEFT(PAGADO!I$1,4),VI_Debitos!$Q:$Q,RIGHT(I$1,2))</f>
        <v>0</v>
      </c>
      <c r="J36" s="2">
        <f>SUMIFS(VI_Debitos!$V:$V,VI_Debitos!$H:$H,$C36,VI_Debitos!$T:$T,$D36,VI_Debitos!$R:$R,LEFT(PAGADO!J$1,4),VI_Debitos!$Q:$Q,RIGHT(J$1,2))</f>
        <v>0</v>
      </c>
      <c r="K36" s="2">
        <f>SUMIFS(VI_Debitos!$V:$V,VI_Debitos!$H:$H,$C36,VI_Debitos!$T:$T,$D36,VI_Debitos!$R:$R,LEFT(PAGADO!K$1,4),VI_Debitos!$Q:$Q,RIGHT(K$1,2))</f>
        <v>0</v>
      </c>
      <c r="L36" s="2">
        <f>SUMIFS(VI_Debitos!$V:$V,VI_Debitos!$H:$H,$C36,VI_Debitos!$T:$T,$D36,VI_Debitos!$R:$R,LEFT(PAGADO!L$1,4),VI_Debitos!$Q:$Q,RIGHT(L$1,2))</f>
        <v>0</v>
      </c>
      <c r="M36" s="2">
        <f>SUMIFS(VI_Debitos!$V:$V,VI_Debitos!$H:$H,$C36,VI_Debitos!$T:$T,$D36,VI_Debitos!$R:$R,LEFT(PAGADO!M$1,4),VI_Debitos!$Q:$Q,RIGHT(M$1,2))</f>
        <v>0</v>
      </c>
      <c r="N36" s="2">
        <f>SUMIFS(VI_Debitos!$V:$V,VI_Debitos!$H:$H,$C36,VI_Debitos!$T:$T,$D36,VI_Debitos!$R:$R,LEFT(PAGADO!N$1,4),VI_Debitos!$Q:$Q,RIGHT(N$1,2))</f>
        <v>0</v>
      </c>
      <c r="O36" s="2">
        <f>SUMIFS(VI_Debitos!$V:$V,VI_Debitos!$H:$H,$C36,VI_Debitos!$T:$T,$D36,VI_Debitos!$R:$R,LEFT(PAGADO!O$1,4),VI_Debitos!$Q:$Q,RIGHT(O$1,2))</f>
        <v>0</v>
      </c>
      <c r="P36" s="2">
        <f>SUMIFS(VI_Debitos!$V:$V,VI_Debitos!$H:$H,$C36,VI_Debitos!$T:$T,$D36,VI_Debitos!$R:$R,LEFT(PAGADO!P$1,4),VI_Debitos!$Q:$Q,RIGHT(P$1,2))</f>
        <v>0</v>
      </c>
      <c r="Q36" s="2">
        <f>SUMIFS(VI_Debitos!$V:$V,VI_Debitos!$H:$H,$C36,VI_Debitos!$T:$T,$D36,VI_Debitos!$R:$R,LEFT(PAGADO!Q$1,4),VI_Debitos!$Q:$Q,RIGHT(Q$1,2))</f>
        <v>0</v>
      </c>
      <c r="R36" s="2">
        <f t="shared" si="0"/>
        <v>0</v>
      </c>
    </row>
    <row r="37" spans="1:18">
      <c r="F37" s="2">
        <f>SUMIFS(VI_Debitos!$V:$V,VI_Debitos!$H:$H,$C37,VI_Debitos!$T:$T,$D37,VI_Debitos!$R:$R,LEFT(PAGADO!F$1,4),VI_Debitos!$Q:$Q,RIGHT(F$1,2))</f>
        <v>0</v>
      </c>
      <c r="G37" s="2">
        <f>SUMIFS(VI_Debitos!$V:$V,VI_Debitos!$H:$H,$C37,VI_Debitos!$T:$T,$D37,VI_Debitos!$R:$R,LEFT(PAGADO!G$1,4),VI_Debitos!$Q:$Q,RIGHT(G$1,2))</f>
        <v>0</v>
      </c>
      <c r="H37" s="2">
        <f>SUMIFS(VI_Debitos!$V:$V,VI_Debitos!$H:$H,$C37,VI_Debitos!$T:$T,$D37,VI_Debitos!$R:$R,LEFT(PAGADO!H$1,4),VI_Debitos!$Q:$Q,RIGHT(H$1,2))</f>
        <v>0</v>
      </c>
      <c r="I37" s="2">
        <f>SUMIFS(VI_Debitos!$V:$V,VI_Debitos!$H:$H,$C37,VI_Debitos!$T:$T,$D37,VI_Debitos!$R:$R,LEFT(PAGADO!I$1,4),VI_Debitos!$Q:$Q,RIGHT(I$1,2))</f>
        <v>0</v>
      </c>
      <c r="J37" s="2">
        <f>SUMIFS(VI_Debitos!$V:$V,VI_Debitos!$H:$H,$C37,VI_Debitos!$T:$T,$D37,VI_Debitos!$R:$R,LEFT(PAGADO!J$1,4),VI_Debitos!$Q:$Q,RIGHT(J$1,2))</f>
        <v>0</v>
      </c>
      <c r="K37" s="2">
        <f>SUMIFS(VI_Debitos!$V:$V,VI_Debitos!$H:$H,$C37,VI_Debitos!$T:$T,$D37,VI_Debitos!$R:$R,LEFT(PAGADO!K$1,4),VI_Debitos!$Q:$Q,RIGHT(K$1,2))</f>
        <v>0</v>
      </c>
      <c r="L37" s="2">
        <f>SUMIFS(VI_Debitos!$V:$V,VI_Debitos!$H:$H,$C37,VI_Debitos!$T:$T,$D37,VI_Debitos!$R:$R,LEFT(PAGADO!L$1,4),VI_Debitos!$Q:$Q,RIGHT(L$1,2))</f>
        <v>0</v>
      </c>
      <c r="M37" s="2">
        <f>SUMIFS(VI_Debitos!$V:$V,VI_Debitos!$H:$H,$C37,VI_Debitos!$T:$T,$D37,VI_Debitos!$R:$R,LEFT(PAGADO!M$1,4),VI_Debitos!$Q:$Q,RIGHT(M$1,2))</f>
        <v>0</v>
      </c>
      <c r="N37" s="2">
        <f>SUMIFS(VI_Debitos!$V:$V,VI_Debitos!$H:$H,$C37,VI_Debitos!$T:$T,$D37,VI_Debitos!$R:$R,LEFT(PAGADO!N$1,4),VI_Debitos!$Q:$Q,RIGHT(N$1,2))</f>
        <v>0</v>
      </c>
      <c r="O37" s="2">
        <f>SUMIFS(VI_Debitos!$V:$V,VI_Debitos!$H:$H,$C37,VI_Debitos!$T:$T,$D37,VI_Debitos!$R:$R,LEFT(PAGADO!O$1,4),VI_Debitos!$Q:$Q,RIGHT(O$1,2))</f>
        <v>0</v>
      </c>
      <c r="P37" s="2">
        <f>SUMIFS(VI_Debitos!$V:$V,VI_Debitos!$H:$H,$C37,VI_Debitos!$T:$T,$D37,VI_Debitos!$R:$R,LEFT(PAGADO!P$1,4),VI_Debitos!$Q:$Q,RIGHT(P$1,2))</f>
        <v>0</v>
      </c>
      <c r="Q37" s="2">
        <f>SUMIFS(VI_Debitos!$V:$V,VI_Debitos!$H:$H,$C37,VI_Debitos!$T:$T,$D37,VI_Debitos!$R:$R,LEFT(PAGADO!Q$1,4),VI_Debitos!$Q:$Q,RIGHT(Q$1,2))</f>
        <v>0</v>
      </c>
      <c r="R37" s="2">
        <f t="shared" si="0"/>
        <v>0</v>
      </c>
    </row>
    <row r="38" spans="1:18">
      <c r="F38" s="2">
        <f>SUMIFS(VI_Debitos!$V:$V,VI_Debitos!$H:$H,$C38,VI_Debitos!$T:$T,$D38,VI_Debitos!$R:$R,LEFT(PAGADO!F$1,4),VI_Debitos!$Q:$Q,RIGHT(F$1,2))</f>
        <v>0</v>
      </c>
      <c r="G38" s="2">
        <f>SUMIFS(VI_Debitos!$V:$V,VI_Debitos!$H:$H,$C38,VI_Debitos!$T:$T,$D38,VI_Debitos!$R:$R,LEFT(PAGADO!G$1,4),VI_Debitos!$Q:$Q,RIGHT(G$1,2))</f>
        <v>0</v>
      </c>
      <c r="H38" s="2">
        <f>SUMIFS(VI_Debitos!$V:$V,VI_Debitos!$H:$H,$C38,VI_Debitos!$T:$T,$D38,VI_Debitos!$R:$R,LEFT(PAGADO!H$1,4),VI_Debitos!$Q:$Q,RIGHT(H$1,2))</f>
        <v>0</v>
      </c>
      <c r="I38" s="2">
        <f>SUMIFS(VI_Debitos!$V:$V,VI_Debitos!$H:$H,$C38,VI_Debitos!$T:$T,$D38,VI_Debitos!$R:$R,LEFT(PAGADO!I$1,4),VI_Debitos!$Q:$Q,RIGHT(I$1,2))</f>
        <v>0</v>
      </c>
      <c r="J38" s="2">
        <f>SUMIFS(VI_Debitos!$V:$V,VI_Debitos!$H:$H,$C38,VI_Debitos!$T:$T,$D38,VI_Debitos!$R:$R,LEFT(PAGADO!J$1,4),VI_Debitos!$Q:$Q,RIGHT(J$1,2))</f>
        <v>0</v>
      </c>
      <c r="K38" s="2">
        <f>SUMIFS(VI_Debitos!$V:$V,VI_Debitos!$H:$H,$C38,VI_Debitos!$T:$T,$D38,VI_Debitos!$R:$R,LEFT(PAGADO!K$1,4),VI_Debitos!$Q:$Q,RIGHT(K$1,2))</f>
        <v>0</v>
      </c>
      <c r="L38" s="2">
        <f>SUMIFS(VI_Debitos!$V:$V,VI_Debitos!$H:$H,$C38,VI_Debitos!$T:$T,$D38,VI_Debitos!$R:$R,LEFT(PAGADO!L$1,4),VI_Debitos!$Q:$Q,RIGHT(L$1,2))</f>
        <v>0</v>
      </c>
      <c r="M38" s="2">
        <f>SUMIFS(VI_Debitos!$V:$V,VI_Debitos!$H:$H,$C38,VI_Debitos!$T:$T,$D38,VI_Debitos!$R:$R,LEFT(PAGADO!M$1,4),VI_Debitos!$Q:$Q,RIGHT(M$1,2))</f>
        <v>0</v>
      </c>
      <c r="N38" s="2">
        <f>SUMIFS(VI_Debitos!$V:$V,VI_Debitos!$H:$H,$C38,VI_Debitos!$T:$T,$D38,VI_Debitos!$R:$R,LEFT(PAGADO!N$1,4),VI_Debitos!$Q:$Q,RIGHT(N$1,2))</f>
        <v>0</v>
      </c>
      <c r="O38" s="2">
        <f>SUMIFS(VI_Debitos!$V:$V,VI_Debitos!$H:$H,$C38,VI_Debitos!$T:$T,$D38,VI_Debitos!$R:$R,LEFT(PAGADO!O$1,4),VI_Debitos!$Q:$Q,RIGHT(O$1,2))</f>
        <v>0</v>
      </c>
      <c r="P38" s="2">
        <f>SUMIFS(VI_Debitos!$V:$V,VI_Debitos!$H:$H,$C38,VI_Debitos!$T:$T,$D38,VI_Debitos!$R:$R,LEFT(PAGADO!P$1,4),VI_Debitos!$Q:$Q,RIGHT(P$1,2))</f>
        <v>0</v>
      </c>
      <c r="Q38" s="2">
        <f>SUMIFS(VI_Debitos!$V:$V,VI_Debitos!$H:$H,$C38,VI_Debitos!$T:$T,$D38,VI_Debitos!$R:$R,LEFT(PAGADO!Q$1,4),VI_Debitos!$Q:$Q,RIGHT(Q$1,2))</f>
        <v>0</v>
      </c>
      <c r="R38" s="2">
        <f t="shared" si="0"/>
        <v>0</v>
      </c>
    </row>
    <row r="39" spans="1:18">
      <c r="F39" s="2">
        <f>SUMIFS(VI_Debitos!$V:$V,VI_Debitos!$H:$H,$C39,VI_Debitos!$T:$T,$D39,VI_Debitos!$R:$R,LEFT(PAGADO!F$1,4),VI_Debitos!$Q:$Q,RIGHT(F$1,2))</f>
        <v>0</v>
      </c>
      <c r="G39" s="2">
        <f>SUMIFS(VI_Debitos!$V:$V,VI_Debitos!$H:$H,$C39,VI_Debitos!$T:$T,$D39,VI_Debitos!$R:$R,LEFT(PAGADO!G$1,4),VI_Debitos!$Q:$Q,RIGHT(G$1,2))</f>
        <v>0</v>
      </c>
      <c r="H39" s="2">
        <f>SUMIFS(VI_Debitos!$V:$V,VI_Debitos!$H:$H,$C39,VI_Debitos!$T:$T,$D39,VI_Debitos!$R:$R,LEFT(PAGADO!H$1,4),VI_Debitos!$Q:$Q,RIGHT(H$1,2))</f>
        <v>0</v>
      </c>
      <c r="I39" s="2">
        <f>SUMIFS(VI_Debitos!$V:$V,VI_Debitos!$H:$H,$C39,VI_Debitos!$T:$T,$D39,VI_Debitos!$R:$R,LEFT(PAGADO!I$1,4),VI_Debitos!$Q:$Q,RIGHT(I$1,2))</f>
        <v>0</v>
      </c>
      <c r="J39" s="2">
        <f>SUMIFS(VI_Debitos!$V:$V,VI_Debitos!$H:$H,$C39,VI_Debitos!$T:$T,$D39,VI_Debitos!$R:$R,LEFT(PAGADO!J$1,4),VI_Debitos!$Q:$Q,RIGHT(J$1,2))</f>
        <v>0</v>
      </c>
      <c r="K39" s="2">
        <f>SUMIFS(VI_Debitos!$V:$V,VI_Debitos!$H:$H,$C39,VI_Debitos!$T:$T,$D39,VI_Debitos!$R:$R,LEFT(PAGADO!K$1,4),VI_Debitos!$Q:$Q,RIGHT(K$1,2))</f>
        <v>0</v>
      </c>
      <c r="L39" s="2">
        <f>SUMIFS(VI_Debitos!$V:$V,VI_Debitos!$H:$H,$C39,VI_Debitos!$T:$T,$D39,VI_Debitos!$R:$R,LEFT(PAGADO!L$1,4),VI_Debitos!$Q:$Q,RIGHT(L$1,2))</f>
        <v>0</v>
      </c>
      <c r="M39" s="2">
        <f>SUMIFS(VI_Debitos!$V:$V,VI_Debitos!$H:$H,$C39,VI_Debitos!$T:$T,$D39,VI_Debitos!$R:$R,LEFT(PAGADO!M$1,4),VI_Debitos!$Q:$Q,RIGHT(M$1,2))</f>
        <v>0</v>
      </c>
      <c r="N39" s="2">
        <f>SUMIFS(VI_Debitos!$V:$V,VI_Debitos!$H:$H,$C39,VI_Debitos!$T:$T,$D39,VI_Debitos!$R:$R,LEFT(PAGADO!N$1,4),VI_Debitos!$Q:$Q,RIGHT(N$1,2))</f>
        <v>0</v>
      </c>
      <c r="O39" s="2">
        <f>SUMIFS(VI_Debitos!$V:$V,VI_Debitos!$H:$H,$C39,VI_Debitos!$T:$T,$D39,VI_Debitos!$R:$R,LEFT(PAGADO!O$1,4),VI_Debitos!$Q:$Q,RIGHT(O$1,2))</f>
        <v>0</v>
      </c>
      <c r="P39" s="2">
        <f>SUMIFS(VI_Debitos!$V:$V,VI_Debitos!$H:$H,$C39,VI_Debitos!$T:$T,$D39,VI_Debitos!$R:$R,LEFT(PAGADO!P$1,4),VI_Debitos!$Q:$Q,RIGHT(P$1,2))</f>
        <v>0</v>
      </c>
      <c r="Q39" s="2">
        <f>SUMIFS(VI_Debitos!$V:$V,VI_Debitos!$H:$H,$C39,VI_Debitos!$T:$T,$D39,VI_Debitos!$R:$R,LEFT(PAGADO!Q$1,4),VI_Debitos!$Q:$Q,RIGHT(Q$1,2))</f>
        <v>0</v>
      </c>
      <c r="R39" s="2">
        <f t="shared" si="0"/>
        <v>0</v>
      </c>
    </row>
    <row r="40" spans="1:18">
      <c r="F40" s="2">
        <f>SUMIFS(VI_Debitos!$V:$V,VI_Debitos!$H:$H,$C40,VI_Debitos!$T:$T,$D40,VI_Debitos!$R:$R,LEFT(PAGADO!F$1,4),VI_Debitos!$Q:$Q,RIGHT(F$1,2))</f>
        <v>0</v>
      </c>
      <c r="G40" s="2">
        <f>SUMIFS(VI_Debitos!$V:$V,VI_Debitos!$H:$H,$C40,VI_Debitos!$T:$T,$D40,VI_Debitos!$R:$R,LEFT(PAGADO!G$1,4),VI_Debitos!$Q:$Q,RIGHT(G$1,2))</f>
        <v>0</v>
      </c>
      <c r="H40" s="2">
        <f>SUMIFS(VI_Debitos!$V:$V,VI_Debitos!$H:$H,$C40,VI_Debitos!$T:$T,$D40,VI_Debitos!$R:$R,LEFT(PAGADO!H$1,4),VI_Debitos!$Q:$Q,RIGHT(H$1,2))</f>
        <v>0</v>
      </c>
      <c r="I40" s="2">
        <f>SUMIFS(VI_Debitos!$V:$V,VI_Debitos!$H:$H,$C40,VI_Debitos!$T:$T,$D40,VI_Debitos!$R:$R,LEFT(PAGADO!I$1,4),VI_Debitos!$Q:$Q,RIGHT(I$1,2))</f>
        <v>0</v>
      </c>
      <c r="J40" s="2">
        <f>SUMIFS(VI_Debitos!$V:$V,VI_Debitos!$H:$H,$C40,VI_Debitos!$T:$T,$D40,VI_Debitos!$R:$R,LEFT(PAGADO!J$1,4),VI_Debitos!$Q:$Q,RIGHT(J$1,2))</f>
        <v>0</v>
      </c>
      <c r="K40" s="2">
        <f>SUMIFS(VI_Debitos!$V:$V,VI_Debitos!$H:$H,$C40,VI_Debitos!$T:$T,$D40,VI_Debitos!$R:$R,LEFT(PAGADO!K$1,4),VI_Debitos!$Q:$Q,RIGHT(K$1,2))</f>
        <v>0</v>
      </c>
      <c r="L40" s="2">
        <f>SUMIFS(VI_Debitos!$V:$V,VI_Debitos!$H:$H,$C40,VI_Debitos!$T:$T,$D40,VI_Debitos!$R:$R,LEFT(PAGADO!L$1,4),VI_Debitos!$Q:$Q,RIGHT(L$1,2))</f>
        <v>0</v>
      </c>
      <c r="M40" s="2">
        <f>SUMIFS(VI_Debitos!$V:$V,VI_Debitos!$H:$H,$C40,VI_Debitos!$T:$T,$D40,VI_Debitos!$R:$R,LEFT(PAGADO!M$1,4),VI_Debitos!$Q:$Q,RIGHT(M$1,2))</f>
        <v>0</v>
      </c>
      <c r="N40" s="2">
        <f>SUMIFS(VI_Debitos!$V:$V,VI_Debitos!$H:$H,$C40,VI_Debitos!$T:$T,$D40,VI_Debitos!$R:$R,LEFT(PAGADO!N$1,4),VI_Debitos!$Q:$Q,RIGHT(N$1,2))</f>
        <v>0</v>
      </c>
      <c r="O40" s="2">
        <f>SUMIFS(VI_Debitos!$V:$V,VI_Debitos!$H:$H,$C40,VI_Debitos!$T:$T,$D40,VI_Debitos!$R:$R,LEFT(PAGADO!O$1,4),VI_Debitos!$Q:$Q,RIGHT(O$1,2))</f>
        <v>0</v>
      </c>
      <c r="P40" s="2">
        <f>SUMIFS(VI_Debitos!$V:$V,VI_Debitos!$H:$H,$C40,VI_Debitos!$T:$T,$D40,VI_Debitos!$R:$R,LEFT(PAGADO!P$1,4),VI_Debitos!$Q:$Q,RIGHT(P$1,2))</f>
        <v>0</v>
      </c>
      <c r="Q40" s="2">
        <f>SUMIFS(VI_Debitos!$V:$V,VI_Debitos!$H:$H,$C40,VI_Debitos!$T:$T,$D40,VI_Debitos!$R:$R,LEFT(PAGADO!Q$1,4),VI_Debitos!$Q:$Q,RIGHT(Q$1,2))</f>
        <v>0</v>
      </c>
      <c r="R40" s="2">
        <f t="shared" si="0"/>
        <v>0</v>
      </c>
    </row>
    <row r="41" spans="1:18">
      <c r="F41" s="2">
        <f>SUMIFS(VI_Debitos!$V:$V,VI_Debitos!$H:$H,$C41,VI_Debitos!$T:$T,$D41,VI_Debitos!$R:$R,LEFT(PAGADO!F$1,4),VI_Debitos!$Q:$Q,RIGHT(F$1,2))</f>
        <v>0</v>
      </c>
      <c r="G41" s="2">
        <f>SUMIFS(VI_Debitos!$V:$V,VI_Debitos!$H:$H,$C41,VI_Debitos!$T:$T,$D41,VI_Debitos!$R:$R,LEFT(PAGADO!G$1,4),VI_Debitos!$Q:$Q,RIGHT(G$1,2))</f>
        <v>0</v>
      </c>
      <c r="H41" s="2">
        <f>SUMIFS(VI_Debitos!$V:$V,VI_Debitos!$H:$H,$C41,VI_Debitos!$T:$T,$D41,VI_Debitos!$R:$R,LEFT(PAGADO!H$1,4),VI_Debitos!$Q:$Q,RIGHT(H$1,2))</f>
        <v>0</v>
      </c>
      <c r="I41" s="2">
        <f>SUMIFS(VI_Debitos!$V:$V,VI_Debitos!$H:$H,$C41,VI_Debitos!$T:$T,$D41,VI_Debitos!$R:$R,LEFT(PAGADO!I$1,4),VI_Debitos!$Q:$Q,RIGHT(I$1,2))</f>
        <v>0</v>
      </c>
      <c r="J41" s="2">
        <f>SUMIFS(VI_Debitos!$V:$V,VI_Debitos!$H:$H,$C41,VI_Debitos!$T:$T,$D41,VI_Debitos!$R:$R,LEFT(PAGADO!J$1,4),VI_Debitos!$Q:$Q,RIGHT(J$1,2))</f>
        <v>0</v>
      </c>
      <c r="K41" s="2">
        <f>SUMIFS(VI_Debitos!$V:$V,VI_Debitos!$H:$H,$C41,VI_Debitos!$T:$T,$D41,VI_Debitos!$R:$R,LEFT(PAGADO!K$1,4),VI_Debitos!$Q:$Q,RIGHT(K$1,2))</f>
        <v>0</v>
      </c>
      <c r="L41" s="2">
        <f>SUMIFS(VI_Debitos!$V:$V,VI_Debitos!$H:$H,$C41,VI_Debitos!$T:$T,$D41,VI_Debitos!$R:$R,LEFT(PAGADO!L$1,4),VI_Debitos!$Q:$Q,RIGHT(L$1,2))</f>
        <v>0</v>
      </c>
      <c r="M41" s="2">
        <f>SUMIFS(VI_Debitos!$V:$V,VI_Debitos!$H:$H,$C41,VI_Debitos!$T:$T,$D41,VI_Debitos!$R:$R,LEFT(PAGADO!M$1,4),VI_Debitos!$Q:$Q,RIGHT(M$1,2))</f>
        <v>0</v>
      </c>
      <c r="N41" s="2">
        <f>SUMIFS(VI_Debitos!$V:$V,VI_Debitos!$H:$H,$C41,VI_Debitos!$T:$T,$D41,VI_Debitos!$R:$R,LEFT(PAGADO!N$1,4),VI_Debitos!$Q:$Q,RIGHT(N$1,2))</f>
        <v>0</v>
      </c>
      <c r="O41" s="2">
        <f>SUMIFS(VI_Debitos!$V:$V,VI_Debitos!$H:$H,$C41,VI_Debitos!$T:$T,$D41,VI_Debitos!$R:$R,LEFT(PAGADO!O$1,4),VI_Debitos!$Q:$Q,RIGHT(O$1,2))</f>
        <v>0</v>
      </c>
      <c r="P41" s="2">
        <f>SUMIFS(VI_Debitos!$V:$V,VI_Debitos!$H:$H,$C41,VI_Debitos!$T:$T,$D41,VI_Debitos!$R:$R,LEFT(PAGADO!P$1,4),VI_Debitos!$Q:$Q,RIGHT(P$1,2))</f>
        <v>0</v>
      </c>
      <c r="Q41" s="2">
        <f>SUMIFS(VI_Debitos!$V:$V,VI_Debitos!$H:$H,$C41,VI_Debitos!$T:$T,$D41,VI_Debitos!$R:$R,LEFT(PAGADO!Q$1,4),VI_Debitos!$Q:$Q,RIGHT(Q$1,2))</f>
        <v>0</v>
      </c>
      <c r="R41" s="2">
        <f t="shared" si="0"/>
        <v>0</v>
      </c>
    </row>
    <row r="42" spans="1:18">
      <c r="F42" s="2">
        <f>SUMIFS(VI_Debitos!$V:$V,VI_Debitos!$H:$H,$C42,VI_Debitos!$T:$T,$D42,VI_Debitos!$R:$R,LEFT(PAGADO!F$1,4),VI_Debitos!$Q:$Q,RIGHT(F$1,2))</f>
        <v>0</v>
      </c>
      <c r="G42" s="2">
        <f>SUMIFS(VI_Debitos!$V:$V,VI_Debitos!$H:$H,$C42,VI_Debitos!$T:$T,$D42,VI_Debitos!$R:$R,LEFT(PAGADO!G$1,4),VI_Debitos!$Q:$Q,RIGHT(G$1,2))</f>
        <v>0</v>
      </c>
      <c r="H42" s="2">
        <f>SUMIFS(VI_Debitos!$V:$V,VI_Debitos!$H:$H,$C42,VI_Debitos!$T:$T,$D42,VI_Debitos!$R:$R,LEFT(PAGADO!H$1,4),VI_Debitos!$Q:$Q,RIGHT(H$1,2))</f>
        <v>0</v>
      </c>
      <c r="I42" s="2">
        <f>SUMIFS(VI_Debitos!$V:$V,VI_Debitos!$H:$H,$C42,VI_Debitos!$T:$T,$D42,VI_Debitos!$R:$R,LEFT(PAGADO!I$1,4),VI_Debitos!$Q:$Q,RIGHT(I$1,2))</f>
        <v>0</v>
      </c>
      <c r="J42" s="2">
        <f>SUMIFS(VI_Debitos!$V:$V,VI_Debitos!$H:$H,$C42,VI_Debitos!$T:$T,$D42,VI_Debitos!$R:$R,LEFT(PAGADO!J$1,4),VI_Debitos!$Q:$Q,RIGHT(J$1,2))</f>
        <v>0</v>
      </c>
      <c r="K42" s="2">
        <f>SUMIFS(VI_Debitos!$V:$V,VI_Debitos!$H:$H,$C42,VI_Debitos!$T:$T,$D42,VI_Debitos!$R:$R,LEFT(PAGADO!K$1,4),VI_Debitos!$Q:$Q,RIGHT(K$1,2))</f>
        <v>0</v>
      </c>
      <c r="L42" s="2">
        <f>SUMIFS(VI_Debitos!$V:$V,VI_Debitos!$H:$H,$C42,VI_Debitos!$T:$T,$D42,VI_Debitos!$R:$R,LEFT(PAGADO!L$1,4),VI_Debitos!$Q:$Q,RIGHT(L$1,2))</f>
        <v>0</v>
      </c>
      <c r="M42" s="2">
        <f>SUMIFS(VI_Debitos!$V:$V,VI_Debitos!$H:$H,$C42,VI_Debitos!$T:$T,$D42,VI_Debitos!$R:$R,LEFT(PAGADO!M$1,4),VI_Debitos!$Q:$Q,RIGHT(M$1,2))</f>
        <v>0</v>
      </c>
      <c r="N42" s="2">
        <f>SUMIFS(VI_Debitos!$V:$V,VI_Debitos!$H:$H,$C42,VI_Debitos!$T:$T,$D42,VI_Debitos!$R:$R,LEFT(PAGADO!N$1,4),VI_Debitos!$Q:$Q,RIGHT(N$1,2))</f>
        <v>0</v>
      </c>
      <c r="O42" s="2">
        <f>SUMIFS(VI_Debitos!$V:$V,VI_Debitos!$H:$H,$C42,VI_Debitos!$T:$T,$D42,VI_Debitos!$R:$R,LEFT(PAGADO!O$1,4),VI_Debitos!$Q:$Q,RIGHT(O$1,2))</f>
        <v>0</v>
      </c>
      <c r="P42" s="2">
        <f>SUMIFS(VI_Debitos!$V:$V,VI_Debitos!$H:$H,$C42,VI_Debitos!$T:$T,$D42,VI_Debitos!$R:$R,LEFT(PAGADO!P$1,4),VI_Debitos!$Q:$Q,RIGHT(P$1,2))</f>
        <v>0</v>
      </c>
      <c r="Q42" s="2">
        <f>SUMIFS(VI_Debitos!$V:$V,VI_Debitos!$H:$H,$C42,VI_Debitos!$T:$T,$D42,VI_Debitos!$R:$R,LEFT(PAGADO!Q$1,4),VI_Debitos!$Q:$Q,RIGHT(Q$1,2))</f>
        <v>0</v>
      </c>
      <c r="R42" s="2">
        <f t="shared" si="0"/>
        <v>0</v>
      </c>
    </row>
    <row r="43" spans="1:18">
      <c r="F43" s="2">
        <f>SUMIFS(VI_Debitos!$V:$V,VI_Debitos!$H:$H,$C43,VI_Debitos!$T:$T,$D43,VI_Debitos!$R:$R,LEFT(PAGADO!F$1,4),VI_Debitos!$Q:$Q,RIGHT(F$1,2))</f>
        <v>0</v>
      </c>
      <c r="G43" s="2">
        <f>SUMIFS(VI_Debitos!$V:$V,VI_Debitos!$H:$H,$C43,VI_Debitos!$T:$T,$D43,VI_Debitos!$R:$R,LEFT(PAGADO!G$1,4),VI_Debitos!$Q:$Q,RIGHT(G$1,2))</f>
        <v>0</v>
      </c>
      <c r="H43" s="2">
        <f>SUMIFS(VI_Debitos!$V:$V,VI_Debitos!$H:$H,$C43,VI_Debitos!$T:$T,$D43,VI_Debitos!$R:$R,LEFT(PAGADO!H$1,4),VI_Debitos!$Q:$Q,RIGHT(H$1,2))</f>
        <v>0</v>
      </c>
      <c r="I43" s="2">
        <f>SUMIFS(VI_Debitos!$V:$V,VI_Debitos!$H:$H,$C43,VI_Debitos!$T:$T,$D43,VI_Debitos!$R:$R,LEFT(PAGADO!I$1,4),VI_Debitos!$Q:$Q,RIGHT(I$1,2))</f>
        <v>0</v>
      </c>
      <c r="J43" s="2">
        <f>SUMIFS(VI_Debitos!$V:$V,VI_Debitos!$H:$H,$C43,VI_Debitos!$T:$T,$D43,VI_Debitos!$R:$R,LEFT(PAGADO!J$1,4),VI_Debitos!$Q:$Q,RIGHT(J$1,2))</f>
        <v>0</v>
      </c>
      <c r="K43" s="2">
        <f>SUMIFS(VI_Debitos!$V:$V,VI_Debitos!$H:$H,$C43,VI_Debitos!$T:$T,$D43,VI_Debitos!$R:$R,LEFT(PAGADO!K$1,4),VI_Debitos!$Q:$Q,RIGHT(K$1,2))</f>
        <v>0</v>
      </c>
      <c r="L43" s="2">
        <f>SUMIFS(VI_Debitos!$V:$V,VI_Debitos!$H:$H,$C43,VI_Debitos!$T:$T,$D43,VI_Debitos!$R:$R,LEFT(PAGADO!L$1,4),VI_Debitos!$Q:$Q,RIGHT(L$1,2))</f>
        <v>0</v>
      </c>
      <c r="M43" s="2">
        <f>SUMIFS(VI_Debitos!$V:$V,VI_Debitos!$H:$H,$C43,VI_Debitos!$T:$T,$D43,VI_Debitos!$R:$R,LEFT(PAGADO!M$1,4),VI_Debitos!$Q:$Q,RIGHT(M$1,2))</f>
        <v>0</v>
      </c>
      <c r="N43" s="2">
        <f>SUMIFS(VI_Debitos!$V:$V,VI_Debitos!$H:$H,$C43,VI_Debitos!$T:$T,$D43,VI_Debitos!$R:$R,LEFT(PAGADO!N$1,4),VI_Debitos!$Q:$Q,RIGHT(N$1,2))</f>
        <v>0</v>
      </c>
      <c r="O43" s="2">
        <f>SUMIFS(VI_Debitos!$V:$V,VI_Debitos!$H:$H,$C43,VI_Debitos!$T:$T,$D43,VI_Debitos!$R:$R,LEFT(PAGADO!O$1,4),VI_Debitos!$Q:$Q,RIGHT(O$1,2))</f>
        <v>0</v>
      </c>
      <c r="P43" s="2">
        <f>SUMIFS(VI_Debitos!$V:$V,VI_Debitos!$H:$H,$C43,VI_Debitos!$T:$T,$D43,VI_Debitos!$R:$R,LEFT(PAGADO!P$1,4),VI_Debitos!$Q:$Q,RIGHT(P$1,2))</f>
        <v>0</v>
      </c>
      <c r="Q43" s="2">
        <f>SUMIFS(VI_Debitos!$V:$V,VI_Debitos!$H:$H,$C43,VI_Debitos!$T:$T,$D43,VI_Debitos!$R:$R,LEFT(PAGADO!Q$1,4),VI_Debitos!$Q:$Q,RIGHT(Q$1,2))</f>
        <v>0</v>
      </c>
      <c r="R43" s="2">
        <f t="shared" si="0"/>
        <v>0</v>
      </c>
    </row>
    <row r="44" spans="1:18">
      <c r="F44" s="2">
        <f>SUMIFS(VI_Debitos!$V:$V,VI_Debitos!$H:$H,$C44,VI_Debitos!$T:$T,$D44,VI_Debitos!$R:$R,LEFT(PAGADO!F$1,4),VI_Debitos!$Q:$Q,RIGHT(F$1,2))</f>
        <v>0</v>
      </c>
      <c r="G44" s="2">
        <f>SUMIFS(VI_Debitos!$V:$V,VI_Debitos!$H:$H,$C44,VI_Debitos!$T:$T,$D44,VI_Debitos!$R:$R,LEFT(PAGADO!G$1,4),VI_Debitos!$Q:$Q,RIGHT(G$1,2))</f>
        <v>0</v>
      </c>
      <c r="H44" s="2">
        <f>SUMIFS(VI_Debitos!$V:$V,VI_Debitos!$H:$H,$C44,VI_Debitos!$T:$T,$D44,VI_Debitos!$R:$R,LEFT(PAGADO!H$1,4),VI_Debitos!$Q:$Q,RIGHT(H$1,2))</f>
        <v>0</v>
      </c>
      <c r="I44" s="2">
        <f>SUMIFS(VI_Debitos!$V:$V,VI_Debitos!$H:$H,$C44,VI_Debitos!$T:$T,$D44,VI_Debitos!$R:$R,LEFT(PAGADO!I$1,4),VI_Debitos!$Q:$Q,RIGHT(I$1,2))</f>
        <v>0</v>
      </c>
      <c r="J44" s="2">
        <f>SUMIFS(VI_Debitos!$V:$V,VI_Debitos!$H:$H,$C44,VI_Debitos!$T:$T,$D44,VI_Debitos!$R:$R,LEFT(PAGADO!J$1,4),VI_Debitos!$Q:$Q,RIGHT(J$1,2))</f>
        <v>0</v>
      </c>
      <c r="K44" s="2">
        <f>SUMIFS(VI_Debitos!$V:$V,VI_Debitos!$H:$H,$C44,VI_Debitos!$T:$T,$D44,VI_Debitos!$R:$R,LEFT(PAGADO!K$1,4),VI_Debitos!$Q:$Q,RIGHT(K$1,2))</f>
        <v>0</v>
      </c>
      <c r="L44" s="2">
        <f>SUMIFS(VI_Debitos!$V:$V,VI_Debitos!$H:$H,$C44,VI_Debitos!$T:$T,$D44,VI_Debitos!$R:$R,LEFT(PAGADO!L$1,4),VI_Debitos!$Q:$Q,RIGHT(L$1,2))</f>
        <v>0</v>
      </c>
      <c r="M44" s="2">
        <f>SUMIFS(VI_Debitos!$V:$V,VI_Debitos!$H:$H,$C44,VI_Debitos!$T:$T,$D44,VI_Debitos!$R:$R,LEFT(PAGADO!M$1,4),VI_Debitos!$Q:$Q,RIGHT(M$1,2))</f>
        <v>0</v>
      </c>
      <c r="N44" s="2">
        <f>SUMIFS(VI_Debitos!$V:$V,VI_Debitos!$H:$H,$C44,VI_Debitos!$T:$T,$D44,VI_Debitos!$R:$R,LEFT(PAGADO!N$1,4),VI_Debitos!$Q:$Q,RIGHT(N$1,2))</f>
        <v>0</v>
      </c>
      <c r="O44" s="2">
        <f>SUMIFS(VI_Debitos!$V:$V,VI_Debitos!$H:$H,$C44,VI_Debitos!$T:$T,$D44,VI_Debitos!$R:$R,LEFT(PAGADO!O$1,4),VI_Debitos!$Q:$Q,RIGHT(O$1,2))</f>
        <v>0</v>
      </c>
      <c r="P44" s="2">
        <f>SUMIFS(VI_Debitos!$V:$V,VI_Debitos!$H:$H,$C44,VI_Debitos!$T:$T,$D44,VI_Debitos!$R:$R,LEFT(PAGADO!P$1,4),VI_Debitos!$Q:$Q,RIGHT(P$1,2))</f>
        <v>0</v>
      </c>
      <c r="Q44" s="2">
        <f>SUMIFS(VI_Debitos!$V:$V,VI_Debitos!$H:$H,$C44,VI_Debitos!$T:$T,$D44,VI_Debitos!$R:$R,LEFT(PAGADO!Q$1,4),VI_Debitos!$Q:$Q,RIGHT(Q$1,2))</f>
        <v>0</v>
      </c>
      <c r="R44" s="2">
        <f t="shared" si="0"/>
        <v>0</v>
      </c>
    </row>
    <row r="45" spans="1:18">
      <c r="F45" s="2">
        <f>SUMIFS(VI_Debitos!$V:$V,VI_Debitos!$H:$H,$C45,VI_Debitos!$T:$T,$D45,VI_Debitos!$R:$R,LEFT(PAGADO!F$1,4),VI_Debitos!$Q:$Q,RIGHT(F$1,2))</f>
        <v>0</v>
      </c>
      <c r="G45" s="2">
        <f>SUMIFS(VI_Debitos!$V:$V,VI_Debitos!$H:$H,$C45,VI_Debitos!$T:$T,$D45,VI_Debitos!$R:$R,LEFT(PAGADO!G$1,4),VI_Debitos!$Q:$Q,RIGHT(G$1,2))</f>
        <v>0</v>
      </c>
      <c r="H45" s="2">
        <f>SUMIFS(VI_Debitos!$V:$V,VI_Debitos!$H:$H,$C45,VI_Debitos!$T:$T,$D45,VI_Debitos!$R:$R,LEFT(PAGADO!H$1,4),VI_Debitos!$Q:$Q,RIGHT(H$1,2))</f>
        <v>0</v>
      </c>
      <c r="I45" s="2">
        <f>SUMIFS(VI_Debitos!$V:$V,VI_Debitos!$H:$H,$C45,VI_Debitos!$T:$T,$D45,VI_Debitos!$R:$R,LEFT(PAGADO!I$1,4),VI_Debitos!$Q:$Q,RIGHT(I$1,2))</f>
        <v>0</v>
      </c>
      <c r="J45" s="2">
        <f>SUMIFS(VI_Debitos!$V:$V,VI_Debitos!$H:$H,$C45,VI_Debitos!$T:$T,$D45,VI_Debitos!$R:$R,LEFT(PAGADO!J$1,4),VI_Debitos!$Q:$Q,RIGHT(J$1,2))</f>
        <v>0</v>
      </c>
      <c r="K45" s="2">
        <f>SUMIFS(VI_Debitos!$V:$V,VI_Debitos!$H:$H,$C45,VI_Debitos!$T:$T,$D45,VI_Debitos!$R:$R,LEFT(PAGADO!K$1,4),VI_Debitos!$Q:$Q,RIGHT(K$1,2))</f>
        <v>0</v>
      </c>
      <c r="L45" s="2">
        <f>SUMIFS(VI_Debitos!$V:$V,VI_Debitos!$H:$H,$C45,VI_Debitos!$T:$T,$D45,VI_Debitos!$R:$R,LEFT(PAGADO!L$1,4),VI_Debitos!$Q:$Q,RIGHT(L$1,2))</f>
        <v>0</v>
      </c>
      <c r="M45" s="2">
        <f>SUMIFS(VI_Debitos!$V:$V,VI_Debitos!$H:$H,$C45,VI_Debitos!$T:$T,$D45,VI_Debitos!$R:$R,LEFT(PAGADO!M$1,4),VI_Debitos!$Q:$Q,RIGHT(M$1,2))</f>
        <v>0</v>
      </c>
      <c r="N45" s="2">
        <f>SUMIFS(VI_Debitos!$V:$V,VI_Debitos!$H:$H,$C45,VI_Debitos!$T:$T,$D45,VI_Debitos!$R:$R,LEFT(PAGADO!N$1,4),VI_Debitos!$Q:$Q,RIGHT(N$1,2))</f>
        <v>0</v>
      </c>
      <c r="O45" s="2">
        <f>SUMIFS(VI_Debitos!$V:$V,VI_Debitos!$H:$H,$C45,VI_Debitos!$T:$T,$D45,VI_Debitos!$R:$R,LEFT(PAGADO!O$1,4),VI_Debitos!$Q:$Q,RIGHT(O$1,2))</f>
        <v>0</v>
      </c>
      <c r="P45" s="2">
        <f>SUMIFS(VI_Debitos!$V:$V,VI_Debitos!$H:$H,$C45,VI_Debitos!$T:$T,$D45,VI_Debitos!$R:$R,LEFT(PAGADO!P$1,4),VI_Debitos!$Q:$Q,RIGHT(P$1,2))</f>
        <v>0</v>
      </c>
      <c r="Q45" s="2">
        <f>SUMIFS(VI_Debitos!$V:$V,VI_Debitos!$H:$H,$C45,VI_Debitos!$T:$T,$D45,VI_Debitos!$R:$R,LEFT(PAGADO!Q$1,4),VI_Debitos!$Q:$Q,RIGHT(Q$1,2))</f>
        <v>0</v>
      </c>
      <c r="R45" s="2">
        <f t="shared" si="0"/>
        <v>0</v>
      </c>
    </row>
    <row r="46" spans="1:18">
      <c r="F46" s="2">
        <f>SUMIFS(VI_Debitos!$V:$V,VI_Debitos!$H:$H,$C46,VI_Debitos!$T:$T,$D46,VI_Debitos!$R:$R,LEFT(PAGADO!F$1,4),VI_Debitos!$Q:$Q,RIGHT(F$1,2))</f>
        <v>0</v>
      </c>
      <c r="G46" s="2">
        <f>SUMIFS(VI_Debitos!$V:$V,VI_Debitos!$H:$H,$C46,VI_Debitos!$T:$T,$D46,VI_Debitos!$R:$R,LEFT(PAGADO!G$1,4),VI_Debitos!$Q:$Q,RIGHT(G$1,2))</f>
        <v>0</v>
      </c>
      <c r="H46" s="2">
        <f>SUMIFS(VI_Debitos!$V:$V,VI_Debitos!$H:$H,$C46,VI_Debitos!$T:$T,$D46,VI_Debitos!$R:$R,LEFT(PAGADO!H$1,4),VI_Debitos!$Q:$Q,RIGHT(H$1,2))</f>
        <v>0</v>
      </c>
      <c r="I46" s="2">
        <f>SUMIFS(VI_Debitos!$V:$V,VI_Debitos!$H:$H,$C46,VI_Debitos!$T:$T,$D46,VI_Debitos!$R:$R,LEFT(PAGADO!I$1,4),VI_Debitos!$Q:$Q,RIGHT(I$1,2))</f>
        <v>0</v>
      </c>
      <c r="J46" s="2">
        <f>SUMIFS(VI_Debitos!$V:$V,VI_Debitos!$H:$H,$C46,VI_Debitos!$T:$T,$D46,VI_Debitos!$R:$R,LEFT(PAGADO!J$1,4),VI_Debitos!$Q:$Q,RIGHT(J$1,2))</f>
        <v>0</v>
      </c>
      <c r="K46" s="2">
        <f>SUMIFS(VI_Debitos!$V:$V,VI_Debitos!$H:$H,$C46,VI_Debitos!$T:$T,$D46,VI_Debitos!$R:$R,LEFT(PAGADO!K$1,4),VI_Debitos!$Q:$Q,RIGHT(K$1,2))</f>
        <v>0</v>
      </c>
      <c r="L46" s="2">
        <f>SUMIFS(VI_Debitos!$V:$V,VI_Debitos!$H:$H,$C46,VI_Debitos!$T:$T,$D46,VI_Debitos!$R:$R,LEFT(PAGADO!L$1,4),VI_Debitos!$Q:$Q,RIGHT(L$1,2))</f>
        <v>0</v>
      </c>
      <c r="M46" s="2">
        <f>SUMIFS(VI_Debitos!$V:$V,VI_Debitos!$H:$H,$C46,VI_Debitos!$T:$T,$D46,VI_Debitos!$R:$R,LEFT(PAGADO!M$1,4),VI_Debitos!$Q:$Q,RIGHT(M$1,2))</f>
        <v>0</v>
      </c>
      <c r="N46" s="2">
        <f>SUMIFS(VI_Debitos!$V:$V,VI_Debitos!$H:$H,$C46,VI_Debitos!$T:$T,$D46,VI_Debitos!$R:$R,LEFT(PAGADO!N$1,4),VI_Debitos!$Q:$Q,RIGHT(N$1,2))</f>
        <v>0</v>
      </c>
      <c r="O46" s="2">
        <f>SUMIFS(VI_Debitos!$V:$V,VI_Debitos!$H:$H,$C46,VI_Debitos!$T:$T,$D46,VI_Debitos!$R:$R,LEFT(PAGADO!O$1,4),VI_Debitos!$Q:$Q,RIGHT(O$1,2))</f>
        <v>0</v>
      </c>
      <c r="P46" s="2">
        <f>SUMIFS(VI_Debitos!$V:$V,VI_Debitos!$H:$H,$C46,VI_Debitos!$T:$T,$D46,VI_Debitos!$R:$R,LEFT(PAGADO!P$1,4),VI_Debitos!$Q:$Q,RIGHT(P$1,2))</f>
        <v>0</v>
      </c>
      <c r="Q46" s="2">
        <f>SUMIFS(VI_Debitos!$V:$V,VI_Debitos!$H:$H,$C46,VI_Debitos!$T:$T,$D46,VI_Debitos!$R:$R,LEFT(PAGADO!Q$1,4),VI_Debitos!$Q:$Q,RIGHT(Q$1,2))</f>
        <v>0</v>
      </c>
      <c r="R46" s="2">
        <f t="shared" si="0"/>
        <v>0</v>
      </c>
    </row>
    <row r="47" spans="1:18">
      <c r="F47" s="2">
        <f>SUMIFS(VI_Debitos!$V:$V,VI_Debitos!$H:$H,$C47,VI_Debitos!$T:$T,$D47,VI_Debitos!$R:$R,LEFT(PAGADO!F$1,4),VI_Debitos!$Q:$Q,RIGHT(F$1,2))</f>
        <v>0</v>
      </c>
      <c r="G47" s="2">
        <f>SUMIFS(VI_Debitos!$V:$V,VI_Debitos!$H:$H,$C47,VI_Debitos!$T:$T,$D47,VI_Debitos!$R:$R,LEFT(PAGADO!G$1,4),VI_Debitos!$Q:$Q,RIGHT(G$1,2))</f>
        <v>0</v>
      </c>
      <c r="H47" s="2">
        <f>SUMIFS(VI_Debitos!$V:$V,VI_Debitos!$H:$H,$C47,VI_Debitos!$T:$T,$D47,VI_Debitos!$R:$R,LEFT(PAGADO!H$1,4),VI_Debitos!$Q:$Q,RIGHT(H$1,2))</f>
        <v>0</v>
      </c>
      <c r="I47" s="2">
        <f>SUMIFS(VI_Debitos!$V:$V,VI_Debitos!$H:$H,$C47,VI_Debitos!$T:$T,$D47,VI_Debitos!$R:$R,LEFT(PAGADO!I$1,4),VI_Debitos!$Q:$Q,RIGHT(I$1,2))</f>
        <v>0</v>
      </c>
      <c r="J47" s="2">
        <f>SUMIFS(VI_Debitos!$V:$V,VI_Debitos!$H:$H,$C47,VI_Debitos!$T:$T,$D47,VI_Debitos!$R:$R,LEFT(PAGADO!J$1,4),VI_Debitos!$Q:$Q,RIGHT(J$1,2))</f>
        <v>0</v>
      </c>
      <c r="K47" s="2">
        <f>SUMIFS(VI_Debitos!$V:$V,VI_Debitos!$H:$H,$C47,VI_Debitos!$T:$T,$D47,VI_Debitos!$R:$R,LEFT(PAGADO!K$1,4),VI_Debitos!$Q:$Q,RIGHT(K$1,2))</f>
        <v>0</v>
      </c>
      <c r="L47" s="2">
        <f>SUMIFS(VI_Debitos!$V:$V,VI_Debitos!$H:$H,$C47,VI_Debitos!$T:$T,$D47,VI_Debitos!$R:$R,LEFT(PAGADO!L$1,4),VI_Debitos!$Q:$Q,RIGHT(L$1,2))</f>
        <v>0</v>
      </c>
      <c r="M47" s="2">
        <f>SUMIFS(VI_Debitos!$V:$V,VI_Debitos!$H:$H,$C47,VI_Debitos!$T:$T,$D47,VI_Debitos!$R:$R,LEFT(PAGADO!M$1,4),VI_Debitos!$Q:$Q,RIGHT(M$1,2))</f>
        <v>0</v>
      </c>
      <c r="N47" s="2">
        <f>SUMIFS(VI_Debitos!$V:$V,VI_Debitos!$H:$H,$C47,VI_Debitos!$T:$T,$D47,VI_Debitos!$R:$R,LEFT(PAGADO!N$1,4),VI_Debitos!$Q:$Q,RIGHT(N$1,2))</f>
        <v>0</v>
      </c>
      <c r="O47" s="2">
        <f>SUMIFS(VI_Debitos!$V:$V,VI_Debitos!$H:$H,$C47,VI_Debitos!$T:$T,$D47,VI_Debitos!$R:$R,LEFT(PAGADO!O$1,4),VI_Debitos!$Q:$Q,RIGHT(O$1,2))</f>
        <v>0</v>
      </c>
      <c r="P47" s="2">
        <f>SUMIFS(VI_Debitos!$V:$V,VI_Debitos!$H:$H,$C47,VI_Debitos!$T:$T,$D47,VI_Debitos!$R:$R,LEFT(PAGADO!P$1,4),VI_Debitos!$Q:$Q,RIGHT(P$1,2))</f>
        <v>0</v>
      </c>
      <c r="Q47" s="2">
        <f>SUMIFS(VI_Debitos!$V:$V,VI_Debitos!$H:$H,$C47,VI_Debitos!$T:$T,$D47,VI_Debitos!$R:$R,LEFT(PAGADO!Q$1,4),VI_Debitos!$Q:$Q,RIGHT(Q$1,2))</f>
        <v>0</v>
      </c>
      <c r="R47" s="2">
        <f t="shared" si="0"/>
        <v>0</v>
      </c>
    </row>
    <row r="48" spans="1:18">
      <c r="F48" s="2">
        <f>SUMIFS(VI_Debitos!$V:$V,VI_Debitos!$H:$H,$C48,VI_Debitos!$T:$T,$D48,VI_Debitos!$R:$R,LEFT(PAGADO!F$1,4),VI_Debitos!$Q:$Q,RIGHT(F$1,2))</f>
        <v>0</v>
      </c>
      <c r="G48" s="2">
        <f>SUMIFS(VI_Debitos!$V:$V,VI_Debitos!$H:$H,$C48,VI_Debitos!$T:$T,$D48,VI_Debitos!$R:$R,LEFT(PAGADO!G$1,4),VI_Debitos!$Q:$Q,RIGHT(G$1,2))</f>
        <v>0</v>
      </c>
      <c r="H48" s="2">
        <f>SUMIFS(VI_Debitos!$V:$V,VI_Debitos!$H:$H,$C48,VI_Debitos!$T:$T,$D48,VI_Debitos!$R:$R,LEFT(PAGADO!H$1,4),VI_Debitos!$Q:$Q,RIGHT(H$1,2))</f>
        <v>0</v>
      </c>
      <c r="I48" s="2">
        <f>SUMIFS(VI_Debitos!$V:$V,VI_Debitos!$H:$H,$C48,VI_Debitos!$T:$T,$D48,VI_Debitos!$R:$R,LEFT(PAGADO!I$1,4),VI_Debitos!$Q:$Q,RIGHT(I$1,2))</f>
        <v>0</v>
      </c>
      <c r="J48" s="2">
        <f>SUMIFS(VI_Debitos!$V:$V,VI_Debitos!$H:$H,$C48,VI_Debitos!$T:$T,$D48,VI_Debitos!$R:$R,LEFT(PAGADO!J$1,4),VI_Debitos!$Q:$Q,RIGHT(J$1,2))</f>
        <v>0</v>
      </c>
      <c r="K48" s="2">
        <f>SUMIFS(VI_Debitos!$V:$V,VI_Debitos!$H:$H,$C48,VI_Debitos!$T:$T,$D48,VI_Debitos!$R:$R,LEFT(PAGADO!K$1,4),VI_Debitos!$Q:$Q,RIGHT(K$1,2))</f>
        <v>0</v>
      </c>
      <c r="L48" s="2">
        <f>SUMIFS(VI_Debitos!$V:$V,VI_Debitos!$H:$H,$C48,VI_Debitos!$T:$T,$D48,VI_Debitos!$R:$R,LEFT(PAGADO!L$1,4),VI_Debitos!$Q:$Q,RIGHT(L$1,2))</f>
        <v>0</v>
      </c>
      <c r="M48" s="2">
        <f>SUMIFS(VI_Debitos!$V:$V,VI_Debitos!$H:$H,$C48,VI_Debitos!$T:$T,$D48,VI_Debitos!$R:$R,LEFT(PAGADO!M$1,4),VI_Debitos!$Q:$Q,RIGHT(M$1,2))</f>
        <v>0</v>
      </c>
      <c r="N48" s="2">
        <f>SUMIFS(VI_Debitos!$V:$V,VI_Debitos!$H:$H,$C48,VI_Debitos!$T:$T,$D48,VI_Debitos!$R:$R,LEFT(PAGADO!N$1,4),VI_Debitos!$Q:$Q,RIGHT(N$1,2))</f>
        <v>0</v>
      </c>
      <c r="O48" s="2">
        <f>SUMIFS(VI_Debitos!$V:$V,VI_Debitos!$H:$H,$C48,VI_Debitos!$T:$T,$D48,VI_Debitos!$R:$R,LEFT(PAGADO!O$1,4),VI_Debitos!$Q:$Q,RIGHT(O$1,2))</f>
        <v>0</v>
      </c>
      <c r="P48" s="2">
        <f>SUMIFS(VI_Debitos!$V:$V,VI_Debitos!$H:$H,$C48,VI_Debitos!$T:$T,$D48,VI_Debitos!$R:$R,LEFT(PAGADO!P$1,4),VI_Debitos!$Q:$Q,RIGHT(P$1,2))</f>
        <v>0</v>
      </c>
      <c r="Q48" s="2">
        <f>SUMIFS(VI_Debitos!$V:$V,VI_Debitos!$H:$H,$C48,VI_Debitos!$T:$T,$D48,VI_Debitos!$R:$R,LEFT(PAGADO!Q$1,4),VI_Debitos!$Q:$Q,RIGHT(Q$1,2))</f>
        <v>0</v>
      </c>
      <c r="R48" s="2">
        <f t="shared" si="0"/>
        <v>0</v>
      </c>
    </row>
    <row r="49" spans="6:18">
      <c r="F49" s="2">
        <f>SUMIFS(VI_Debitos!$V:$V,VI_Debitos!$H:$H,$C49,VI_Debitos!$T:$T,$D49,VI_Debitos!$R:$R,LEFT(PAGADO!F$1,4),VI_Debitos!$Q:$Q,RIGHT(F$1,2))</f>
        <v>0</v>
      </c>
      <c r="G49" s="2">
        <f>SUMIFS(VI_Debitos!$V:$V,VI_Debitos!$H:$H,$C49,VI_Debitos!$T:$T,$D49,VI_Debitos!$R:$R,LEFT(PAGADO!G$1,4),VI_Debitos!$Q:$Q,RIGHT(G$1,2))</f>
        <v>0</v>
      </c>
      <c r="H49" s="2">
        <f>SUMIFS(VI_Debitos!$V:$V,VI_Debitos!$H:$H,$C49,VI_Debitos!$T:$T,$D49,VI_Debitos!$R:$R,LEFT(PAGADO!H$1,4),VI_Debitos!$Q:$Q,RIGHT(H$1,2))</f>
        <v>0</v>
      </c>
      <c r="I49" s="2">
        <f>SUMIFS(VI_Debitos!$V:$V,VI_Debitos!$H:$H,$C49,VI_Debitos!$T:$T,$D49,VI_Debitos!$R:$R,LEFT(PAGADO!I$1,4),VI_Debitos!$Q:$Q,RIGHT(I$1,2))</f>
        <v>0</v>
      </c>
      <c r="J49" s="2">
        <f>SUMIFS(VI_Debitos!$V:$V,VI_Debitos!$H:$H,$C49,VI_Debitos!$T:$T,$D49,VI_Debitos!$R:$R,LEFT(PAGADO!J$1,4),VI_Debitos!$Q:$Q,RIGHT(J$1,2))</f>
        <v>0</v>
      </c>
      <c r="K49" s="2">
        <f>SUMIFS(VI_Debitos!$V:$V,VI_Debitos!$H:$H,$C49,VI_Debitos!$T:$T,$D49,VI_Debitos!$R:$R,LEFT(PAGADO!K$1,4),VI_Debitos!$Q:$Q,RIGHT(K$1,2))</f>
        <v>0</v>
      </c>
      <c r="L49" s="2">
        <f>SUMIFS(VI_Debitos!$V:$V,VI_Debitos!$H:$H,$C49,VI_Debitos!$T:$T,$D49,VI_Debitos!$R:$R,LEFT(PAGADO!L$1,4),VI_Debitos!$Q:$Q,RIGHT(L$1,2))</f>
        <v>0</v>
      </c>
      <c r="M49" s="2">
        <f>SUMIFS(VI_Debitos!$V:$V,VI_Debitos!$H:$H,$C49,VI_Debitos!$T:$T,$D49,VI_Debitos!$R:$R,LEFT(PAGADO!M$1,4),VI_Debitos!$Q:$Q,RIGHT(M$1,2))</f>
        <v>0</v>
      </c>
      <c r="N49" s="2">
        <f>SUMIFS(VI_Debitos!$V:$V,VI_Debitos!$H:$H,$C49,VI_Debitos!$T:$T,$D49,VI_Debitos!$R:$R,LEFT(PAGADO!N$1,4),VI_Debitos!$Q:$Q,RIGHT(N$1,2))</f>
        <v>0</v>
      </c>
      <c r="O49" s="2">
        <f>SUMIFS(VI_Debitos!$V:$V,VI_Debitos!$H:$H,$C49,VI_Debitos!$T:$T,$D49,VI_Debitos!$R:$R,LEFT(PAGADO!O$1,4),VI_Debitos!$Q:$Q,RIGHT(O$1,2))</f>
        <v>0</v>
      </c>
      <c r="P49" s="2">
        <f>SUMIFS(VI_Debitos!$V:$V,VI_Debitos!$H:$H,$C49,VI_Debitos!$T:$T,$D49,VI_Debitos!$R:$R,LEFT(PAGADO!P$1,4),VI_Debitos!$Q:$Q,RIGHT(P$1,2))</f>
        <v>0</v>
      </c>
      <c r="Q49" s="2">
        <f>SUMIFS(VI_Debitos!$V:$V,VI_Debitos!$H:$H,$C49,VI_Debitos!$T:$T,$D49,VI_Debitos!$R:$R,LEFT(PAGADO!Q$1,4),VI_Debitos!$Q:$Q,RIGHT(Q$1,2))</f>
        <v>0</v>
      </c>
      <c r="R49" s="2">
        <f t="shared" si="0"/>
        <v>0</v>
      </c>
    </row>
    <row r="50" spans="6:18">
      <c r="F50" s="2">
        <f>SUMIFS(VI_Debitos!$V:$V,VI_Debitos!$H:$H,$C50,VI_Debitos!$T:$T,$D50,VI_Debitos!$R:$R,LEFT(PAGADO!F$1,4),VI_Debitos!$Q:$Q,RIGHT(F$1,2))</f>
        <v>0</v>
      </c>
      <c r="G50" s="2">
        <f>SUMIFS(VI_Debitos!$V:$V,VI_Debitos!$H:$H,$C50,VI_Debitos!$T:$T,$D50,VI_Debitos!$R:$R,LEFT(PAGADO!G$1,4),VI_Debitos!$Q:$Q,RIGHT(G$1,2))</f>
        <v>0</v>
      </c>
      <c r="H50" s="2">
        <f>SUMIFS(VI_Debitos!$V:$V,VI_Debitos!$H:$H,$C50,VI_Debitos!$T:$T,$D50,VI_Debitos!$R:$R,LEFT(PAGADO!H$1,4),VI_Debitos!$Q:$Q,RIGHT(H$1,2))</f>
        <v>0</v>
      </c>
      <c r="I50" s="2">
        <f>SUMIFS(VI_Debitos!$V:$V,VI_Debitos!$H:$H,$C50,VI_Debitos!$T:$T,$D50,VI_Debitos!$R:$R,LEFT(PAGADO!I$1,4),VI_Debitos!$Q:$Q,RIGHT(I$1,2))</f>
        <v>0</v>
      </c>
      <c r="J50" s="2">
        <f>SUMIFS(VI_Debitos!$V:$V,VI_Debitos!$H:$H,$C50,VI_Debitos!$T:$T,$D50,VI_Debitos!$R:$R,LEFT(PAGADO!J$1,4),VI_Debitos!$Q:$Q,RIGHT(J$1,2))</f>
        <v>0</v>
      </c>
      <c r="K50" s="2">
        <f>SUMIFS(VI_Debitos!$V:$V,VI_Debitos!$H:$H,$C50,VI_Debitos!$T:$T,$D50,VI_Debitos!$R:$R,LEFT(PAGADO!K$1,4),VI_Debitos!$Q:$Q,RIGHT(K$1,2))</f>
        <v>0</v>
      </c>
      <c r="L50" s="2">
        <f>SUMIFS(VI_Debitos!$V:$V,VI_Debitos!$H:$H,$C50,VI_Debitos!$T:$T,$D50,VI_Debitos!$R:$R,LEFT(PAGADO!L$1,4),VI_Debitos!$Q:$Q,RIGHT(L$1,2))</f>
        <v>0</v>
      </c>
      <c r="M50" s="2">
        <f>SUMIFS(VI_Debitos!$V:$V,VI_Debitos!$H:$H,$C50,VI_Debitos!$T:$T,$D50,VI_Debitos!$R:$R,LEFT(PAGADO!M$1,4),VI_Debitos!$Q:$Q,RIGHT(M$1,2))</f>
        <v>0</v>
      </c>
      <c r="N50" s="2">
        <f>SUMIFS(VI_Debitos!$V:$V,VI_Debitos!$H:$H,$C50,VI_Debitos!$T:$T,$D50,VI_Debitos!$R:$R,LEFT(PAGADO!N$1,4),VI_Debitos!$Q:$Q,RIGHT(N$1,2))</f>
        <v>0</v>
      </c>
      <c r="O50" s="2">
        <f>SUMIFS(VI_Debitos!$V:$V,VI_Debitos!$H:$H,$C50,VI_Debitos!$T:$T,$D50,VI_Debitos!$R:$R,LEFT(PAGADO!O$1,4),VI_Debitos!$Q:$Q,RIGHT(O$1,2))</f>
        <v>0</v>
      </c>
      <c r="P50" s="2">
        <f>SUMIFS(VI_Debitos!$V:$V,VI_Debitos!$H:$H,$C50,VI_Debitos!$T:$T,$D50,VI_Debitos!$R:$R,LEFT(PAGADO!P$1,4),VI_Debitos!$Q:$Q,RIGHT(P$1,2))</f>
        <v>0</v>
      </c>
      <c r="Q50" s="2">
        <f>SUMIFS(VI_Debitos!$V:$V,VI_Debitos!$H:$H,$C50,VI_Debitos!$T:$T,$D50,VI_Debitos!$R:$R,LEFT(PAGADO!Q$1,4),VI_Debitos!$Q:$Q,RIGHT(Q$1,2))</f>
        <v>0</v>
      </c>
      <c r="R50" s="2">
        <f t="shared" si="0"/>
        <v>0</v>
      </c>
    </row>
    <row r="51" spans="6:18">
      <c r="F51" s="2">
        <f>SUMIFS(VI_Debitos!$V:$V,VI_Debitos!$H:$H,$C51,VI_Debitos!$T:$T,$D51,VI_Debitos!$R:$R,LEFT(PAGADO!F$1,4),VI_Debitos!$Q:$Q,RIGHT(F$1,2))</f>
        <v>0</v>
      </c>
      <c r="G51" s="2">
        <f>SUMIFS(VI_Debitos!$V:$V,VI_Debitos!$H:$H,$C51,VI_Debitos!$T:$T,$D51,VI_Debitos!$R:$R,LEFT(PAGADO!G$1,4),VI_Debitos!$Q:$Q,RIGHT(G$1,2))</f>
        <v>0</v>
      </c>
      <c r="H51" s="2">
        <f>SUMIFS(VI_Debitos!$V:$V,VI_Debitos!$H:$H,$C51,VI_Debitos!$T:$T,$D51,VI_Debitos!$R:$R,LEFT(PAGADO!H$1,4),VI_Debitos!$Q:$Q,RIGHT(H$1,2))</f>
        <v>0</v>
      </c>
      <c r="I51" s="2">
        <f>SUMIFS(VI_Debitos!$V:$V,VI_Debitos!$H:$H,$C51,VI_Debitos!$T:$T,$D51,VI_Debitos!$R:$R,LEFT(PAGADO!I$1,4),VI_Debitos!$Q:$Q,RIGHT(I$1,2))</f>
        <v>0</v>
      </c>
      <c r="J51" s="2">
        <f>SUMIFS(VI_Debitos!$V:$V,VI_Debitos!$H:$H,$C51,VI_Debitos!$T:$T,$D51,VI_Debitos!$R:$R,LEFT(PAGADO!J$1,4),VI_Debitos!$Q:$Q,RIGHT(J$1,2))</f>
        <v>0</v>
      </c>
      <c r="K51" s="2">
        <f>SUMIFS(VI_Debitos!$V:$V,VI_Debitos!$H:$H,$C51,VI_Debitos!$T:$T,$D51,VI_Debitos!$R:$R,LEFT(PAGADO!K$1,4),VI_Debitos!$Q:$Q,RIGHT(K$1,2))</f>
        <v>0</v>
      </c>
      <c r="L51" s="2">
        <f>SUMIFS(VI_Debitos!$V:$V,VI_Debitos!$H:$H,$C51,VI_Debitos!$T:$T,$D51,VI_Debitos!$R:$R,LEFT(PAGADO!L$1,4),VI_Debitos!$Q:$Q,RIGHT(L$1,2))</f>
        <v>0</v>
      </c>
      <c r="M51" s="2">
        <f>SUMIFS(VI_Debitos!$V:$V,VI_Debitos!$H:$H,$C51,VI_Debitos!$T:$T,$D51,VI_Debitos!$R:$R,LEFT(PAGADO!M$1,4),VI_Debitos!$Q:$Q,RIGHT(M$1,2))</f>
        <v>0</v>
      </c>
      <c r="N51" s="2">
        <f>SUMIFS(VI_Debitos!$V:$V,VI_Debitos!$H:$H,$C51,VI_Debitos!$T:$T,$D51,VI_Debitos!$R:$R,LEFT(PAGADO!N$1,4),VI_Debitos!$Q:$Q,RIGHT(N$1,2))</f>
        <v>0</v>
      </c>
      <c r="O51" s="2">
        <f>SUMIFS(VI_Debitos!$V:$V,VI_Debitos!$H:$H,$C51,VI_Debitos!$T:$T,$D51,VI_Debitos!$R:$R,LEFT(PAGADO!O$1,4),VI_Debitos!$Q:$Q,RIGHT(O$1,2))</f>
        <v>0</v>
      </c>
      <c r="P51" s="2">
        <f>SUMIFS(VI_Debitos!$V:$V,VI_Debitos!$H:$H,$C51,VI_Debitos!$T:$T,$D51,VI_Debitos!$R:$R,LEFT(PAGADO!P$1,4),VI_Debitos!$Q:$Q,RIGHT(P$1,2))</f>
        <v>0</v>
      </c>
      <c r="Q51" s="2">
        <f>SUMIFS(VI_Debitos!$V:$V,VI_Debitos!$H:$H,$C51,VI_Debitos!$T:$T,$D51,VI_Debitos!$R:$R,LEFT(PAGADO!Q$1,4),VI_Debitos!$Q:$Q,RIGHT(Q$1,2))</f>
        <v>0</v>
      </c>
      <c r="R51" s="2">
        <f t="shared" si="0"/>
        <v>0</v>
      </c>
    </row>
    <row r="52" spans="6:18">
      <c r="F52" s="2">
        <f>SUMIFS(VI_Debitos!$V:$V,VI_Debitos!$H:$H,$C52,VI_Debitos!$T:$T,$D52,VI_Debitos!$R:$R,LEFT(PAGADO!F$1,4),VI_Debitos!$Q:$Q,RIGHT(F$1,2))</f>
        <v>0</v>
      </c>
      <c r="G52" s="2">
        <f>SUMIFS(VI_Debitos!$V:$V,VI_Debitos!$H:$H,$C52,VI_Debitos!$T:$T,$D52,VI_Debitos!$R:$R,LEFT(PAGADO!G$1,4),VI_Debitos!$Q:$Q,RIGHT(G$1,2))</f>
        <v>0</v>
      </c>
      <c r="H52" s="2">
        <f>SUMIFS(VI_Debitos!$V:$V,VI_Debitos!$H:$H,$C52,VI_Debitos!$T:$T,$D52,VI_Debitos!$R:$R,LEFT(PAGADO!H$1,4),VI_Debitos!$Q:$Q,RIGHT(H$1,2))</f>
        <v>0</v>
      </c>
      <c r="I52" s="2">
        <f>SUMIFS(VI_Debitos!$V:$V,VI_Debitos!$H:$H,$C52,VI_Debitos!$T:$T,$D52,VI_Debitos!$R:$R,LEFT(PAGADO!I$1,4),VI_Debitos!$Q:$Q,RIGHT(I$1,2))</f>
        <v>0</v>
      </c>
      <c r="J52" s="2">
        <f>SUMIFS(VI_Debitos!$V:$V,VI_Debitos!$H:$H,$C52,VI_Debitos!$T:$T,$D52,VI_Debitos!$R:$R,LEFT(PAGADO!J$1,4),VI_Debitos!$Q:$Q,RIGHT(J$1,2))</f>
        <v>0</v>
      </c>
      <c r="K52" s="2">
        <f>SUMIFS(VI_Debitos!$V:$V,VI_Debitos!$H:$H,$C52,VI_Debitos!$T:$T,$D52,VI_Debitos!$R:$R,LEFT(PAGADO!K$1,4),VI_Debitos!$Q:$Q,RIGHT(K$1,2))</f>
        <v>0</v>
      </c>
      <c r="L52" s="2">
        <f>SUMIFS(VI_Debitos!$V:$V,VI_Debitos!$H:$H,$C52,VI_Debitos!$T:$T,$D52,VI_Debitos!$R:$R,LEFT(PAGADO!L$1,4),VI_Debitos!$Q:$Q,RIGHT(L$1,2))</f>
        <v>0</v>
      </c>
      <c r="M52" s="2">
        <f>SUMIFS(VI_Debitos!$V:$V,VI_Debitos!$H:$H,$C52,VI_Debitos!$T:$T,$D52,VI_Debitos!$R:$R,LEFT(PAGADO!M$1,4),VI_Debitos!$Q:$Q,RIGHT(M$1,2))</f>
        <v>0</v>
      </c>
      <c r="N52" s="2">
        <f>SUMIFS(VI_Debitos!$V:$V,VI_Debitos!$H:$H,$C52,VI_Debitos!$T:$T,$D52,VI_Debitos!$R:$R,LEFT(PAGADO!N$1,4),VI_Debitos!$Q:$Q,RIGHT(N$1,2))</f>
        <v>0</v>
      </c>
      <c r="O52" s="2">
        <f>SUMIFS(VI_Debitos!$V:$V,VI_Debitos!$H:$H,$C52,VI_Debitos!$T:$T,$D52,VI_Debitos!$R:$R,LEFT(PAGADO!O$1,4),VI_Debitos!$Q:$Q,RIGHT(O$1,2))</f>
        <v>0</v>
      </c>
      <c r="P52" s="2">
        <f>SUMIFS(VI_Debitos!$V:$V,VI_Debitos!$H:$H,$C52,VI_Debitos!$T:$T,$D52,VI_Debitos!$R:$R,LEFT(PAGADO!P$1,4),VI_Debitos!$Q:$Q,RIGHT(P$1,2))</f>
        <v>0</v>
      </c>
      <c r="Q52" s="2">
        <f>SUMIFS(VI_Debitos!$V:$V,VI_Debitos!$H:$H,$C52,VI_Debitos!$T:$T,$D52,VI_Debitos!$R:$R,LEFT(PAGADO!Q$1,4),VI_Debitos!$Q:$Q,RIGHT(Q$1,2))</f>
        <v>0</v>
      </c>
      <c r="R52" s="2">
        <f t="shared" si="0"/>
        <v>0</v>
      </c>
    </row>
    <row r="53" spans="6:18">
      <c r="F53" s="2">
        <f>SUMIFS(VI_Debitos!$V:$V,VI_Debitos!$H:$H,$C53,VI_Debitos!$T:$T,$D53,VI_Debitos!$R:$R,LEFT(PAGADO!F$1,4),VI_Debitos!$Q:$Q,RIGHT(F$1,2))</f>
        <v>0</v>
      </c>
      <c r="G53" s="2">
        <f>SUMIFS(VI_Debitos!$V:$V,VI_Debitos!$H:$H,$C53,VI_Debitos!$T:$T,$D53,VI_Debitos!$R:$R,LEFT(PAGADO!G$1,4),VI_Debitos!$Q:$Q,RIGHT(G$1,2))</f>
        <v>0</v>
      </c>
      <c r="H53" s="2">
        <f>SUMIFS(VI_Debitos!$V:$V,VI_Debitos!$H:$H,$C53,VI_Debitos!$T:$T,$D53,VI_Debitos!$R:$R,LEFT(PAGADO!H$1,4),VI_Debitos!$Q:$Q,RIGHT(H$1,2))</f>
        <v>0</v>
      </c>
      <c r="I53" s="2">
        <f>SUMIFS(VI_Debitos!$V:$V,VI_Debitos!$H:$H,$C53,VI_Debitos!$T:$T,$D53,VI_Debitos!$R:$R,LEFT(PAGADO!I$1,4),VI_Debitos!$Q:$Q,RIGHT(I$1,2))</f>
        <v>0</v>
      </c>
      <c r="J53" s="2">
        <f>SUMIFS(VI_Debitos!$V:$V,VI_Debitos!$H:$H,$C53,VI_Debitos!$T:$T,$D53,VI_Debitos!$R:$R,LEFT(PAGADO!J$1,4),VI_Debitos!$Q:$Q,RIGHT(J$1,2))</f>
        <v>0</v>
      </c>
      <c r="K53" s="2">
        <f>SUMIFS(VI_Debitos!$V:$V,VI_Debitos!$H:$H,$C53,VI_Debitos!$T:$T,$D53,VI_Debitos!$R:$R,LEFT(PAGADO!K$1,4),VI_Debitos!$Q:$Q,RIGHT(K$1,2))</f>
        <v>0</v>
      </c>
      <c r="L53" s="2">
        <f>SUMIFS(VI_Debitos!$V:$V,VI_Debitos!$H:$H,$C53,VI_Debitos!$T:$T,$D53,VI_Debitos!$R:$R,LEFT(PAGADO!L$1,4),VI_Debitos!$Q:$Q,RIGHT(L$1,2))</f>
        <v>0</v>
      </c>
      <c r="M53" s="2">
        <f>SUMIFS(VI_Debitos!$V:$V,VI_Debitos!$H:$H,$C53,VI_Debitos!$T:$T,$D53,VI_Debitos!$R:$R,LEFT(PAGADO!M$1,4),VI_Debitos!$Q:$Q,RIGHT(M$1,2))</f>
        <v>0</v>
      </c>
      <c r="N53" s="2">
        <f>SUMIFS(VI_Debitos!$V:$V,VI_Debitos!$H:$H,$C53,VI_Debitos!$T:$T,$D53,VI_Debitos!$R:$R,LEFT(PAGADO!N$1,4),VI_Debitos!$Q:$Q,RIGHT(N$1,2))</f>
        <v>0</v>
      </c>
      <c r="O53" s="2">
        <f>SUMIFS(VI_Debitos!$V:$V,VI_Debitos!$H:$H,$C53,VI_Debitos!$T:$T,$D53,VI_Debitos!$R:$R,LEFT(PAGADO!O$1,4),VI_Debitos!$Q:$Q,RIGHT(O$1,2))</f>
        <v>0</v>
      </c>
      <c r="P53" s="2">
        <f>SUMIFS(VI_Debitos!$V:$V,VI_Debitos!$H:$H,$C53,VI_Debitos!$T:$T,$D53,VI_Debitos!$R:$R,LEFT(PAGADO!P$1,4),VI_Debitos!$Q:$Q,RIGHT(P$1,2))</f>
        <v>0</v>
      </c>
      <c r="Q53" s="2">
        <f>SUMIFS(VI_Debitos!$V:$V,VI_Debitos!$H:$H,$C53,VI_Debitos!$T:$T,$D53,VI_Debitos!$R:$R,LEFT(PAGADO!Q$1,4),VI_Debitos!$Q:$Q,RIGHT(Q$1,2))</f>
        <v>0</v>
      </c>
      <c r="R53" s="2">
        <f t="shared" si="0"/>
        <v>0</v>
      </c>
    </row>
    <row r="54" spans="6:18">
      <c r="F54" s="2">
        <f>SUMIFS(VI_Debitos!$V:$V,VI_Debitos!$H:$H,$C54,VI_Debitos!$T:$T,$D54,VI_Debitos!$R:$R,LEFT(PAGADO!F$1,4),VI_Debitos!$Q:$Q,RIGHT(F$1,2))</f>
        <v>0</v>
      </c>
      <c r="G54" s="2">
        <f>SUMIFS(VI_Debitos!$V:$V,VI_Debitos!$H:$H,$C54,VI_Debitos!$T:$T,$D54,VI_Debitos!$R:$R,LEFT(PAGADO!G$1,4),VI_Debitos!$Q:$Q,RIGHT(G$1,2))</f>
        <v>0</v>
      </c>
      <c r="H54" s="2">
        <f>SUMIFS(VI_Debitos!$V:$V,VI_Debitos!$H:$H,$C54,VI_Debitos!$T:$T,$D54,VI_Debitos!$R:$R,LEFT(PAGADO!H$1,4),VI_Debitos!$Q:$Q,RIGHT(H$1,2))</f>
        <v>0</v>
      </c>
      <c r="I54" s="2">
        <f>SUMIFS(VI_Debitos!$V:$V,VI_Debitos!$H:$H,$C54,VI_Debitos!$T:$T,$D54,VI_Debitos!$R:$R,LEFT(PAGADO!I$1,4),VI_Debitos!$Q:$Q,RIGHT(I$1,2))</f>
        <v>0</v>
      </c>
      <c r="J54" s="2">
        <f>SUMIFS(VI_Debitos!$V:$V,VI_Debitos!$H:$H,$C54,VI_Debitos!$T:$T,$D54,VI_Debitos!$R:$R,LEFT(PAGADO!J$1,4),VI_Debitos!$Q:$Q,RIGHT(J$1,2))</f>
        <v>0</v>
      </c>
      <c r="K54" s="2">
        <f>SUMIFS(VI_Debitos!$V:$V,VI_Debitos!$H:$H,$C54,VI_Debitos!$T:$T,$D54,VI_Debitos!$R:$R,LEFT(PAGADO!K$1,4),VI_Debitos!$Q:$Q,RIGHT(K$1,2))</f>
        <v>0</v>
      </c>
      <c r="L54" s="2">
        <f>SUMIFS(VI_Debitos!$V:$V,VI_Debitos!$H:$H,$C54,VI_Debitos!$T:$T,$D54,VI_Debitos!$R:$R,LEFT(PAGADO!L$1,4),VI_Debitos!$Q:$Q,RIGHT(L$1,2))</f>
        <v>0</v>
      </c>
      <c r="M54" s="2">
        <f>SUMIFS(VI_Debitos!$V:$V,VI_Debitos!$H:$H,$C54,VI_Debitos!$T:$T,$D54,VI_Debitos!$R:$R,LEFT(PAGADO!M$1,4),VI_Debitos!$Q:$Q,RIGHT(M$1,2))</f>
        <v>0</v>
      </c>
      <c r="N54" s="2">
        <f>SUMIFS(VI_Debitos!$V:$V,VI_Debitos!$H:$H,$C54,VI_Debitos!$T:$T,$D54,VI_Debitos!$R:$R,LEFT(PAGADO!N$1,4),VI_Debitos!$Q:$Q,RIGHT(N$1,2))</f>
        <v>0</v>
      </c>
      <c r="O54" s="2">
        <f>SUMIFS(VI_Debitos!$V:$V,VI_Debitos!$H:$H,$C54,VI_Debitos!$T:$T,$D54,VI_Debitos!$R:$R,LEFT(PAGADO!O$1,4),VI_Debitos!$Q:$Q,RIGHT(O$1,2))</f>
        <v>0</v>
      </c>
      <c r="P54" s="2">
        <f>SUMIFS(VI_Debitos!$V:$V,VI_Debitos!$H:$H,$C54,VI_Debitos!$T:$T,$D54,VI_Debitos!$R:$R,LEFT(PAGADO!P$1,4),VI_Debitos!$Q:$Q,RIGHT(P$1,2))</f>
        <v>0</v>
      </c>
      <c r="Q54" s="2">
        <f>SUMIFS(VI_Debitos!$V:$V,VI_Debitos!$H:$H,$C54,VI_Debitos!$T:$T,$D54,VI_Debitos!$R:$R,LEFT(PAGADO!Q$1,4),VI_Debitos!$Q:$Q,RIGHT(Q$1,2))</f>
        <v>0</v>
      </c>
      <c r="R54" s="2">
        <f t="shared" si="0"/>
        <v>0</v>
      </c>
    </row>
    <row r="55" spans="6:18">
      <c r="F55" s="2">
        <f>SUMIFS(VI_Debitos!$V:$V,VI_Debitos!$H:$H,$C55,VI_Debitos!$T:$T,$D55,VI_Debitos!$R:$R,LEFT(PAGADO!F$1,4),VI_Debitos!$Q:$Q,RIGHT(F$1,2))</f>
        <v>0</v>
      </c>
      <c r="G55" s="2">
        <f>SUMIFS(VI_Debitos!$V:$V,VI_Debitos!$H:$H,$C55,VI_Debitos!$T:$T,$D55,VI_Debitos!$R:$R,LEFT(PAGADO!G$1,4),VI_Debitos!$Q:$Q,RIGHT(G$1,2))</f>
        <v>0</v>
      </c>
      <c r="H55" s="2">
        <f>SUMIFS(VI_Debitos!$V:$V,VI_Debitos!$H:$H,$C55,VI_Debitos!$T:$T,$D55,VI_Debitos!$R:$R,LEFT(PAGADO!H$1,4),VI_Debitos!$Q:$Q,RIGHT(H$1,2))</f>
        <v>0</v>
      </c>
      <c r="I55" s="2">
        <f>SUMIFS(VI_Debitos!$V:$V,VI_Debitos!$H:$H,$C55,VI_Debitos!$T:$T,$D55,VI_Debitos!$R:$R,LEFT(PAGADO!I$1,4),VI_Debitos!$Q:$Q,RIGHT(I$1,2))</f>
        <v>0</v>
      </c>
      <c r="J55" s="2">
        <f>SUMIFS(VI_Debitos!$V:$V,VI_Debitos!$H:$H,$C55,VI_Debitos!$T:$T,$D55,VI_Debitos!$R:$R,LEFT(PAGADO!J$1,4),VI_Debitos!$Q:$Q,RIGHT(J$1,2))</f>
        <v>0</v>
      </c>
      <c r="K55" s="2">
        <f>SUMIFS(VI_Debitos!$V:$V,VI_Debitos!$H:$H,$C55,VI_Debitos!$T:$T,$D55,VI_Debitos!$R:$R,LEFT(PAGADO!K$1,4),VI_Debitos!$Q:$Q,RIGHT(K$1,2))</f>
        <v>0</v>
      </c>
      <c r="L55" s="2">
        <f>SUMIFS(VI_Debitos!$V:$V,VI_Debitos!$H:$H,$C55,VI_Debitos!$T:$T,$D55,VI_Debitos!$R:$R,LEFT(PAGADO!L$1,4),VI_Debitos!$Q:$Q,RIGHT(L$1,2))</f>
        <v>0</v>
      </c>
      <c r="M55" s="2">
        <f>SUMIFS(VI_Debitos!$V:$V,VI_Debitos!$H:$H,$C55,VI_Debitos!$T:$T,$D55,VI_Debitos!$R:$R,LEFT(PAGADO!M$1,4),VI_Debitos!$Q:$Q,RIGHT(M$1,2))</f>
        <v>0</v>
      </c>
      <c r="N55" s="2">
        <f>SUMIFS(VI_Debitos!$V:$V,VI_Debitos!$H:$H,$C55,VI_Debitos!$T:$T,$D55,VI_Debitos!$R:$R,LEFT(PAGADO!N$1,4),VI_Debitos!$Q:$Q,RIGHT(N$1,2))</f>
        <v>0</v>
      </c>
      <c r="O55" s="2">
        <f>SUMIFS(VI_Debitos!$V:$V,VI_Debitos!$H:$H,$C55,VI_Debitos!$T:$T,$D55,VI_Debitos!$R:$R,LEFT(PAGADO!O$1,4),VI_Debitos!$Q:$Q,RIGHT(O$1,2))</f>
        <v>0</v>
      </c>
      <c r="P55" s="2">
        <f>SUMIFS(VI_Debitos!$V:$V,VI_Debitos!$H:$H,$C55,VI_Debitos!$T:$T,$D55,VI_Debitos!$R:$R,LEFT(PAGADO!P$1,4),VI_Debitos!$Q:$Q,RIGHT(P$1,2))</f>
        <v>0</v>
      </c>
      <c r="Q55" s="2">
        <f>SUMIFS(VI_Debitos!$V:$V,VI_Debitos!$H:$H,$C55,VI_Debitos!$T:$T,$D55,VI_Debitos!$R:$R,LEFT(PAGADO!Q$1,4),VI_Debitos!$Q:$Q,RIGHT(Q$1,2))</f>
        <v>0</v>
      </c>
      <c r="R55" s="2">
        <f t="shared" si="0"/>
        <v>0</v>
      </c>
    </row>
    <row r="56" spans="6:18">
      <c r="F56" s="2">
        <f>SUMIFS(VI_Debitos!$V:$V,VI_Debitos!$H:$H,$C56,VI_Debitos!$T:$T,$D56,VI_Debitos!$R:$R,LEFT(PAGADO!F$1,4),VI_Debitos!$Q:$Q,RIGHT(F$1,2))</f>
        <v>0</v>
      </c>
      <c r="G56" s="2">
        <f>SUMIFS(VI_Debitos!$V:$V,VI_Debitos!$H:$H,$C56,VI_Debitos!$T:$T,$D56,VI_Debitos!$R:$R,LEFT(PAGADO!G$1,4),VI_Debitos!$Q:$Q,RIGHT(G$1,2))</f>
        <v>0</v>
      </c>
      <c r="H56" s="2">
        <f>SUMIFS(VI_Debitos!$V:$V,VI_Debitos!$H:$H,$C56,VI_Debitos!$T:$T,$D56,VI_Debitos!$R:$R,LEFT(PAGADO!H$1,4),VI_Debitos!$Q:$Q,RIGHT(H$1,2))</f>
        <v>0</v>
      </c>
      <c r="I56" s="2">
        <f>SUMIFS(VI_Debitos!$V:$V,VI_Debitos!$H:$H,$C56,VI_Debitos!$T:$T,$D56,VI_Debitos!$R:$R,LEFT(PAGADO!I$1,4),VI_Debitos!$Q:$Q,RIGHT(I$1,2))</f>
        <v>0</v>
      </c>
      <c r="J56" s="2">
        <f>SUMIFS(VI_Debitos!$V:$V,VI_Debitos!$H:$H,$C56,VI_Debitos!$T:$T,$D56,VI_Debitos!$R:$R,LEFT(PAGADO!J$1,4),VI_Debitos!$Q:$Q,RIGHT(J$1,2))</f>
        <v>0</v>
      </c>
      <c r="K56" s="2">
        <f>SUMIFS(VI_Debitos!$V:$V,VI_Debitos!$H:$H,$C56,VI_Debitos!$T:$T,$D56,VI_Debitos!$R:$R,LEFT(PAGADO!K$1,4),VI_Debitos!$Q:$Q,RIGHT(K$1,2))</f>
        <v>0</v>
      </c>
      <c r="L56" s="2">
        <f>SUMIFS(VI_Debitos!$V:$V,VI_Debitos!$H:$H,$C56,VI_Debitos!$T:$T,$D56,VI_Debitos!$R:$R,LEFT(PAGADO!L$1,4),VI_Debitos!$Q:$Q,RIGHT(L$1,2))</f>
        <v>0</v>
      </c>
      <c r="M56" s="2">
        <f>SUMIFS(VI_Debitos!$V:$V,VI_Debitos!$H:$H,$C56,VI_Debitos!$T:$T,$D56,VI_Debitos!$R:$R,LEFT(PAGADO!M$1,4),VI_Debitos!$Q:$Q,RIGHT(M$1,2))</f>
        <v>0</v>
      </c>
      <c r="N56" s="2">
        <f>SUMIFS(VI_Debitos!$V:$V,VI_Debitos!$H:$H,$C56,VI_Debitos!$T:$T,$D56,VI_Debitos!$R:$R,LEFT(PAGADO!N$1,4),VI_Debitos!$Q:$Q,RIGHT(N$1,2))</f>
        <v>0</v>
      </c>
      <c r="O56" s="2">
        <f>SUMIFS(VI_Debitos!$V:$V,VI_Debitos!$H:$H,$C56,VI_Debitos!$T:$T,$D56,VI_Debitos!$R:$R,LEFT(PAGADO!O$1,4),VI_Debitos!$Q:$Q,RIGHT(O$1,2))</f>
        <v>0</v>
      </c>
      <c r="P56" s="2">
        <f>SUMIFS(VI_Debitos!$V:$V,VI_Debitos!$H:$H,$C56,VI_Debitos!$T:$T,$D56,VI_Debitos!$R:$R,LEFT(PAGADO!P$1,4),VI_Debitos!$Q:$Q,RIGHT(P$1,2))</f>
        <v>0</v>
      </c>
      <c r="Q56" s="2">
        <f>SUMIFS(VI_Debitos!$V:$V,VI_Debitos!$H:$H,$C56,VI_Debitos!$T:$T,$D56,VI_Debitos!$R:$R,LEFT(PAGADO!Q$1,4),VI_Debitos!$Q:$Q,RIGHT(Q$1,2))</f>
        <v>0</v>
      </c>
      <c r="R56" s="2">
        <f t="shared" si="0"/>
        <v>0</v>
      </c>
    </row>
    <row r="57" spans="6:18">
      <c r="F57" s="2">
        <f>SUMIFS(VI_Debitos!$V:$V,VI_Debitos!$H:$H,$C57,VI_Debitos!$T:$T,$D57,VI_Debitos!$R:$R,LEFT(PAGADO!F$1,4),VI_Debitos!$Q:$Q,RIGHT(F$1,2))</f>
        <v>0</v>
      </c>
      <c r="G57" s="2">
        <f>SUMIFS(VI_Debitos!$V:$V,VI_Debitos!$H:$H,$C57,VI_Debitos!$T:$T,$D57,VI_Debitos!$R:$R,LEFT(PAGADO!G$1,4),VI_Debitos!$Q:$Q,RIGHT(G$1,2))</f>
        <v>0</v>
      </c>
      <c r="H57" s="2">
        <f>SUMIFS(VI_Debitos!$V:$V,VI_Debitos!$H:$H,$C57,VI_Debitos!$T:$T,$D57,VI_Debitos!$R:$R,LEFT(PAGADO!H$1,4),VI_Debitos!$Q:$Q,RIGHT(H$1,2))</f>
        <v>0</v>
      </c>
      <c r="I57" s="2">
        <f>SUMIFS(VI_Debitos!$V:$V,VI_Debitos!$H:$H,$C57,VI_Debitos!$T:$T,$D57,VI_Debitos!$R:$R,LEFT(PAGADO!I$1,4),VI_Debitos!$Q:$Q,RIGHT(I$1,2))</f>
        <v>0</v>
      </c>
      <c r="J57" s="2">
        <f>SUMIFS(VI_Debitos!$V:$V,VI_Debitos!$H:$H,$C57,VI_Debitos!$T:$T,$D57,VI_Debitos!$R:$R,LEFT(PAGADO!J$1,4),VI_Debitos!$Q:$Q,RIGHT(J$1,2))</f>
        <v>0</v>
      </c>
      <c r="K57" s="2">
        <f>SUMIFS(VI_Debitos!$V:$V,VI_Debitos!$H:$H,$C57,VI_Debitos!$T:$T,$D57,VI_Debitos!$R:$R,LEFT(PAGADO!K$1,4),VI_Debitos!$Q:$Q,RIGHT(K$1,2))</f>
        <v>0</v>
      </c>
      <c r="L57" s="2">
        <f>SUMIFS(VI_Debitos!$V:$V,VI_Debitos!$H:$H,$C57,VI_Debitos!$T:$T,$D57,VI_Debitos!$R:$R,LEFT(PAGADO!L$1,4),VI_Debitos!$Q:$Q,RIGHT(L$1,2))</f>
        <v>0</v>
      </c>
      <c r="M57" s="2">
        <f>SUMIFS(VI_Debitos!$V:$V,VI_Debitos!$H:$H,$C57,VI_Debitos!$T:$T,$D57,VI_Debitos!$R:$R,LEFT(PAGADO!M$1,4),VI_Debitos!$Q:$Q,RIGHT(M$1,2))</f>
        <v>0</v>
      </c>
      <c r="N57" s="2">
        <f>SUMIFS(VI_Debitos!$V:$V,VI_Debitos!$H:$H,$C57,VI_Debitos!$T:$T,$D57,VI_Debitos!$R:$R,LEFT(PAGADO!N$1,4),VI_Debitos!$Q:$Q,RIGHT(N$1,2))</f>
        <v>0</v>
      </c>
      <c r="O57" s="2">
        <f>SUMIFS(VI_Debitos!$V:$V,VI_Debitos!$H:$H,$C57,VI_Debitos!$T:$T,$D57,VI_Debitos!$R:$R,LEFT(PAGADO!O$1,4),VI_Debitos!$Q:$Q,RIGHT(O$1,2))</f>
        <v>0</v>
      </c>
      <c r="P57" s="2">
        <f>SUMIFS(VI_Debitos!$V:$V,VI_Debitos!$H:$H,$C57,VI_Debitos!$T:$T,$D57,VI_Debitos!$R:$R,LEFT(PAGADO!P$1,4),VI_Debitos!$Q:$Q,RIGHT(P$1,2))</f>
        <v>0</v>
      </c>
      <c r="Q57" s="2">
        <f>SUMIFS(VI_Debitos!$V:$V,VI_Debitos!$H:$H,$C57,VI_Debitos!$T:$T,$D57,VI_Debitos!$R:$R,LEFT(PAGADO!Q$1,4),VI_Debitos!$Q:$Q,RIGHT(Q$1,2))</f>
        <v>0</v>
      </c>
      <c r="R57" s="2">
        <f t="shared" si="0"/>
        <v>0</v>
      </c>
    </row>
    <row r="58" spans="6:18">
      <c r="F58" s="2">
        <f>SUMIFS(VI_Debitos!$V:$V,VI_Debitos!$H:$H,$C58,VI_Debitos!$T:$T,$D58,VI_Debitos!$R:$R,LEFT(PAGADO!F$1,4),VI_Debitos!$Q:$Q,RIGHT(F$1,2))</f>
        <v>0</v>
      </c>
      <c r="G58" s="2">
        <f>SUMIFS(VI_Debitos!$V:$V,VI_Debitos!$H:$H,$C58,VI_Debitos!$T:$T,$D58,VI_Debitos!$R:$R,LEFT(PAGADO!G$1,4),VI_Debitos!$Q:$Q,RIGHT(G$1,2))</f>
        <v>0</v>
      </c>
      <c r="H58" s="2">
        <f>SUMIFS(VI_Debitos!$V:$V,VI_Debitos!$H:$H,$C58,VI_Debitos!$T:$T,$D58,VI_Debitos!$R:$R,LEFT(PAGADO!H$1,4),VI_Debitos!$Q:$Q,RIGHT(H$1,2))</f>
        <v>0</v>
      </c>
      <c r="I58" s="2">
        <f>SUMIFS(VI_Debitos!$V:$V,VI_Debitos!$H:$H,$C58,VI_Debitos!$T:$T,$D58,VI_Debitos!$R:$R,LEFT(PAGADO!I$1,4),VI_Debitos!$Q:$Q,RIGHT(I$1,2))</f>
        <v>0</v>
      </c>
      <c r="J58" s="2">
        <f>SUMIFS(VI_Debitos!$V:$V,VI_Debitos!$H:$H,$C58,VI_Debitos!$T:$T,$D58,VI_Debitos!$R:$R,LEFT(PAGADO!J$1,4),VI_Debitos!$Q:$Q,RIGHT(J$1,2))</f>
        <v>0</v>
      </c>
      <c r="K58" s="2">
        <f>SUMIFS(VI_Debitos!$V:$V,VI_Debitos!$H:$H,$C58,VI_Debitos!$T:$T,$D58,VI_Debitos!$R:$R,LEFT(PAGADO!K$1,4),VI_Debitos!$Q:$Q,RIGHT(K$1,2))</f>
        <v>0</v>
      </c>
      <c r="L58" s="2">
        <f>SUMIFS(VI_Debitos!$V:$V,VI_Debitos!$H:$H,$C58,VI_Debitos!$T:$T,$D58,VI_Debitos!$R:$R,LEFT(PAGADO!L$1,4),VI_Debitos!$Q:$Q,RIGHT(L$1,2))</f>
        <v>0</v>
      </c>
      <c r="M58" s="2">
        <f>SUMIFS(VI_Debitos!$V:$V,VI_Debitos!$H:$H,$C58,VI_Debitos!$T:$T,$D58,VI_Debitos!$R:$R,LEFT(PAGADO!M$1,4),VI_Debitos!$Q:$Q,RIGHT(M$1,2))</f>
        <v>0</v>
      </c>
      <c r="N58" s="2">
        <f>SUMIFS(VI_Debitos!$V:$V,VI_Debitos!$H:$H,$C58,VI_Debitos!$T:$T,$D58,VI_Debitos!$R:$R,LEFT(PAGADO!N$1,4),VI_Debitos!$Q:$Q,RIGHT(N$1,2))</f>
        <v>0</v>
      </c>
      <c r="O58" s="2">
        <f>SUMIFS(VI_Debitos!$V:$V,VI_Debitos!$H:$H,$C58,VI_Debitos!$T:$T,$D58,VI_Debitos!$R:$R,LEFT(PAGADO!O$1,4),VI_Debitos!$Q:$Q,RIGHT(O$1,2))</f>
        <v>0</v>
      </c>
      <c r="P58" s="2">
        <f>SUMIFS(VI_Debitos!$V:$V,VI_Debitos!$H:$H,$C58,VI_Debitos!$T:$T,$D58,VI_Debitos!$R:$R,LEFT(PAGADO!P$1,4),VI_Debitos!$Q:$Q,RIGHT(P$1,2))</f>
        <v>0</v>
      </c>
      <c r="Q58" s="2">
        <f>SUMIFS(VI_Debitos!$V:$V,VI_Debitos!$H:$H,$C58,VI_Debitos!$T:$T,$D58,VI_Debitos!$R:$R,LEFT(PAGADO!Q$1,4),VI_Debitos!$Q:$Q,RIGHT(Q$1,2))</f>
        <v>0</v>
      </c>
      <c r="R58" s="2">
        <f t="shared" si="0"/>
        <v>0</v>
      </c>
    </row>
    <row r="59" spans="6:18">
      <c r="F59" s="2">
        <f>SUMIFS(VI_Debitos!$V:$V,VI_Debitos!$H:$H,$C59,VI_Debitos!$T:$T,$D59,VI_Debitos!$R:$R,LEFT(PAGADO!F$1,4),VI_Debitos!$Q:$Q,RIGHT(F$1,2))</f>
        <v>0</v>
      </c>
      <c r="G59" s="2">
        <f>SUMIFS(VI_Debitos!$V:$V,VI_Debitos!$H:$H,$C59,VI_Debitos!$T:$T,$D59,VI_Debitos!$R:$R,LEFT(PAGADO!G$1,4),VI_Debitos!$Q:$Q,RIGHT(G$1,2))</f>
        <v>0</v>
      </c>
      <c r="H59" s="2">
        <f>SUMIFS(VI_Debitos!$V:$V,VI_Debitos!$H:$H,$C59,VI_Debitos!$T:$T,$D59,VI_Debitos!$R:$R,LEFT(PAGADO!H$1,4),VI_Debitos!$Q:$Q,RIGHT(H$1,2))</f>
        <v>0</v>
      </c>
      <c r="I59" s="2">
        <f>SUMIFS(VI_Debitos!$V:$V,VI_Debitos!$H:$H,$C59,VI_Debitos!$T:$T,$D59,VI_Debitos!$R:$R,LEFT(PAGADO!I$1,4),VI_Debitos!$Q:$Q,RIGHT(I$1,2))</f>
        <v>0</v>
      </c>
      <c r="J59" s="2">
        <f>SUMIFS(VI_Debitos!$V:$V,VI_Debitos!$H:$H,$C59,VI_Debitos!$T:$T,$D59,VI_Debitos!$R:$R,LEFT(PAGADO!J$1,4),VI_Debitos!$Q:$Q,RIGHT(J$1,2))</f>
        <v>0</v>
      </c>
      <c r="K59" s="2">
        <f>SUMIFS(VI_Debitos!$V:$V,VI_Debitos!$H:$H,$C59,VI_Debitos!$T:$T,$D59,VI_Debitos!$R:$R,LEFT(PAGADO!K$1,4),VI_Debitos!$Q:$Q,RIGHT(K$1,2))</f>
        <v>0</v>
      </c>
      <c r="L59" s="2">
        <f>SUMIFS(VI_Debitos!$V:$V,VI_Debitos!$H:$H,$C59,VI_Debitos!$T:$T,$D59,VI_Debitos!$R:$R,LEFT(PAGADO!L$1,4),VI_Debitos!$Q:$Q,RIGHT(L$1,2))</f>
        <v>0</v>
      </c>
      <c r="M59" s="2">
        <f>SUMIFS(VI_Debitos!$V:$V,VI_Debitos!$H:$H,$C59,VI_Debitos!$T:$T,$D59,VI_Debitos!$R:$R,LEFT(PAGADO!M$1,4),VI_Debitos!$Q:$Q,RIGHT(M$1,2))</f>
        <v>0</v>
      </c>
      <c r="N59" s="2">
        <f>SUMIFS(VI_Debitos!$V:$V,VI_Debitos!$H:$H,$C59,VI_Debitos!$T:$T,$D59,VI_Debitos!$R:$R,LEFT(PAGADO!N$1,4),VI_Debitos!$Q:$Q,RIGHT(N$1,2))</f>
        <v>0</v>
      </c>
      <c r="O59" s="2">
        <f>SUMIFS(VI_Debitos!$V:$V,VI_Debitos!$H:$H,$C59,VI_Debitos!$T:$T,$D59,VI_Debitos!$R:$R,LEFT(PAGADO!O$1,4),VI_Debitos!$Q:$Q,RIGHT(O$1,2))</f>
        <v>0</v>
      </c>
      <c r="P59" s="2">
        <f>SUMIFS(VI_Debitos!$V:$V,VI_Debitos!$H:$H,$C59,VI_Debitos!$T:$T,$D59,VI_Debitos!$R:$R,LEFT(PAGADO!P$1,4),VI_Debitos!$Q:$Q,RIGHT(P$1,2))</f>
        <v>0</v>
      </c>
      <c r="Q59" s="2">
        <f>SUMIFS(VI_Debitos!$V:$V,VI_Debitos!$H:$H,$C59,VI_Debitos!$T:$T,$D59,VI_Debitos!$R:$R,LEFT(PAGADO!Q$1,4),VI_Debitos!$Q:$Q,RIGHT(Q$1,2))</f>
        <v>0</v>
      </c>
      <c r="R59" s="2">
        <f t="shared" si="0"/>
        <v>0</v>
      </c>
    </row>
    <row r="60" spans="6:18">
      <c r="F60" s="2">
        <f>SUMIFS(VI_Debitos!$V:$V,VI_Debitos!$H:$H,$C60,VI_Debitos!$T:$T,$D60,VI_Debitos!$R:$R,LEFT(PAGADO!F$1,4),VI_Debitos!$Q:$Q,RIGHT(F$1,2))</f>
        <v>0</v>
      </c>
      <c r="G60" s="2">
        <f>SUMIFS(VI_Debitos!$V:$V,VI_Debitos!$H:$H,$C60,VI_Debitos!$T:$T,$D60,VI_Debitos!$R:$R,LEFT(PAGADO!G$1,4),VI_Debitos!$Q:$Q,RIGHT(G$1,2))</f>
        <v>0</v>
      </c>
      <c r="H60" s="2">
        <f>SUMIFS(VI_Debitos!$V:$V,VI_Debitos!$H:$H,$C60,VI_Debitos!$T:$T,$D60,VI_Debitos!$R:$R,LEFT(PAGADO!H$1,4),VI_Debitos!$Q:$Q,RIGHT(H$1,2))</f>
        <v>0</v>
      </c>
      <c r="I60" s="2">
        <f>SUMIFS(VI_Debitos!$V:$V,VI_Debitos!$H:$H,$C60,VI_Debitos!$T:$T,$D60,VI_Debitos!$R:$R,LEFT(PAGADO!I$1,4),VI_Debitos!$Q:$Q,RIGHT(I$1,2))</f>
        <v>0</v>
      </c>
      <c r="J60" s="2">
        <f>SUMIFS(VI_Debitos!$V:$V,VI_Debitos!$H:$H,$C60,VI_Debitos!$T:$T,$D60,VI_Debitos!$R:$R,LEFT(PAGADO!J$1,4),VI_Debitos!$Q:$Q,RIGHT(J$1,2))</f>
        <v>0</v>
      </c>
      <c r="K60" s="2">
        <f>SUMIFS(VI_Debitos!$V:$V,VI_Debitos!$H:$H,$C60,VI_Debitos!$T:$T,$D60,VI_Debitos!$R:$R,LEFT(PAGADO!K$1,4),VI_Debitos!$Q:$Q,RIGHT(K$1,2))</f>
        <v>0</v>
      </c>
      <c r="L60" s="2">
        <f>SUMIFS(VI_Debitos!$V:$V,VI_Debitos!$H:$H,$C60,VI_Debitos!$T:$T,$D60,VI_Debitos!$R:$R,LEFT(PAGADO!L$1,4),VI_Debitos!$Q:$Q,RIGHT(L$1,2))</f>
        <v>0</v>
      </c>
      <c r="M60" s="2">
        <f>SUMIFS(VI_Debitos!$V:$V,VI_Debitos!$H:$H,$C60,VI_Debitos!$T:$T,$D60,VI_Debitos!$R:$R,LEFT(PAGADO!M$1,4),VI_Debitos!$Q:$Q,RIGHT(M$1,2))</f>
        <v>0</v>
      </c>
      <c r="N60" s="2">
        <f>SUMIFS(VI_Debitos!$V:$V,VI_Debitos!$H:$H,$C60,VI_Debitos!$T:$T,$D60,VI_Debitos!$R:$R,LEFT(PAGADO!N$1,4),VI_Debitos!$Q:$Q,RIGHT(N$1,2))</f>
        <v>0</v>
      </c>
      <c r="O60" s="2">
        <f>SUMIFS(VI_Debitos!$V:$V,VI_Debitos!$H:$H,$C60,VI_Debitos!$T:$T,$D60,VI_Debitos!$R:$R,LEFT(PAGADO!O$1,4),VI_Debitos!$Q:$Q,RIGHT(O$1,2))</f>
        <v>0</v>
      </c>
      <c r="P60" s="2">
        <f>SUMIFS(VI_Debitos!$V:$V,VI_Debitos!$H:$H,$C60,VI_Debitos!$T:$T,$D60,VI_Debitos!$R:$R,LEFT(PAGADO!P$1,4),VI_Debitos!$Q:$Q,RIGHT(P$1,2))</f>
        <v>0</v>
      </c>
      <c r="Q60" s="2">
        <f>SUMIFS(VI_Debitos!$V:$V,VI_Debitos!$H:$H,$C60,VI_Debitos!$T:$T,$D60,VI_Debitos!$R:$R,LEFT(PAGADO!Q$1,4),VI_Debitos!$Q:$Q,RIGHT(Q$1,2))</f>
        <v>0</v>
      </c>
      <c r="R60" s="2">
        <f t="shared" si="0"/>
        <v>0</v>
      </c>
    </row>
    <row r="61" spans="6:18">
      <c r="F61" s="2">
        <f>SUMIFS(VI_Debitos!$V:$V,VI_Debitos!$H:$H,$C61,VI_Debitos!$T:$T,$D61,VI_Debitos!$R:$R,LEFT(PAGADO!F$1,4),VI_Debitos!$Q:$Q,RIGHT(F$1,2))</f>
        <v>0</v>
      </c>
      <c r="G61" s="2">
        <f>SUMIFS(VI_Debitos!$V:$V,VI_Debitos!$H:$H,$C61,VI_Debitos!$T:$T,$D61,VI_Debitos!$R:$R,LEFT(PAGADO!G$1,4),VI_Debitos!$Q:$Q,RIGHT(G$1,2))</f>
        <v>0</v>
      </c>
      <c r="H61" s="2">
        <f>SUMIFS(VI_Debitos!$V:$V,VI_Debitos!$H:$H,$C61,VI_Debitos!$T:$T,$D61,VI_Debitos!$R:$R,LEFT(PAGADO!H$1,4),VI_Debitos!$Q:$Q,RIGHT(H$1,2))</f>
        <v>0</v>
      </c>
      <c r="I61" s="2">
        <f>SUMIFS(VI_Debitos!$V:$V,VI_Debitos!$H:$H,$C61,VI_Debitos!$T:$T,$D61,VI_Debitos!$R:$R,LEFT(PAGADO!I$1,4),VI_Debitos!$Q:$Q,RIGHT(I$1,2))</f>
        <v>0</v>
      </c>
      <c r="J61" s="2">
        <f>SUMIFS(VI_Debitos!$V:$V,VI_Debitos!$H:$H,$C61,VI_Debitos!$T:$T,$D61,VI_Debitos!$R:$R,LEFT(PAGADO!J$1,4),VI_Debitos!$Q:$Q,RIGHT(J$1,2))</f>
        <v>0</v>
      </c>
      <c r="K61" s="2">
        <f>SUMIFS(VI_Debitos!$V:$V,VI_Debitos!$H:$H,$C61,VI_Debitos!$T:$T,$D61,VI_Debitos!$R:$R,LEFT(PAGADO!K$1,4),VI_Debitos!$Q:$Q,RIGHT(K$1,2))</f>
        <v>0</v>
      </c>
      <c r="L61" s="2">
        <f>SUMIFS(VI_Debitos!$V:$V,VI_Debitos!$H:$H,$C61,VI_Debitos!$T:$T,$D61,VI_Debitos!$R:$R,LEFT(PAGADO!L$1,4),VI_Debitos!$Q:$Q,RIGHT(L$1,2))</f>
        <v>0</v>
      </c>
      <c r="M61" s="2">
        <f>SUMIFS(VI_Debitos!$V:$V,VI_Debitos!$H:$H,$C61,VI_Debitos!$T:$T,$D61,VI_Debitos!$R:$R,LEFT(PAGADO!M$1,4),VI_Debitos!$Q:$Q,RIGHT(M$1,2))</f>
        <v>0</v>
      </c>
      <c r="N61" s="2">
        <f>SUMIFS(VI_Debitos!$V:$V,VI_Debitos!$H:$H,$C61,VI_Debitos!$T:$T,$D61,VI_Debitos!$R:$R,LEFT(PAGADO!N$1,4),VI_Debitos!$Q:$Q,RIGHT(N$1,2))</f>
        <v>0</v>
      </c>
      <c r="O61" s="2">
        <f>SUMIFS(VI_Debitos!$V:$V,VI_Debitos!$H:$H,$C61,VI_Debitos!$T:$T,$D61,VI_Debitos!$R:$R,LEFT(PAGADO!O$1,4),VI_Debitos!$Q:$Q,RIGHT(O$1,2))</f>
        <v>0</v>
      </c>
      <c r="P61" s="2">
        <f>SUMIFS(VI_Debitos!$V:$V,VI_Debitos!$H:$H,$C61,VI_Debitos!$T:$T,$D61,VI_Debitos!$R:$R,LEFT(PAGADO!P$1,4),VI_Debitos!$Q:$Q,RIGHT(P$1,2))</f>
        <v>0</v>
      </c>
      <c r="Q61" s="2">
        <f>SUMIFS(VI_Debitos!$V:$V,VI_Debitos!$H:$H,$C61,VI_Debitos!$T:$T,$D61,VI_Debitos!$R:$R,LEFT(PAGADO!Q$1,4),VI_Debitos!$Q:$Q,RIGHT(Q$1,2))</f>
        <v>0</v>
      </c>
      <c r="R61" s="2">
        <f t="shared" si="0"/>
        <v>0</v>
      </c>
    </row>
    <row r="62" spans="6:18">
      <c r="F62" s="2">
        <f>SUMIFS(VI_Debitos!$V:$V,VI_Debitos!$H:$H,$C62,VI_Debitos!$T:$T,$D62,VI_Debitos!$R:$R,LEFT(PAGADO!F$1,4),VI_Debitos!$Q:$Q,RIGHT(F$1,2))</f>
        <v>0</v>
      </c>
      <c r="G62" s="2">
        <f>SUMIFS(VI_Debitos!$V:$V,VI_Debitos!$H:$H,$C62,VI_Debitos!$T:$T,$D62,VI_Debitos!$R:$R,LEFT(PAGADO!G$1,4),VI_Debitos!$Q:$Q,RIGHT(G$1,2))</f>
        <v>0</v>
      </c>
      <c r="H62" s="2">
        <f>SUMIFS(VI_Debitos!$V:$V,VI_Debitos!$H:$H,$C62,VI_Debitos!$T:$T,$D62,VI_Debitos!$R:$R,LEFT(PAGADO!H$1,4),VI_Debitos!$Q:$Q,RIGHT(H$1,2))</f>
        <v>0</v>
      </c>
      <c r="I62" s="2">
        <f>SUMIFS(VI_Debitos!$V:$V,VI_Debitos!$H:$H,$C62,VI_Debitos!$T:$T,$D62,VI_Debitos!$R:$R,LEFT(PAGADO!I$1,4),VI_Debitos!$Q:$Q,RIGHT(I$1,2))</f>
        <v>0</v>
      </c>
      <c r="J62" s="2">
        <f>SUMIFS(VI_Debitos!$V:$V,VI_Debitos!$H:$H,$C62,VI_Debitos!$T:$T,$D62,VI_Debitos!$R:$R,LEFT(PAGADO!J$1,4),VI_Debitos!$Q:$Q,RIGHT(J$1,2))</f>
        <v>0</v>
      </c>
      <c r="K62" s="2">
        <f>SUMIFS(VI_Debitos!$V:$V,VI_Debitos!$H:$H,$C62,VI_Debitos!$T:$T,$D62,VI_Debitos!$R:$R,LEFT(PAGADO!K$1,4),VI_Debitos!$Q:$Q,RIGHT(K$1,2))</f>
        <v>0</v>
      </c>
      <c r="L62" s="2">
        <f>SUMIFS(VI_Debitos!$V:$V,VI_Debitos!$H:$H,$C62,VI_Debitos!$T:$T,$D62,VI_Debitos!$R:$R,LEFT(PAGADO!L$1,4),VI_Debitos!$Q:$Q,RIGHT(L$1,2))</f>
        <v>0</v>
      </c>
      <c r="M62" s="2">
        <f>SUMIFS(VI_Debitos!$V:$V,VI_Debitos!$H:$H,$C62,VI_Debitos!$T:$T,$D62,VI_Debitos!$R:$R,LEFT(PAGADO!M$1,4),VI_Debitos!$Q:$Q,RIGHT(M$1,2))</f>
        <v>0</v>
      </c>
      <c r="N62" s="2">
        <f>SUMIFS(VI_Debitos!$V:$V,VI_Debitos!$H:$H,$C62,VI_Debitos!$T:$T,$D62,VI_Debitos!$R:$R,LEFT(PAGADO!N$1,4),VI_Debitos!$Q:$Q,RIGHT(N$1,2))</f>
        <v>0</v>
      </c>
      <c r="O62" s="2">
        <f>SUMIFS(VI_Debitos!$V:$V,VI_Debitos!$H:$H,$C62,VI_Debitos!$T:$T,$D62,VI_Debitos!$R:$R,LEFT(PAGADO!O$1,4),VI_Debitos!$Q:$Q,RIGHT(O$1,2))</f>
        <v>0</v>
      </c>
      <c r="P62" s="2">
        <f>SUMIFS(VI_Debitos!$V:$V,VI_Debitos!$H:$H,$C62,VI_Debitos!$T:$T,$D62,VI_Debitos!$R:$R,LEFT(PAGADO!P$1,4),VI_Debitos!$Q:$Q,RIGHT(P$1,2))</f>
        <v>0</v>
      </c>
      <c r="Q62" s="2">
        <f>SUMIFS(VI_Debitos!$V:$V,VI_Debitos!$H:$H,$C62,VI_Debitos!$T:$T,$D62,VI_Debitos!$R:$R,LEFT(PAGADO!Q$1,4),VI_Debitos!$Q:$Q,RIGHT(Q$1,2))</f>
        <v>0</v>
      </c>
      <c r="R62" s="2">
        <f t="shared" si="0"/>
        <v>0</v>
      </c>
    </row>
    <row r="63" spans="6:18">
      <c r="F63" s="2">
        <f>SUMIFS(VI_Debitos!$V:$V,VI_Debitos!$H:$H,$C63,VI_Debitos!$T:$T,$D63,VI_Debitos!$R:$R,LEFT(PAGADO!F$1,4),VI_Debitos!$Q:$Q,RIGHT(F$1,2))</f>
        <v>0</v>
      </c>
      <c r="G63" s="2">
        <f>SUMIFS(VI_Debitos!$V:$V,VI_Debitos!$H:$H,$C63,VI_Debitos!$T:$T,$D63,VI_Debitos!$R:$R,LEFT(PAGADO!G$1,4),VI_Debitos!$Q:$Q,RIGHT(G$1,2))</f>
        <v>0</v>
      </c>
      <c r="H63" s="2">
        <f>SUMIFS(VI_Debitos!$V:$V,VI_Debitos!$H:$H,$C63,VI_Debitos!$T:$T,$D63,VI_Debitos!$R:$R,LEFT(PAGADO!H$1,4),VI_Debitos!$Q:$Q,RIGHT(H$1,2))</f>
        <v>0</v>
      </c>
      <c r="I63" s="2">
        <f>SUMIFS(VI_Debitos!$V:$V,VI_Debitos!$H:$H,$C63,VI_Debitos!$T:$T,$D63,VI_Debitos!$R:$R,LEFT(PAGADO!I$1,4),VI_Debitos!$Q:$Q,RIGHT(I$1,2))</f>
        <v>0</v>
      </c>
      <c r="J63" s="2">
        <f>SUMIFS(VI_Debitos!$V:$V,VI_Debitos!$H:$H,$C63,VI_Debitos!$T:$T,$D63,VI_Debitos!$R:$R,LEFT(PAGADO!J$1,4),VI_Debitos!$Q:$Q,RIGHT(J$1,2))</f>
        <v>0</v>
      </c>
      <c r="K63" s="2">
        <f>SUMIFS(VI_Debitos!$V:$V,VI_Debitos!$H:$H,$C63,VI_Debitos!$T:$T,$D63,VI_Debitos!$R:$R,LEFT(PAGADO!K$1,4),VI_Debitos!$Q:$Q,RIGHT(K$1,2))</f>
        <v>0</v>
      </c>
      <c r="L63" s="2">
        <f>SUMIFS(VI_Debitos!$V:$V,VI_Debitos!$H:$H,$C63,VI_Debitos!$T:$T,$D63,VI_Debitos!$R:$R,LEFT(PAGADO!L$1,4),VI_Debitos!$Q:$Q,RIGHT(L$1,2))</f>
        <v>0</v>
      </c>
      <c r="M63" s="2">
        <f>SUMIFS(VI_Debitos!$V:$V,VI_Debitos!$H:$H,$C63,VI_Debitos!$T:$T,$D63,VI_Debitos!$R:$R,LEFT(PAGADO!M$1,4),VI_Debitos!$Q:$Q,RIGHT(M$1,2))</f>
        <v>0</v>
      </c>
      <c r="N63" s="2">
        <f>SUMIFS(VI_Debitos!$V:$V,VI_Debitos!$H:$H,$C63,VI_Debitos!$T:$T,$D63,VI_Debitos!$R:$R,LEFT(PAGADO!N$1,4),VI_Debitos!$Q:$Q,RIGHT(N$1,2))</f>
        <v>0</v>
      </c>
      <c r="O63" s="2">
        <f>SUMIFS(VI_Debitos!$V:$V,VI_Debitos!$H:$H,$C63,VI_Debitos!$T:$T,$D63,VI_Debitos!$R:$R,LEFT(PAGADO!O$1,4),VI_Debitos!$Q:$Q,RIGHT(O$1,2))</f>
        <v>0</v>
      </c>
      <c r="P63" s="2">
        <f>SUMIFS(VI_Debitos!$V:$V,VI_Debitos!$H:$H,$C63,VI_Debitos!$T:$T,$D63,VI_Debitos!$R:$R,LEFT(PAGADO!P$1,4),VI_Debitos!$Q:$Q,RIGHT(P$1,2))</f>
        <v>0</v>
      </c>
      <c r="Q63" s="2">
        <f>SUMIFS(VI_Debitos!$V:$V,VI_Debitos!$H:$H,$C63,VI_Debitos!$T:$T,$D63,VI_Debitos!$R:$R,LEFT(PAGADO!Q$1,4),VI_Debitos!$Q:$Q,RIGHT(Q$1,2))</f>
        <v>0</v>
      </c>
      <c r="R63" s="2">
        <f t="shared" si="0"/>
        <v>0</v>
      </c>
    </row>
    <row r="64" spans="6:18">
      <c r="F64" s="2">
        <f>SUMIFS(VI_Debitos!$V:$V,VI_Debitos!$H:$H,$C64,VI_Debitos!$T:$T,$D64,VI_Debitos!$R:$R,LEFT(PAGADO!F$1,4),VI_Debitos!$Q:$Q,RIGHT(F$1,2))</f>
        <v>0</v>
      </c>
      <c r="G64" s="2">
        <f>SUMIFS(VI_Debitos!$V:$V,VI_Debitos!$H:$H,$C64,VI_Debitos!$T:$T,$D64,VI_Debitos!$R:$R,LEFT(PAGADO!G$1,4),VI_Debitos!$Q:$Q,RIGHT(G$1,2))</f>
        <v>0</v>
      </c>
      <c r="H64" s="2">
        <f>SUMIFS(VI_Debitos!$V:$V,VI_Debitos!$H:$H,$C64,VI_Debitos!$T:$T,$D64,VI_Debitos!$R:$R,LEFT(PAGADO!H$1,4),VI_Debitos!$Q:$Q,RIGHT(H$1,2))</f>
        <v>0</v>
      </c>
      <c r="I64" s="2">
        <f>SUMIFS(VI_Debitos!$V:$V,VI_Debitos!$H:$H,$C64,VI_Debitos!$T:$T,$D64,VI_Debitos!$R:$R,LEFT(PAGADO!I$1,4),VI_Debitos!$Q:$Q,RIGHT(I$1,2))</f>
        <v>0</v>
      </c>
      <c r="J64" s="2">
        <f>SUMIFS(VI_Debitos!$V:$V,VI_Debitos!$H:$H,$C64,VI_Debitos!$T:$T,$D64,VI_Debitos!$R:$R,LEFT(PAGADO!J$1,4),VI_Debitos!$Q:$Q,RIGHT(J$1,2))</f>
        <v>0</v>
      </c>
      <c r="K64" s="2">
        <f>SUMIFS(VI_Debitos!$V:$V,VI_Debitos!$H:$H,$C64,VI_Debitos!$T:$T,$D64,VI_Debitos!$R:$R,LEFT(PAGADO!K$1,4),VI_Debitos!$Q:$Q,RIGHT(K$1,2))</f>
        <v>0</v>
      </c>
      <c r="L64" s="2">
        <f>SUMIFS(VI_Debitos!$V:$V,VI_Debitos!$H:$H,$C64,VI_Debitos!$T:$T,$D64,VI_Debitos!$R:$R,LEFT(PAGADO!L$1,4),VI_Debitos!$Q:$Q,RIGHT(L$1,2))</f>
        <v>0</v>
      </c>
      <c r="M64" s="2">
        <f>SUMIFS(VI_Debitos!$V:$V,VI_Debitos!$H:$H,$C64,VI_Debitos!$T:$T,$D64,VI_Debitos!$R:$R,LEFT(PAGADO!M$1,4),VI_Debitos!$Q:$Q,RIGHT(M$1,2))</f>
        <v>0</v>
      </c>
      <c r="N64" s="2">
        <f>SUMIFS(VI_Debitos!$V:$V,VI_Debitos!$H:$H,$C64,VI_Debitos!$T:$T,$D64,VI_Debitos!$R:$R,LEFT(PAGADO!N$1,4),VI_Debitos!$Q:$Q,RIGHT(N$1,2))</f>
        <v>0</v>
      </c>
      <c r="O64" s="2">
        <f>SUMIFS(VI_Debitos!$V:$V,VI_Debitos!$H:$H,$C64,VI_Debitos!$T:$T,$D64,VI_Debitos!$R:$R,LEFT(PAGADO!O$1,4),VI_Debitos!$Q:$Q,RIGHT(O$1,2))</f>
        <v>0</v>
      </c>
      <c r="P64" s="2">
        <f>SUMIFS(VI_Debitos!$V:$V,VI_Debitos!$H:$H,$C64,VI_Debitos!$T:$T,$D64,VI_Debitos!$R:$R,LEFT(PAGADO!P$1,4),VI_Debitos!$Q:$Q,RIGHT(P$1,2))</f>
        <v>0</v>
      </c>
      <c r="Q64" s="2">
        <f>SUMIFS(VI_Debitos!$V:$V,VI_Debitos!$H:$H,$C64,VI_Debitos!$T:$T,$D64,VI_Debitos!$R:$R,LEFT(PAGADO!Q$1,4),VI_Debitos!$Q:$Q,RIGHT(Q$1,2))</f>
        <v>0</v>
      </c>
      <c r="R64" s="2">
        <f t="shared" si="0"/>
        <v>0</v>
      </c>
    </row>
    <row r="65" spans="6:18">
      <c r="F65" s="2">
        <f>SUMIFS(VI_Debitos!$V:$V,VI_Debitos!$H:$H,$C65,VI_Debitos!$T:$T,$D65,VI_Debitos!$R:$R,LEFT(PAGADO!F$1,4),VI_Debitos!$Q:$Q,RIGHT(F$1,2))</f>
        <v>0</v>
      </c>
      <c r="G65" s="2">
        <f>SUMIFS(VI_Debitos!$V:$V,VI_Debitos!$H:$H,$C65,VI_Debitos!$T:$T,$D65,VI_Debitos!$R:$R,LEFT(PAGADO!G$1,4),VI_Debitos!$Q:$Q,RIGHT(G$1,2))</f>
        <v>0</v>
      </c>
      <c r="H65" s="2">
        <f>SUMIFS(VI_Debitos!$V:$V,VI_Debitos!$H:$H,$C65,VI_Debitos!$T:$T,$D65,VI_Debitos!$R:$R,LEFT(PAGADO!H$1,4),VI_Debitos!$Q:$Q,RIGHT(H$1,2))</f>
        <v>0</v>
      </c>
      <c r="I65" s="2">
        <f>SUMIFS(VI_Debitos!$V:$V,VI_Debitos!$H:$H,$C65,VI_Debitos!$T:$T,$D65,VI_Debitos!$R:$R,LEFT(PAGADO!I$1,4),VI_Debitos!$Q:$Q,RIGHT(I$1,2))</f>
        <v>0</v>
      </c>
      <c r="J65" s="2">
        <f>SUMIFS(VI_Debitos!$V:$V,VI_Debitos!$H:$H,$C65,VI_Debitos!$T:$T,$D65,VI_Debitos!$R:$R,LEFT(PAGADO!J$1,4),VI_Debitos!$Q:$Q,RIGHT(J$1,2))</f>
        <v>0</v>
      </c>
      <c r="K65" s="2">
        <f>SUMIFS(VI_Debitos!$V:$V,VI_Debitos!$H:$H,$C65,VI_Debitos!$T:$T,$D65,VI_Debitos!$R:$R,LEFT(PAGADO!K$1,4),VI_Debitos!$Q:$Q,RIGHT(K$1,2))</f>
        <v>0</v>
      </c>
      <c r="L65" s="2">
        <f>SUMIFS(VI_Debitos!$V:$V,VI_Debitos!$H:$H,$C65,VI_Debitos!$T:$T,$D65,VI_Debitos!$R:$R,LEFT(PAGADO!L$1,4),VI_Debitos!$Q:$Q,RIGHT(L$1,2))</f>
        <v>0</v>
      </c>
      <c r="M65" s="2">
        <f>SUMIFS(VI_Debitos!$V:$V,VI_Debitos!$H:$H,$C65,VI_Debitos!$T:$T,$D65,VI_Debitos!$R:$R,LEFT(PAGADO!M$1,4),VI_Debitos!$Q:$Q,RIGHT(M$1,2))</f>
        <v>0</v>
      </c>
      <c r="N65" s="2">
        <f>SUMIFS(VI_Debitos!$V:$V,VI_Debitos!$H:$H,$C65,VI_Debitos!$T:$T,$D65,VI_Debitos!$R:$R,LEFT(PAGADO!N$1,4),VI_Debitos!$Q:$Q,RIGHT(N$1,2))</f>
        <v>0</v>
      </c>
      <c r="O65" s="2">
        <f>SUMIFS(VI_Debitos!$V:$V,VI_Debitos!$H:$H,$C65,VI_Debitos!$T:$T,$D65,VI_Debitos!$R:$R,LEFT(PAGADO!O$1,4),VI_Debitos!$Q:$Q,RIGHT(O$1,2))</f>
        <v>0</v>
      </c>
      <c r="P65" s="2">
        <f>SUMIFS(VI_Debitos!$V:$V,VI_Debitos!$H:$H,$C65,VI_Debitos!$T:$T,$D65,VI_Debitos!$R:$R,LEFT(PAGADO!P$1,4),VI_Debitos!$Q:$Q,RIGHT(P$1,2))</f>
        <v>0</v>
      </c>
      <c r="Q65" s="2">
        <f>SUMIFS(VI_Debitos!$V:$V,VI_Debitos!$H:$H,$C65,VI_Debitos!$T:$T,$D65,VI_Debitos!$R:$R,LEFT(PAGADO!Q$1,4),VI_Debitos!$Q:$Q,RIGHT(Q$1,2))</f>
        <v>0</v>
      </c>
      <c r="R65" s="2">
        <f t="shared" si="0"/>
        <v>0</v>
      </c>
    </row>
    <row r="66" spans="6:18">
      <c r="F66" s="2">
        <f>SUMIFS(VI_Debitos!$V:$V,VI_Debitos!$H:$H,$C66,VI_Debitos!$T:$T,$D66,VI_Debitos!$R:$R,LEFT(PAGADO!F$1,4),VI_Debitos!$Q:$Q,RIGHT(F$1,2))</f>
        <v>0</v>
      </c>
      <c r="G66" s="2">
        <f>SUMIFS(VI_Debitos!$V:$V,VI_Debitos!$H:$H,$C66,VI_Debitos!$T:$T,$D66,VI_Debitos!$R:$R,LEFT(PAGADO!G$1,4),VI_Debitos!$Q:$Q,RIGHT(G$1,2))</f>
        <v>0</v>
      </c>
      <c r="H66" s="2">
        <f>SUMIFS(VI_Debitos!$V:$V,VI_Debitos!$H:$H,$C66,VI_Debitos!$T:$T,$D66,VI_Debitos!$R:$R,LEFT(PAGADO!H$1,4),VI_Debitos!$Q:$Q,RIGHT(H$1,2))</f>
        <v>0</v>
      </c>
      <c r="I66" s="2">
        <f>SUMIFS(VI_Debitos!$V:$V,VI_Debitos!$H:$H,$C66,VI_Debitos!$T:$T,$D66,VI_Debitos!$R:$R,LEFT(PAGADO!I$1,4),VI_Debitos!$Q:$Q,RIGHT(I$1,2))</f>
        <v>0</v>
      </c>
      <c r="J66" s="2">
        <f>SUMIFS(VI_Debitos!$V:$V,VI_Debitos!$H:$H,$C66,VI_Debitos!$T:$T,$D66,VI_Debitos!$R:$R,LEFT(PAGADO!J$1,4),VI_Debitos!$Q:$Q,RIGHT(J$1,2))</f>
        <v>0</v>
      </c>
      <c r="K66" s="2">
        <f>SUMIFS(VI_Debitos!$V:$V,VI_Debitos!$H:$H,$C66,VI_Debitos!$T:$T,$D66,VI_Debitos!$R:$R,LEFT(PAGADO!K$1,4),VI_Debitos!$Q:$Q,RIGHT(K$1,2))</f>
        <v>0</v>
      </c>
      <c r="L66" s="2">
        <f>SUMIFS(VI_Debitos!$V:$V,VI_Debitos!$H:$H,$C66,VI_Debitos!$T:$T,$D66,VI_Debitos!$R:$R,LEFT(PAGADO!L$1,4),VI_Debitos!$Q:$Q,RIGHT(L$1,2))</f>
        <v>0</v>
      </c>
      <c r="M66" s="2">
        <f>SUMIFS(VI_Debitos!$V:$V,VI_Debitos!$H:$H,$C66,VI_Debitos!$T:$T,$D66,VI_Debitos!$R:$R,LEFT(PAGADO!M$1,4),VI_Debitos!$Q:$Q,RIGHT(M$1,2))</f>
        <v>0</v>
      </c>
      <c r="N66" s="2">
        <f>SUMIFS(VI_Debitos!$V:$V,VI_Debitos!$H:$H,$C66,VI_Debitos!$T:$T,$D66,VI_Debitos!$R:$R,LEFT(PAGADO!N$1,4),VI_Debitos!$Q:$Q,RIGHT(N$1,2))</f>
        <v>0</v>
      </c>
      <c r="O66" s="2">
        <f>SUMIFS(VI_Debitos!$V:$V,VI_Debitos!$H:$H,$C66,VI_Debitos!$T:$T,$D66,VI_Debitos!$R:$R,LEFT(PAGADO!O$1,4),VI_Debitos!$Q:$Q,RIGHT(O$1,2))</f>
        <v>0</v>
      </c>
      <c r="P66" s="2">
        <f>SUMIFS(VI_Debitos!$V:$V,VI_Debitos!$H:$H,$C66,VI_Debitos!$T:$T,$D66,VI_Debitos!$R:$R,LEFT(PAGADO!P$1,4),VI_Debitos!$Q:$Q,RIGHT(P$1,2))</f>
        <v>0</v>
      </c>
      <c r="Q66" s="2">
        <f>SUMIFS(VI_Debitos!$V:$V,VI_Debitos!$H:$H,$C66,VI_Debitos!$T:$T,$D66,VI_Debitos!$R:$R,LEFT(PAGADO!Q$1,4),VI_Debitos!$Q:$Q,RIGHT(Q$1,2))</f>
        <v>0</v>
      </c>
      <c r="R66" s="2">
        <f t="shared" ref="R66:R129" si="1">SUM(F66:Q66)</f>
        <v>0</v>
      </c>
    </row>
    <row r="67" spans="6:18">
      <c r="F67" s="2">
        <f>SUMIFS(VI_Debitos!$V:$V,VI_Debitos!$H:$H,$C67,VI_Debitos!$T:$T,$D67,VI_Debitos!$R:$R,LEFT(PAGADO!F$1,4),VI_Debitos!$Q:$Q,RIGHT(F$1,2))</f>
        <v>0</v>
      </c>
      <c r="G67" s="2">
        <f>SUMIFS(VI_Debitos!$V:$V,VI_Debitos!$H:$H,$C67,VI_Debitos!$T:$T,$D67,VI_Debitos!$R:$R,LEFT(PAGADO!G$1,4),VI_Debitos!$Q:$Q,RIGHT(G$1,2))</f>
        <v>0</v>
      </c>
      <c r="H67" s="2">
        <f>SUMIFS(VI_Debitos!$V:$V,VI_Debitos!$H:$H,$C67,VI_Debitos!$T:$T,$D67,VI_Debitos!$R:$R,LEFT(PAGADO!H$1,4),VI_Debitos!$Q:$Q,RIGHT(H$1,2))</f>
        <v>0</v>
      </c>
      <c r="I67" s="2">
        <f>SUMIFS(VI_Debitos!$V:$V,VI_Debitos!$H:$H,$C67,VI_Debitos!$T:$T,$D67,VI_Debitos!$R:$R,LEFT(PAGADO!I$1,4),VI_Debitos!$Q:$Q,RIGHT(I$1,2))</f>
        <v>0</v>
      </c>
      <c r="J67" s="2">
        <f>SUMIFS(VI_Debitos!$V:$V,VI_Debitos!$H:$H,$C67,VI_Debitos!$T:$T,$D67,VI_Debitos!$R:$R,LEFT(PAGADO!J$1,4),VI_Debitos!$Q:$Q,RIGHT(J$1,2))</f>
        <v>0</v>
      </c>
      <c r="K67" s="2">
        <f>SUMIFS(VI_Debitos!$V:$V,VI_Debitos!$H:$H,$C67,VI_Debitos!$T:$T,$D67,VI_Debitos!$R:$R,LEFT(PAGADO!K$1,4),VI_Debitos!$Q:$Q,RIGHT(K$1,2))</f>
        <v>0</v>
      </c>
      <c r="L67" s="2">
        <f>SUMIFS(VI_Debitos!$V:$V,VI_Debitos!$H:$H,$C67,VI_Debitos!$T:$T,$D67,VI_Debitos!$R:$R,LEFT(PAGADO!L$1,4),VI_Debitos!$Q:$Q,RIGHT(L$1,2))</f>
        <v>0</v>
      </c>
      <c r="M67" s="2">
        <f>SUMIFS(VI_Debitos!$V:$V,VI_Debitos!$H:$H,$C67,VI_Debitos!$T:$T,$D67,VI_Debitos!$R:$R,LEFT(PAGADO!M$1,4),VI_Debitos!$Q:$Q,RIGHT(M$1,2))</f>
        <v>0</v>
      </c>
      <c r="N67" s="2">
        <f>SUMIFS(VI_Debitos!$V:$V,VI_Debitos!$H:$H,$C67,VI_Debitos!$T:$T,$D67,VI_Debitos!$R:$R,LEFT(PAGADO!N$1,4),VI_Debitos!$Q:$Q,RIGHT(N$1,2))</f>
        <v>0</v>
      </c>
      <c r="O67" s="2">
        <f>SUMIFS(VI_Debitos!$V:$V,VI_Debitos!$H:$H,$C67,VI_Debitos!$T:$T,$D67,VI_Debitos!$R:$R,LEFT(PAGADO!O$1,4),VI_Debitos!$Q:$Q,RIGHT(O$1,2))</f>
        <v>0</v>
      </c>
      <c r="P67" s="2">
        <f>SUMIFS(VI_Debitos!$V:$V,VI_Debitos!$H:$H,$C67,VI_Debitos!$T:$T,$D67,VI_Debitos!$R:$R,LEFT(PAGADO!P$1,4),VI_Debitos!$Q:$Q,RIGHT(P$1,2))</f>
        <v>0</v>
      </c>
      <c r="Q67" s="2">
        <f>SUMIFS(VI_Debitos!$V:$V,VI_Debitos!$H:$H,$C67,VI_Debitos!$T:$T,$D67,VI_Debitos!$R:$R,LEFT(PAGADO!Q$1,4),VI_Debitos!$Q:$Q,RIGHT(Q$1,2))</f>
        <v>0</v>
      </c>
      <c r="R67" s="2">
        <f t="shared" si="1"/>
        <v>0</v>
      </c>
    </row>
    <row r="68" spans="6:18">
      <c r="F68" s="2">
        <f>SUMIFS(VI_Debitos!$V:$V,VI_Debitos!$H:$H,$C68,VI_Debitos!$T:$T,$D68,VI_Debitos!$R:$R,LEFT(PAGADO!F$1,4),VI_Debitos!$Q:$Q,RIGHT(F$1,2))</f>
        <v>0</v>
      </c>
      <c r="G68" s="2">
        <f>SUMIFS(VI_Debitos!$V:$V,VI_Debitos!$H:$H,$C68,VI_Debitos!$T:$T,$D68,VI_Debitos!$R:$R,LEFT(PAGADO!G$1,4),VI_Debitos!$Q:$Q,RIGHT(G$1,2))</f>
        <v>0</v>
      </c>
      <c r="H68" s="2">
        <f>SUMIFS(VI_Debitos!$V:$V,VI_Debitos!$H:$H,$C68,VI_Debitos!$T:$T,$D68,VI_Debitos!$R:$R,LEFT(PAGADO!H$1,4),VI_Debitos!$Q:$Q,RIGHT(H$1,2))</f>
        <v>0</v>
      </c>
      <c r="I68" s="2">
        <f>SUMIFS(VI_Debitos!$V:$V,VI_Debitos!$H:$H,$C68,VI_Debitos!$T:$T,$D68,VI_Debitos!$R:$R,LEFT(PAGADO!I$1,4),VI_Debitos!$Q:$Q,RIGHT(I$1,2))</f>
        <v>0</v>
      </c>
      <c r="J68" s="2">
        <f>SUMIFS(VI_Debitos!$V:$V,VI_Debitos!$H:$H,$C68,VI_Debitos!$T:$T,$D68,VI_Debitos!$R:$R,LEFT(PAGADO!J$1,4),VI_Debitos!$Q:$Q,RIGHT(J$1,2))</f>
        <v>0</v>
      </c>
      <c r="K68" s="2">
        <f>SUMIFS(VI_Debitos!$V:$V,VI_Debitos!$H:$H,$C68,VI_Debitos!$T:$T,$D68,VI_Debitos!$R:$R,LEFT(PAGADO!K$1,4),VI_Debitos!$Q:$Q,RIGHT(K$1,2))</f>
        <v>0</v>
      </c>
      <c r="L68" s="2">
        <f>SUMIFS(VI_Debitos!$V:$V,VI_Debitos!$H:$H,$C68,VI_Debitos!$T:$T,$D68,VI_Debitos!$R:$R,LEFT(PAGADO!L$1,4),VI_Debitos!$Q:$Q,RIGHT(L$1,2))</f>
        <v>0</v>
      </c>
      <c r="M68" s="2">
        <f>SUMIFS(VI_Debitos!$V:$V,VI_Debitos!$H:$H,$C68,VI_Debitos!$T:$T,$D68,VI_Debitos!$R:$R,LEFT(PAGADO!M$1,4),VI_Debitos!$Q:$Q,RIGHT(M$1,2))</f>
        <v>0</v>
      </c>
      <c r="N68" s="2">
        <f>SUMIFS(VI_Debitos!$V:$V,VI_Debitos!$H:$H,$C68,VI_Debitos!$T:$T,$D68,VI_Debitos!$R:$R,LEFT(PAGADO!N$1,4),VI_Debitos!$Q:$Q,RIGHT(N$1,2))</f>
        <v>0</v>
      </c>
      <c r="O68" s="2">
        <f>SUMIFS(VI_Debitos!$V:$V,VI_Debitos!$H:$H,$C68,VI_Debitos!$T:$T,$D68,VI_Debitos!$R:$R,LEFT(PAGADO!O$1,4),VI_Debitos!$Q:$Q,RIGHT(O$1,2))</f>
        <v>0</v>
      </c>
      <c r="P68" s="2">
        <f>SUMIFS(VI_Debitos!$V:$V,VI_Debitos!$H:$H,$C68,VI_Debitos!$T:$T,$D68,VI_Debitos!$R:$R,LEFT(PAGADO!P$1,4),VI_Debitos!$Q:$Q,RIGHT(P$1,2))</f>
        <v>0</v>
      </c>
      <c r="Q68" s="2">
        <f>SUMIFS(VI_Debitos!$V:$V,VI_Debitos!$H:$H,$C68,VI_Debitos!$T:$T,$D68,VI_Debitos!$R:$R,LEFT(PAGADO!Q$1,4),VI_Debitos!$Q:$Q,RIGHT(Q$1,2))</f>
        <v>0</v>
      </c>
      <c r="R68" s="2">
        <f t="shared" si="1"/>
        <v>0</v>
      </c>
    </row>
    <row r="69" spans="6:18">
      <c r="F69" s="2">
        <f>SUMIFS(VI_Debitos!$V:$V,VI_Debitos!$H:$H,$C69,VI_Debitos!$T:$T,$D69,VI_Debitos!$R:$R,LEFT(PAGADO!F$1,4),VI_Debitos!$Q:$Q,RIGHT(F$1,2))</f>
        <v>0</v>
      </c>
      <c r="G69" s="2">
        <f>SUMIFS(VI_Debitos!$V:$V,VI_Debitos!$H:$H,$C69,VI_Debitos!$T:$T,$D69,VI_Debitos!$R:$R,LEFT(PAGADO!G$1,4),VI_Debitos!$Q:$Q,RIGHT(G$1,2))</f>
        <v>0</v>
      </c>
      <c r="H69" s="2">
        <f>SUMIFS(VI_Debitos!$V:$V,VI_Debitos!$H:$H,$C69,VI_Debitos!$T:$T,$D69,VI_Debitos!$R:$R,LEFT(PAGADO!H$1,4),VI_Debitos!$Q:$Q,RIGHT(H$1,2))</f>
        <v>0</v>
      </c>
      <c r="I69" s="2">
        <f>SUMIFS(VI_Debitos!$V:$V,VI_Debitos!$H:$H,$C69,VI_Debitos!$T:$T,$D69,VI_Debitos!$R:$R,LEFT(PAGADO!I$1,4),VI_Debitos!$Q:$Q,RIGHT(I$1,2))</f>
        <v>0</v>
      </c>
      <c r="J69" s="2">
        <f>SUMIFS(VI_Debitos!$V:$V,VI_Debitos!$H:$H,$C69,VI_Debitos!$T:$T,$D69,VI_Debitos!$R:$R,LEFT(PAGADO!J$1,4),VI_Debitos!$Q:$Q,RIGHT(J$1,2))</f>
        <v>0</v>
      </c>
      <c r="K69" s="2">
        <f>SUMIFS(VI_Debitos!$V:$V,VI_Debitos!$H:$H,$C69,VI_Debitos!$T:$T,$D69,VI_Debitos!$R:$R,LEFT(PAGADO!K$1,4),VI_Debitos!$Q:$Q,RIGHT(K$1,2))</f>
        <v>0</v>
      </c>
      <c r="L69" s="2">
        <f>SUMIFS(VI_Debitos!$V:$V,VI_Debitos!$H:$H,$C69,VI_Debitos!$T:$T,$D69,VI_Debitos!$R:$R,LEFT(PAGADO!L$1,4),VI_Debitos!$Q:$Q,RIGHT(L$1,2))</f>
        <v>0</v>
      </c>
      <c r="M69" s="2">
        <f>SUMIFS(VI_Debitos!$V:$V,VI_Debitos!$H:$H,$C69,VI_Debitos!$T:$T,$D69,VI_Debitos!$R:$R,LEFT(PAGADO!M$1,4),VI_Debitos!$Q:$Q,RIGHT(M$1,2))</f>
        <v>0</v>
      </c>
      <c r="N69" s="2">
        <f>SUMIFS(VI_Debitos!$V:$V,VI_Debitos!$H:$H,$C69,VI_Debitos!$T:$T,$D69,VI_Debitos!$R:$R,LEFT(PAGADO!N$1,4),VI_Debitos!$Q:$Q,RIGHT(N$1,2))</f>
        <v>0</v>
      </c>
      <c r="O69" s="2">
        <f>SUMIFS(VI_Debitos!$V:$V,VI_Debitos!$H:$H,$C69,VI_Debitos!$T:$T,$D69,VI_Debitos!$R:$R,LEFT(PAGADO!O$1,4),VI_Debitos!$Q:$Q,RIGHT(O$1,2))</f>
        <v>0</v>
      </c>
      <c r="P69" s="2">
        <f>SUMIFS(VI_Debitos!$V:$V,VI_Debitos!$H:$H,$C69,VI_Debitos!$T:$T,$D69,VI_Debitos!$R:$R,LEFT(PAGADO!P$1,4),VI_Debitos!$Q:$Q,RIGHT(P$1,2))</f>
        <v>0</v>
      </c>
      <c r="Q69" s="2">
        <f>SUMIFS(VI_Debitos!$V:$V,VI_Debitos!$H:$H,$C69,VI_Debitos!$T:$T,$D69,VI_Debitos!$R:$R,LEFT(PAGADO!Q$1,4),VI_Debitos!$Q:$Q,RIGHT(Q$1,2))</f>
        <v>0</v>
      </c>
      <c r="R69" s="2">
        <f t="shared" si="1"/>
        <v>0</v>
      </c>
    </row>
    <row r="70" spans="6:18">
      <c r="F70" s="2">
        <f>SUMIFS(VI_Debitos!$V:$V,VI_Debitos!$H:$H,$C70,VI_Debitos!$T:$T,$D70,VI_Debitos!$R:$R,LEFT(PAGADO!F$1,4),VI_Debitos!$Q:$Q,RIGHT(F$1,2))</f>
        <v>0</v>
      </c>
      <c r="G70" s="2">
        <f>SUMIFS(VI_Debitos!$V:$V,VI_Debitos!$H:$H,$C70,VI_Debitos!$T:$T,$D70,VI_Debitos!$R:$R,LEFT(PAGADO!G$1,4),VI_Debitos!$Q:$Q,RIGHT(G$1,2))</f>
        <v>0</v>
      </c>
      <c r="H70" s="2">
        <f>SUMIFS(VI_Debitos!$V:$V,VI_Debitos!$H:$H,$C70,VI_Debitos!$T:$T,$D70,VI_Debitos!$R:$R,LEFT(PAGADO!H$1,4),VI_Debitos!$Q:$Q,RIGHT(H$1,2))</f>
        <v>0</v>
      </c>
      <c r="I70" s="2">
        <f>SUMIFS(VI_Debitos!$V:$V,VI_Debitos!$H:$H,$C70,VI_Debitos!$T:$T,$D70,VI_Debitos!$R:$R,LEFT(PAGADO!I$1,4),VI_Debitos!$Q:$Q,RIGHT(I$1,2))</f>
        <v>0</v>
      </c>
      <c r="J70" s="2">
        <f>SUMIFS(VI_Debitos!$V:$V,VI_Debitos!$H:$H,$C70,VI_Debitos!$T:$T,$D70,VI_Debitos!$R:$R,LEFT(PAGADO!J$1,4),VI_Debitos!$Q:$Q,RIGHT(J$1,2))</f>
        <v>0</v>
      </c>
      <c r="K70" s="2">
        <f>SUMIFS(VI_Debitos!$V:$V,VI_Debitos!$H:$H,$C70,VI_Debitos!$T:$T,$D70,VI_Debitos!$R:$R,LEFT(PAGADO!K$1,4),VI_Debitos!$Q:$Q,RIGHT(K$1,2))</f>
        <v>0</v>
      </c>
      <c r="L70" s="2">
        <f>SUMIFS(VI_Debitos!$V:$V,VI_Debitos!$H:$H,$C70,VI_Debitos!$T:$T,$D70,VI_Debitos!$R:$R,LEFT(PAGADO!L$1,4),VI_Debitos!$Q:$Q,RIGHT(L$1,2))</f>
        <v>0</v>
      </c>
      <c r="M70" s="2">
        <f>SUMIFS(VI_Debitos!$V:$V,VI_Debitos!$H:$H,$C70,VI_Debitos!$T:$T,$D70,VI_Debitos!$R:$R,LEFT(PAGADO!M$1,4),VI_Debitos!$Q:$Q,RIGHT(M$1,2))</f>
        <v>0</v>
      </c>
      <c r="N70" s="2">
        <f>SUMIFS(VI_Debitos!$V:$V,VI_Debitos!$H:$H,$C70,VI_Debitos!$T:$T,$D70,VI_Debitos!$R:$R,LEFT(PAGADO!N$1,4),VI_Debitos!$Q:$Q,RIGHT(N$1,2))</f>
        <v>0</v>
      </c>
      <c r="O70" s="2">
        <f>SUMIFS(VI_Debitos!$V:$V,VI_Debitos!$H:$H,$C70,VI_Debitos!$T:$T,$D70,VI_Debitos!$R:$R,LEFT(PAGADO!O$1,4),VI_Debitos!$Q:$Q,RIGHT(O$1,2))</f>
        <v>0</v>
      </c>
      <c r="P70" s="2">
        <f>SUMIFS(VI_Debitos!$V:$V,VI_Debitos!$H:$H,$C70,VI_Debitos!$T:$T,$D70,VI_Debitos!$R:$R,LEFT(PAGADO!P$1,4),VI_Debitos!$Q:$Q,RIGHT(P$1,2))</f>
        <v>0</v>
      </c>
      <c r="Q70" s="2">
        <f>SUMIFS(VI_Debitos!$V:$V,VI_Debitos!$H:$H,$C70,VI_Debitos!$T:$T,$D70,VI_Debitos!$R:$R,LEFT(PAGADO!Q$1,4),VI_Debitos!$Q:$Q,RIGHT(Q$1,2))</f>
        <v>0</v>
      </c>
      <c r="R70" s="2">
        <f t="shared" si="1"/>
        <v>0</v>
      </c>
    </row>
    <row r="71" spans="6:18">
      <c r="F71" s="2">
        <f>SUMIFS(VI_Debitos!$V:$V,VI_Debitos!$H:$H,$C71,VI_Debitos!$T:$T,$D71,VI_Debitos!$R:$R,LEFT(PAGADO!F$1,4),VI_Debitos!$Q:$Q,RIGHT(F$1,2))</f>
        <v>0</v>
      </c>
      <c r="G71" s="2">
        <f>SUMIFS(VI_Debitos!$V:$V,VI_Debitos!$H:$H,$C71,VI_Debitos!$T:$T,$D71,VI_Debitos!$R:$R,LEFT(PAGADO!G$1,4),VI_Debitos!$Q:$Q,RIGHT(G$1,2))</f>
        <v>0</v>
      </c>
      <c r="H71" s="2">
        <f>SUMIFS(VI_Debitos!$V:$V,VI_Debitos!$H:$H,$C71,VI_Debitos!$T:$T,$D71,VI_Debitos!$R:$R,LEFT(PAGADO!H$1,4),VI_Debitos!$Q:$Q,RIGHT(H$1,2))</f>
        <v>0</v>
      </c>
      <c r="I71" s="2">
        <f>SUMIFS(VI_Debitos!$V:$V,VI_Debitos!$H:$H,$C71,VI_Debitos!$T:$T,$D71,VI_Debitos!$R:$R,LEFT(PAGADO!I$1,4),VI_Debitos!$Q:$Q,RIGHT(I$1,2))</f>
        <v>0</v>
      </c>
      <c r="J71" s="2">
        <f>SUMIFS(VI_Debitos!$V:$V,VI_Debitos!$H:$H,$C71,VI_Debitos!$T:$T,$D71,VI_Debitos!$R:$R,LEFT(PAGADO!J$1,4),VI_Debitos!$Q:$Q,RIGHT(J$1,2))</f>
        <v>0</v>
      </c>
      <c r="K71" s="2">
        <f>SUMIFS(VI_Debitos!$V:$V,VI_Debitos!$H:$H,$C71,VI_Debitos!$T:$T,$D71,VI_Debitos!$R:$R,LEFT(PAGADO!K$1,4),VI_Debitos!$Q:$Q,RIGHT(K$1,2))</f>
        <v>0</v>
      </c>
      <c r="L71" s="2">
        <f>SUMIFS(VI_Debitos!$V:$V,VI_Debitos!$H:$H,$C71,VI_Debitos!$T:$T,$D71,VI_Debitos!$R:$R,LEFT(PAGADO!L$1,4),VI_Debitos!$Q:$Q,RIGHT(L$1,2))</f>
        <v>0</v>
      </c>
      <c r="M71" s="2">
        <f>SUMIFS(VI_Debitos!$V:$V,VI_Debitos!$H:$H,$C71,VI_Debitos!$T:$T,$D71,VI_Debitos!$R:$R,LEFT(PAGADO!M$1,4),VI_Debitos!$Q:$Q,RIGHT(M$1,2))</f>
        <v>0</v>
      </c>
      <c r="N71" s="2">
        <f>SUMIFS(VI_Debitos!$V:$V,VI_Debitos!$H:$H,$C71,VI_Debitos!$T:$T,$D71,VI_Debitos!$R:$R,LEFT(PAGADO!N$1,4),VI_Debitos!$Q:$Q,RIGHT(N$1,2))</f>
        <v>0</v>
      </c>
      <c r="O71" s="2">
        <f>SUMIFS(VI_Debitos!$V:$V,VI_Debitos!$H:$H,$C71,VI_Debitos!$T:$T,$D71,VI_Debitos!$R:$R,LEFT(PAGADO!O$1,4),VI_Debitos!$Q:$Q,RIGHT(O$1,2))</f>
        <v>0</v>
      </c>
      <c r="P71" s="2">
        <f>SUMIFS(VI_Debitos!$V:$V,VI_Debitos!$H:$H,$C71,VI_Debitos!$T:$T,$D71,VI_Debitos!$R:$R,LEFT(PAGADO!P$1,4),VI_Debitos!$Q:$Q,RIGHT(P$1,2))</f>
        <v>0</v>
      </c>
      <c r="Q71" s="2">
        <f>SUMIFS(VI_Debitos!$V:$V,VI_Debitos!$H:$H,$C71,VI_Debitos!$T:$T,$D71,VI_Debitos!$R:$R,LEFT(PAGADO!Q$1,4),VI_Debitos!$Q:$Q,RIGHT(Q$1,2))</f>
        <v>0</v>
      </c>
      <c r="R71" s="2">
        <f t="shared" si="1"/>
        <v>0</v>
      </c>
    </row>
    <row r="72" spans="6:18">
      <c r="F72" s="2">
        <f>SUMIFS(VI_Debitos!$V:$V,VI_Debitos!$H:$H,$C72,VI_Debitos!$T:$T,$D72,VI_Debitos!$R:$R,LEFT(PAGADO!F$1,4),VI_Debitos!$Q:$Q,RIGHT(F$1,2))</f>
        <v>0</v>
      </c>
      <c r="G72" s="2">
        <f>SUMIFS(VI_Debitos!$V:$V,VI_Debitos!$H:$H,$C72,VI_Debitos!$T:$T,$D72,VI_Debitos!$R:$R,LEFT(PAGADO!G$1,4),VI_Debitos!$Q:$Q,RIGHT(G$1,2))</f>
        <v>0</v>
      </c>
      <c r="H72" s="2">
        <f>SUMIFS(VI_Debitos!$V:$V,VI_Debitos!$H:$H,$C72,VI_Debitos!$T:$T,$D72,VI_Debitos!$R:$R,LEFT(PAGADO!H$1,4),VI_Debitos!$Q:$Q,RIGHT(H$1,2))</f>
        <v>0</v>
      </c>
      <c r="I72" s="2">
        <f>SUMIFS(VI_Debitos!$V:$V,VI_Debitos!$H:$H,$C72,VI_Debitos!$T:$T,$D72,VI_Debitos!$R:$R,LEFT(PAGADO!I$1,4),VI_Debitos!$Q:$Q,RIGHT(I$1,2))</f>
        <v>0</v>
      </c>
      <c r="J72" s="2">
        <f>SUMIFS(VI_Debitos!$V:$V,VI_Debitos!$H:$H,$C72,VI_Debitos!$T:$T,$D72,VI_Debitos!$R:$R,LEFT(PAGADO!J$1,4),VI_Debitos!$Q:$Q,RIGHT(J$1,2))</f>
        <v>0</v>
      </c>
      <c r="K72" s="2">
        <f>SUMIFS(VI_Debitos!$V:$V,VI_Debitos!$H:$H,$C72,VI_Debitos!$T:$T,$D72,VI_Debitos!$R:$R,LEFT(PAGADO!K$1,4),VI_Debitos!$Q:$Q,RIGHT(K$1,2))</f>
        <v>0</v>
      </c>
      <c r="L72" s="2">
        <f>SUMIFS(VI_Debitos!$V:$V,VI_Debitos!$H:$H,$C72,VI_Debitos!$T:$T,$D72,VI_Debitos!$R:$R,LEFT(PAGADO!L$1,4),VI_Debitos!$Q:$Q,RIGHT(L$1,2))</f>
        <v>0</v>
      </c>
      <c r="M72" s="2">
        <f>SUMIFS(VI_Debitos!$V:$V,VI_Debitos!$H:$H,$C72,VI_Debitos!$T:$T,$D72,VI_Debitos!$R:$R,LEFT(PAGADO!M$1,4),VI_Debitos!$Q:$Q,RIGHT(M$1,2))</f>
        <v>0</v>
      </c>
      <c r="N72" s="2">
        <f>SUMIFS(VI_Debitos!$V:$V,VI_Debitos!$H:$H,$C72,VI_Debitos!$T:$T,$D72,VI_Debitos!$R:$R,LEFT(PAGADO!N$1,4),VI_Debitos!$Q:$Q,RIGHT(N$1,2))</f>
        <v>0</v>
      </c>
      <c r="O72" s="2">
        <f>SUMIFS(VI_Debitos!$V:$V,VI_Debitos!$H:$H,$C72,VI_Debitos!$T:$T,$D72,VI_Debitos!$R:$R,LEFT(PAGADO!O$1,4),VI_Debitos!$Q:$Q,RIGHT(O$1,2))</f>
        <v>0</v>
      </c>
      <c r="P72" s="2">
        <f>SUMIFS(VI_Debitos!$V:$V,VI_Debitos!$H:$H,$C72,VI_Debitos!$T:$T,$D72,VI_Debitos!$R:$R,LEFT(PAGADO!P$1,4),VI_Debitos!$Q:$Q,RIGHT(P$1,2))</f>
        <v>0</v>
      </c>
      <c r="Q72" s="2">
        <f>SUMIFS(VI_Debitos!$V:$V,VI_Debitos!$H:$H,$C72,VI_Debitos!$T:$T,$D72,VI_Debitos!$R:$R,LEFT(PAGADO!Q$1,4),VI_Debitos!$Q:$Q,RIGHT(Q$1,2))</f>
        <v>0</v>
      </c>
      <c r="R72" s="2">
        <f t="shared" si="1"/>
        <v>0</v>
      </c>
    </row>
    <row r="73" spans="6:18">
      <c r="F73" s="2">
        <f>SUMIFS(VI_Debitos!$V:$V,VI_Debitos!$H:$H,$C73,VI_Debitos!$T:$T,$D73,VI_Debitos!$R:$R,LEFT(PAGADO!F$1,4),VI_Debitos!$Q:$Q,RIGHT(F$1,2))</f>
        <v>0</v>
      </c>
      <c r="G73" s="2">
        <f>SUMIFS(VI_Debitos!$V:$V,VI_Debitos!$H:$H,$C73,VI_Debitos!$T:$T,$D73,VI_Debitos!$R:$R,LEFT(PAGADO!G$1,4),VI_Debitos!$Q:$Q,RIGHT(G$1,2))</f>
        <v>0</v>
      </c>
      <c r="H73" s="2">
        <f>SUMIFS(VI_Debitos!$V:$V,VI_Debitos!$H:$H,$C73,VI_Debitos!$T:$T,$D73,VI_Debitos!$R:$R,LEFT(PAGADO!H$1,4),VI_Debitos!$Q:$Q,RIGHT(H$1,2))</f>
        <v>0</v>
      </c>
      <c r="I73" s="2">
        <f>SUMIFS(VI_Debitos!$V:$V,VI_Debitos!$H:$H,$C73,VI_Debitos!$T:$T,$D73,VI_Debitos!$R:$R,LEFT(PAGADO!I$1,4),VI_Debitos!$Q:$Q,RIGHT(I$1,2))</f>
        <v>0</v>
      </c>
      <c r="J73" s="2">
        <f>SUMIFS(VI_Debitos!$V:$V,VI_Debitos!$H:$H,$C73,VI_Debitos!$T:$T,$D73,VI_Debitos!$R:$R,LEFT(PAGADO!J$1,4),VI_Debitos!$Q:$Q,RIGHT(J$1,2))</f>
        <v>0</v>
      </c>
      <c r="K73" s="2">
        <f>SUMIFS(VI_Debitos!$V:$V,VI_Debitos!$H:$H,$C73,VI_Debitos!$T:$T,$D73,VI_Debitos!$R:$R,LEFT(PAGADO!K$1,4),VI_Debitos!$Q:$Q,RIGHT(K$1,2))</f>
        <v>0</v>
      </c>
      <c r="L73" s="2">
        <f>SUMIFS(VI_Debitos!$V:$V,VI_Debitos!$H:$H,$C73,VI_Debitos!$T:$T,$D73,VI_Debitos!$R:$R,LEFT(PAGADO!L$1,4),VI_Debitos!$Q:$Q,RIGHT(L$1,2))</f>
        <v>0</v>
      </c>
      <c r="M73" s="2">
        <f>SUMIFS(VI_Debitos!$V:$V,VI_Debitos!$H:$H,$C73,VI_Debitos!$T:$T,$D73,VI_Debitos!$R:$R,LEFT(PAGADO!M$1,4),VI_Debitos!$Q:$Q,RIGHT(M$1,2))</f>
        <v>0</v>
      </c>
      <c r="N73" s="2">
        <f>SUMIFS(VI_Debitos!$V:$V,VI_Debitos!$H:$H,$C73,VI_Debitos!$T:$T,$D73,VI_Debitos!$R:$R,LEFT(PAGADO!N$1,4),VI_Debitos!$Q:$Q,RIGHT(N$1,2))</f>
        <v>0</v>
      </c>
      <c r="O73" s="2">
        <f>SUMIFS(VI_Debitos!$V:$V,VI_Debitos!$H:$H,$C73,VI_Debitos!$T:$T,$D73,VI_Debitos!$R:$R,LEFT(PAGADO!O$1,4),VI_Debitos!$Q:$Q,RIGHT(O$1,2))</f>
        <v>0</v>
      </c>
      <c r="P73" s="2">
        <f>SUMIFS(VI_Debitos!$V:$V,VI_Debitos!$H:$H,$C73,VI_Debitos!$T:$T,$D73,VI_Debitos!$R:$R,LEFT(PAGADO!P$1,4),VI_Debitos!$Q:$Q,RIGHT(P$1,2))</f>
        <v>0</v>
      </c>
      <c r="Q73" s="2">
        <f>SUMIFS(VI_Debitos!$V:$V,VI_Debitos!$H:$H,$C73,VI_Debitos!$T:$T,$D73,VI_Debitos!$R:$R,LEFT(PAGADO!Q$1,4),VI_Debitos!$Q:$Q,RIGHT(Q$1,2))</f>
        <v>0</v>
      </c>
      <c r="R73" s="2">
        <f t="shared" si="1"/>
        <v>0</v>
      </c>
    </row>
    <row r="74" spans="6:18">
      <c r="F74" s="2">
        <f>SUMIFS(VI_Debitos!$V:$V,VI_Debitos!$H:$H,$C74,VI_Debitos!$T:$T,$D74,VI_Debitos!$R:$R,LEFT(PAGADO!F$1,4),VI_Debitos!$Q:$Q,RIGHT(F$1,2))</f>
        <v>0</v>
      </c>
      <c r="G74" s="2">
        <f>SUMIFS(VI_Debitos!$V:$V,VI_Debitos!$H:$H,$C74,VI_Debitos!$T:$T,$D74,VI_Debitos!$R:$R,LEFT(PAGADO!G$1,4),VI_Debitos!$Q:$Q,RIGHT(G$1,2))</f>
        <v>0</v>
      </c>
      <c r="H74" s="2">
        <f>SUMIFS(VI_Debitos!$V:$V,VI_Debitos!$H:$H,$C74,VI_Debitos!$T:$T,$D74,VI_Debitos!$R:$R,LEFT(PAGADO!H$1,4),VI_Debitos!$Q:$Q,RIGHT(H$1,2))</f>
        <v>0</v>
      </c>
      <c r="I74" s="2">
        <f>SUMIFS(VI_Debitos!$V:$V,VI_Debitos!$H:$H,$C74,VI_Debitos!$T:$T,$D74,VI_Debitos!$R:$R,LEFT(PAGADO!I$1,4),VI_Debitos!$Q:$Q,RIGHT(I$1,2))</f>
        <v>0</v>
      </c>
      <c r="J74" s="2">
        <f>SUMIFS(VI_Debitos!$V:$V,VI_Debitos!$H:$H,$C74,VI_Debitos!$T:$T,$D74,VI_Debitos!$R:$R,LEFT(PAGADO!J$1,4),VI_Debitos!$Q:$Q,RIGHT(J$1,2))</f>
        <v>0</v>
      </c>
      <c r="K74" s="2">
        <f>SUMIFS(VI_Debitos!$V:$V,VI_Debitos!$H:$H,$C74,VI_Debitos!$T:$T,$D74,VI_Debitos!$R:$R,LEFT(PAGADO!K$1,4),VI_Debitos!$Q:$Q,RIGHT(K$1,2))</f>
        <v>0</v>
      </c>
      <c r="L74" s="2">
        <f>SUMIFS(VI_Debitos!$V:$V,VI_Debitos!$H:$H,$C74,VI_Debitos!$T:$T,$D74,VI_Debitos!$R:$R,LEFT(PAGADO!L$1,4),VI_Debitos!$Q:$Q,RIGHT(L$1,2))</f>
        <v>0</v>
      </c>
      <c r="M74" s="2">
        <f>SUMIFS(VI_Debitos!$V:$V,VI_Debitos!$H:$H,$C74,VI_Debitos!$T:$T,$D74,VI_Debitos!$R:$R,LEFT(PAGADO!M$1,4),VI_Debitos!$Q:$Q,RIGHT(M$1,2))</f>
        <v>0</v>
      </c>
      <c r="N74" s="2">
        <f>SUMIFS(VI_Debitos!$V:$V,VI_Debitos!$H:$H,$C74,VI_Debitos!$T:$T,$D74,VI_Debitos!$R:$R,LEFT(PAGADO!N$1,4),VI_Debitos!$Q:$Q,RIGHT(N$1,2))</f>
        <v>0</v>
      </c>
      <c r="O74" s="2">
        <f>SUMIFS(VI_Debitos!$V:$V,VI_Debitos!$H:$H,$C74,VI_Debitos!$T:$T,$D74,VI_Debitos!$R:$R,LEFT(PAGADO!O$1,4),VI_Debitos!$Q:$Q,RIGHT(O$1,2))</f>
        <v>0</v>
      </c>
      <c r="P74" s="2">
        <f>SUMIFS(VI_Debitos!$V:$V,VI_Debitos!$H:$H,$C74,VI_Debitos!$T:$T,$D74,VI_Debitos!$R:$R,LEFT(PAGADO!P$1,4),VI_Debitos!$Q:$Q,RIGHT(P$1,2))</f>
        <v>0</v>
      </c>
      <c r="Q74" s="2">
        <f>SUMIFS(VI_Debitos!$V:$V,VI_Debitos!$H:$H,$C74,VI_Debitos!$T:$T,$D74,VI_Debitos!$R:$R,LEFT(PAGADO!Q$1,4),VI_Debitos!$Q:$Q,RIGHT(Q$1,2))</f>
        <v>0</v>
      </c>
      <c r="R74" s="2">
        <f t="shared" si="1"/>
        <v>0</v>
      </c>
    </row>
    <row r="75" spans="6:18">
      <c r="F75" s="2">
        <f>SUMIFS(VI_Debitos!$V:$V,VI_Debitos!$H:$H,$C75,VI_Debitos!$T:$T,$D75,VI_Debitos!$R:$R,LEFT(PAGADO!F$1,4),VI_Debitos!$Q:$Q,RIGHT(F$1,2))</f>
        <v>0</v>
      </c>
      <c r="G75" s="2">
        <f>SUMIFS(VI_Debitos!$V:$V,VI_Debitos!$H:$H,$C75,VI_Debitos!$T:$T,$D75,VI_Debitos!$R:$R,LEFT(PAGADO!G$1,4),VI_Debitos!$Q:$Q,RIGHT(G$1,2))</f>
        <v>0</v>
      </c>
      <c r="H75" s="2">
        <f>SUMIFS(VI_Debitos!$V:$V,VI_Debitos!$H:$H,$C75,VI_Debitos!$T:$T,$D75,VI_Debitos!$R:$R,LEFT(PAGADO!H$1,4),VI_Debitos!$Q:$Q,RIGHT(H$1,2))</f>
        <v>0</v>
      </c>
      <c r="I75" s="2">
        <f>SUMIFS(VI_Debitos!$V:$V,VI_Debitos!$H:$H,$C75,VI_Debitos!$T:$T,$D75,VI_Debitos!$R:$R,LEFT(PAGADO!I$1,4),VI_Debitos!$Q:$Q,RIGHT(I$1,2))</f>
        <v>0</v>
      </c>
      <c r="J75" s="2">
        <f>SUMIFS(VI_Debitos!$V:$V,VI_Debitos!$H:$H,$C75,VI_Debitos!$T:$T,$D75,VI_Debitos!$R:$R,LEFT(PAGADO!J$1,4),VI_Debitos!$Q:$Q,RIGHT(J$1,2))</f>
        <v>0</v>
      </c>
      <c r="K75" s="2">
        <f>SUMIFS(VI_Debitos!$V:$V,VI_Debitos!$H:$H,$C75,VI_Debitos!$T:$T,$D75,VI_Debitos!$R:$R,LEFT(PAGADO!K$1,4),VI_Debitos!$Q:$Q,RIGHT(K$1,2))</f>
        <v>0</v>
      </c>
      <c r="L75" s="2">
        <f>SUMIFS(VI_Debitos!$V:$V,VI_Debitos!$H:$H,$C75,VI_Debitos!$T:$T,$D75,VI_Debitos!$R:$R,LEFT(PAGADO!L$1,4),VI_Debitos!$Q:$Q,RIGHT(L$1,2))</f>
        <v>0</v>
      </c>
      <c r="M75" s="2">
        <f>SUMIFS(VI_Debitos!$V:$V,VI_Debitos!$H:$H,$C75,VI_Debitos!$T:$T,$D75,VI_Debitos!$R:$R,LEFT(PAGADO!M$1,4),VI_Debitos!$Q:$Q,RIGHT(M$1,2))</f>
        <v>0</v>
      </c>
      <c r="N75" s="2">
        <f>SUMIFS(VI_Debitos!$V:$V,VI_Debitos!$H:$H,$C75,VI_Debitos!$T:$T,$D75,VI_Debitos!$R:$R,LEFT(PAGADO!N$1,4),VI_Debitos!$Q:$Q,RIGHT(N$1,2))</f>
        <v>0</v>
      </c>
      <c r="O75" s="2">
        <f>SUMIFS(VI_Debitos!$V:$V,VI_Debitos!$H:$H,$C75,VI_Debitos!$T:$T,$D75,VI_Debitos!$R:$R,LEFT(PAGADO!O$1,4),VI_Debitos!$Q:$Q,RIGHT(O$1,2))</f>
        <v>0</v>
      </c>
      <c r="P75" s="2">
        <f>SUMIFS(VI_Debitos!$V:$V,VI_Debitos!$H:$H,$C75,VI_Debitos!$T:$T,$D75,VI_Debitos!$R:$R,LEFT(PAGADO!P$1,4),VI_Debitos!$Q:$Q,RIGHT(P$1,2))</f>
        <v>0</v>
      </c>
      <c r="Q75" s="2">
        <f>SUMIFS(VI_Debitos!$V:$V,VI_Debitos!$H:$H,$C75,VI_Debitos!$T:$T,$D75,VI_Debitos!$R:$R,LEFT(PAGADO!Q$1,4),VI_Debitos!$Q:$Q,RIGHT(Q$1,2))</f>
        <v>0</v>
      </c>
      <c r="R75" s="2">
        <f t="shared" si="1"/>
        <v>0</v>
      </c>
    </row>
    <row r="76" spans="6:18">
      <c r="F76" s="2">
        <f>SUMIFS(VI_Debitos!$V:$V,VI_Debitos!$H:$H,$C76,VI_Debitos!$T:$T,$D76,VI_Debitos!$R:$R,LEFT(PAGADO!F$1,4),VI_Debitos!$Q:$Q,RIGHT(F$1,2))</f>
        <v>0</v>
      </c>
      <c r="G76" s="2">
        <f>SUMIFS(VI_Debitos!$V:$V,VI_Debitos!$H:$H,$C76,VI_Debitos!$T:$T,$D76,VI_Debitos!$R:$R,LEFT(PAGADO!G$1,4),VI_Debitos!$Q:$Q,RIGHT(G$1,2))</f>
        <v>0</v>
      </c>
      <c r="H76" s="2">
        <f>SUMIFS(VI_Debitos!$V:$V,VI_Debitos!$H:$H,$C76,VI_Debitos!$T:$T,$D76,VI_Debitos!$R:$R,LEFT(PAGADO!H$1,4),VI_Debitos!$Q:$Q,RIGHT(H$1,2))</f>
        <v>0</v>
      </c>
      <c r="I76" s="2">
        <f>SUMIFS(VI_Debitos!$V:$V,VI_Debitos!$H:$H,$C76,VI_Debitos!$T:$T,$D76,VI_Debitos!$R:$R,LEFT(PAGADO!I$1,4),VI_Debitos!$Q:$Q,RIGHT(I$1,2))</f>
        <v>0</v>
      </c>
      <c r="J76" s="2">
        <f>SUMIFS(VI_Debitos!$V:$V,VI_Debitos!$H:$H,$C76,VI_Debitos!$T:$T,$D76,VI_Debitos!$R:$R,LEFT(PAGADO!J$1,4),VI_Debitos!$Q:$Q,RIGHT(J$1,2))</f>
        <v>0</v>
      </c>
      <c r="K76" s="2">
        <f>SUMIFS(VI_Debitos!$V:$V,VI_Debitos!$H:$H,$C76,VI_Debitos!$T:$T,$D76,VI_Debitos!$R:$R,LEFT(PAGADO!K$1,4),VI_Debitos!$Q:$Q,RIGHT(K$1,2))</f>
        <v>0</v>
      </c>
      <c r="L76" s="2">
        <f>SUMIFS(VI_Debitos!$V:$V,VI_Debitos!$H:$H,$C76,VI_Debitos!$T:$T,$D76,VI_Debitos!$R:$R,LEFT(PAGADO!L$1,4),VI_Debitos!$Q:$Q,RIGHT(L$1,2))</f>
        <v>0</v>
      </c>
      <c r="M76" s="2">
        <f>SUMIFS(VI_Debitos!$V:$V,VI_Debitos!$H:$H,$C76,VI_Debitos!$T:$T,$D76,VI_Debitos!$R:$R,LEFT(PAGADO!M$1,4),VI_Debitos!$Q:$Q,RIGHT(M$1,2))</f>
        <v>0</v>
      </c>
      <c r="N76" s="2">
        <f>SUMIFS(VI_Debitos!$V:$V,VI_Debitos!$H:$H,$C76,VI_Debitos!$T:$T,$D76,VI_Debitos!$R:$R,LEFT(PAGADO!N$1,4),VI_Debitos!$Q:$Q,RIGHT(N$1,2))</f>
        <v>0</v>
      </c>
      <c r="O76" s="2">
        <f>SUMIFS(VI_Debitos!$V:$V,VI_Debitos!$H:$H,$C76,VI_Debitos!$T:$T,$D76,VI_Debitos!$R:$R,LEFT(PAGADO!O$1,4),VI_Debitos!$Q:$Q,RIGHT(O$1,2))</f>
        <v>0</v>
      </c>
      <c r="P76" s="2">
        <f>SUMIFS(VI_Debitos!$V:$V,VI_Debitos!$H:$H,$C76,VI_Debitos!$T:$T,$D76,VI_Debitos!$R:$R,LEFT(PAGADO!P$1,4),VI_Debitos!$Q:$Q,RIGHT(P$1,2))</f>
        <v>0</v>
      </c>
      <c r="Q76" s="2">
        <f>SUMIFS(VI_Debitos!$V:$V,VI_Debitos!$H:$H,$C76,VI_Debitos!$T:$T,$D76,VI_Debitos!$R:$R,LEFT(PAGADO!Q$1,4),VI_Debitos!$Q:$Q,RIGHT(Q$1,2))</f>
        <v>0</v>
      </c>
      <c r="R76" s="2">
        <f t="shared" si="1"/>
        <v>0</v>
      </c>
    </row>
    <row r="77" spans="6:18">
      <c r="F77" s="2">
        <f>SUMIFS(VI_Debitos!$V:$V,VI_Debitos!$H:$H,$C77,VI_Debitos!$T:$T,$D77,VI_Debitos!$R:$R,LEFT(PAGADO!F$1,4),VI_Debitos!$Q:$Q,RIGHT(F$1,2))</f>
        <v>0</v>
      </c>
      <c r="G77" s="2">
        <f>SUMIFS(VI_Debitos!$V:$V,VI_Debitos!$H:$H,$C77,VI_Debitos!$T:$T,$D77,VI_Debitos!$R:$R,LEFT(PAGADO!G$1,4),VI_Debitos!$Q:$Q,RIGHT(G$1,2))</f>
        <v>0</v>
      </c>
      <c r="H77" s="2">
        <f>SUMIFS(VI_Debitos!$V:$V,VI_Debitos!$H:$H,$C77,VI_Debitos!$T:$T,$D77,VI_Debitos!$R:$R,LEFT(PAGADO!H$1,4),VI_Debitos!$Q:$Q,RIGHT(H$1,2))</f>
        <v>0</v>
      </c>
      <c r="I77" s="2">
        <f>SUMIFS(VI_Debitos!$V:$V,VI_Debitos!$H:$H,$C77,VI_Debitos!$T:$T,$D77,VI_Debitos!$R:$R,LEFT(PAGADO!I$1,4),VI_Debitos!$Q:$Q,RIGHT(I$1,2))</f>
        <v>0</v>
      </c>
      <c r="J77" s="2">
        <f>SUMIFS(VI_Debitos!$V:$V,VI_Debitos!$H:$H,$C77,VI_Debitos!$T:$T,$D77,VI_Debitos!$R:$R,LEFT(PAGADO!J$1,4),VI_Debitos!$Q:$Q,RIGHT(J$1,2))</f>
        <v>0</v>
      </c>
      <c r="K77" s="2">
        <f>SUMIFS(VI_Debitos!$V:$V,VI_Debitos!$H:$H,$C77,VI_Debitos!$T:$T,$D77,VI_Debitos!$R:$R,LEFT(PAGADO!K$1,4),VI_Debitos!$Q:$Q,RIGHT(K$1,2))</f>
        <v>0</v>
      </c>
      <c r="L77" s="2">
        <f>SUMIFS(VI_Debitos!$V:$V,VI_Debitos!$H:$H,$C77,VI_Debitos!$T:$T,$D77,VI_Debitos!$R:$R,LEFT(PAGADO!L$1,4),VI_Debitos!$Q:$Q,RIGHT(L$1,2))</f>
        <v>0</v>
      </c>
      <c r="M77" s="2">
        <f>SUMIFS(VI_Debitos!$V:$V,VI_Debitos!$H:$H,$C77,VI_Debitos!$T:$T,$D77,VI_Debitos!$R:$R,LEFT(PAGADO!M$1,4),VI_Debitos!$Q:$Q,RIGHT(M$1,2))</f>
        <v>0</v>
      </c>
      <c r="N77" s="2">
        <f>SUMIFS(VI_Debitos!$V:$V,VI_Debitos!$H:$H,$C77,VI_Debitos!$T:$T,$D77,VI_Debitos!$R:$R,LEFT(PAGADO!N$1,4),VI_Debitos!$Q:$Q,RIGHT(N$1,2))</f>
        <v>0</v>
      </c>
      <c r="O77" s="2">
        <f>SUMIFS(VI_Debitos!$V:$V,VI_Debitos!$H:$H,$C77,VI_Debitos!$T:$T,$D77,VI_Debitos!$R:$R,LEFT(PAGADO!O$1,4),VI_Debitos!$Q:$Q,RIGHT(O$1,2))</f>
        <v>0</v>
      </c>
      <c r="P77" s="2">
        <f>SUMIFS(VI_Debitos!$V:$V,VI_Debitos!$H:$H,$C77,VI_Debitos!$T:$T,$D77,VI_Debitos!$R:$R,LEFT(PAGADO!P$1,4),VI_Debitos!$Q:$Q,RIGHT(P$1,2))</f>
        <v>0</v>
      </c>
      <c r="Q77" s="2">
        <f>SUMIFS(VI_Debitos!$V:$V,VI_Debitos!$H:$H,$C77,VI_Debitos!$T:$T,$D77,VI_Debitos!$R:$R,LEFT(PAGADO!Q$1,4),VI_Debitos!$Q:$Q,RIGHT(Q$1,2))</f>
        <v>0</v>
      </c>
      <c r="R77" s="2">
        <f t="shared" si="1"/>
        <v>0</v>
      </c>
    </row>
    <row r="78" spans="6:18">
      <c r="F78" s="2">
        <f>SUMIFS(VI_Debitos!$V:$V,VI_Debitos!$H:$H,$C78,VI_Debitos!$T:$T,$D78,VI_Debitos!$R:$R,LEFT(PAGADO!F$1,4),VI_Debitos!$Q:$Q,RIGHT(F$1,2))</f>
        <v>0</v>
      </c>
      <c r="G78" s="2">
        <f>SUMIFS(VI_Debitos!$V:$V,VI_Debitos!$H:$H,$C78,VI_Debitos!$T:$T,$D78,VI_Debitos!$R:$R,LEFT(PAGADO!G$1,4),VI_Debitos!$Q:$Q,RIGHT(G$1,2))</f>
        <v>0</v>
      </c>
      <c r="H78" s="2">
        <f>SUMIFS(VI_Debitos!$V:$V,VI_Debitos!$H:$H,$C78,VI_Debitos!$T:$T,$D78,VI_Debitos!$R:$R,LEFT(PAGADO!H$1,4),VI_Debitos!$Q:$Q,RIGHT(H$1,2))</f>
        <v>0</v>
      </c>
      <c r="I78" s="2">
        <f>SUMIFS(VI_Debitos!$V:$V,VI_Debitos!$H:$H,$C78,VI_Debitos!$T:$T,$D78,VI_Debitos!$R:$R,LEFT(PAGADO!I$1,4),VI_Debitos!$Q:$Q,RIGHT(I$1,2))</f>
        <v>0</v>
      </c>
      <c r="J78" s="2">
        <f>SUMIFS(VI_Debitos!$V:$V,VI_Debitos!$H:$H,$C78,VI_Debitos!$T:$T,$D78,VI_Debitos!$R:$R,LEFT(PAGADO!J$1,4),VI_Debitos!$Q:$Q,RIGHT(J$1,2))</f>
        <v>0</v>
      </c>
      <c r="K78" s="2">
        <f>SUMIFS(VI_Debitos!$V:$V,VI_Debitos!$H:$H,$C78,VI_Debitos!$T:$T,$D78,VI_Debitos!$R:$R,LEFT(PAGADO!K$1,4),VI_Debitos!$Q:$Q,RIGHT(K$1,2))</f>
        <v>0</v>
      </c>
      <c r="L78" s="2">
        <f>SUMIFS(VI_Debitos!$V:$V,VI_Debitos!$H:$H,$C78,VI_Debitos!$T:$T,$D78,VI_Debitos!$R:$R,LEFT(PAGADO!L$1,4),VI_Debitos!$Q:$Q,RIGHT(L$1,2))</f>
        <v>0</v>
      </c>
      <c r="M78" s="2">
        <f>SUMIFS(VI_Debitos!$V:$V,VI_Debitos!$H:$H,$C78,VI_Debitos!$T:$T,$D78,VI_Debitos!$R:$R,LEFT(PAGADO!M$1,4),VI_Debitos!$Q:$Q,RIGHT(M$1,2))</f>
        <v>0</v>
      </c>
      <c r="N78" s="2">
        <f>SUMIFS(VI_Debitos!$V:$V,VI_Debitos!$H:$H,$C78,VI_Debitos!$T:$T,$D78,VI_Debitos!$R:$R,LEFT(PAGADO!N$1,4),VI_Debitos!$Q:$Q,RIGHT(N$1,2))</f>
        <v>0</v>
      </c>
      <c r="O78" s="2">
        <f>SUMIFS(VI_Debitos!$V:$V,VI_Debitos!$H:$H,$C78,VI_Debitos!$T:$T,$D78,VI_Debitos!$R:$R,LEFT(PAGADO!O$1,4),VI_Debitos!$Q:$Q,RIGHT(O$1,2))</f>
        <v>0</v>
      </c>
      <c r="P78" s="2">
        <f>SUMIFS(VI_Debitos!$V:$V,VI_Debitos!$H:$H,$C78,VI_Debitos!$T:$T,$D78,VI_Debitos!$R:$R,LEFT(PAGADO!P$1,4),VI_Debitos!$Q:$Q,RIGHT(P$1,2))</f>
        <v>0</v>
      </c>
      <c r="Q78" s="2">
        <f>SUMIFS(VI_Debitos!$V:$V,VI_Debitos!$H:$H,$C78,VI_Debitos!$T:$T,$D78,VI_Debitos!$R:$R,LEFT(PAGADO!Q$1,4),VI_Debitos!$Q:$Q,RIGHT(Q$1,2))</f>
        <v>0</v>
      </c>
      <c r="R78" s="2">
        <f t="shared" si="1"/>
        <v>0</v>
      </c>
    </row>
    <row r="79" spans="6:18">
      <c r="F79" s="2">
        <f>SUMIFS(VI_Debitos!$V:$V,VI_Debitos!$H:$H,$C79,VI_Debitos!$T:$T,$D79,VI_Debitos!$R:$R,LEFT(PAGADO!F$1,4),VI_Debitos!$Q:$Q,RIGHT(F$1,2))</f>
        <v>0</v>
      </c>
      <c r="G79" s="2">
        <f>SUMIFS(VI_Debitos!$V:$V,VI_Debitos!$H:$H,$C79,VI_Debitos!$T:$T,$D79,VI_Debitos!$R:$R,LEFT(PAGADO!G$1,4),VI_Debitos!$Q:$Q,RIGHT(G$1,2))</f>
        <v>0</v>
      </c>
      <c r="H79" s="2">
        <f>SUMIFS(VI_Debitos!$V:$V,VI_Debitos!$H:$H,$C79,VI_Debitos!$T:$T,$D79,VI_Debitos!$R:$R,LEFT(PAGADO!H$1,4),VI_Debitos!$Q:$Q,RIGHT(H$1,2))</f>
        <v>0</v>
      </c>
      <c r="I79" s="2">
        <f>SUMIFS(VI_Debitos!$V:$V,VI_Debitos!$H:$H,$C79,VI_Debitos!$T:$T,$D79,VI_Debitos!$R:$R,LEFT(PAGADO!I$1,4),VI_Debitos!$Q:$Q,RIGHT(I$1,2))</f>
        <v>0</v>
      </c>
      <c r="J79" s="2">
        <f>SUMIFS(VI_Debitos!$V:$V,VI_Debitos!$H:$H,$C79,VI_Debitos!$T:$T,$D79,VI_Debitos!$R:$R,LEFT(PAGADO!J$1,4),VI_Debitos!$Q:$Q,RIGHT(J$1,2))</f>
        <v>0</v>
      </c>
      <c r="K79" s="2">
        <f>SUMIFS(VI_Debitos!$V:$V,VI_Debitos!$H:$H,$C79,VI_Debitos!$T:$T,$D79,VI_Debitos!$R:$R,LEFT(PAGADO!K$1,4),VI_Debitos!$Q:$Q,RIGHT(K$1,2))</f>
        <v>0</v>
      </c>
      <c r="L79" s="2">
        <f>SUMIFS(VI_Debitos!$V:$V,VI_Debitos!$H:$H,$C79,VI_Debitos!$T:$T,$D79,VI_Debitos!$R:$R,LEFT(PAGADO!L$1,4),VI_Debitos!$Q:$Q,RIGHT(L$1,2))</f>
        <v>0</v>
      </c>
      <c r="M79" s="2">
        <f>SUMIFS(VI_Debitos!$V:$V,VI_Debitos!$H:$H,$C79,VI_Debitos!$T:$T,$D79,VI_Debitos!$R:$R,LEFT(PAGADO!M$1,4),VI_Debitos!$Q:$Q,RIGHT(M$1,2))</f>
        <v>0</v>
      </c>
      <c r="N79" s="2">
        <f>SUMIFS(VI_Debitos!$V:$V,VI_Debitos!$H:$H,$C79,VI_Debitos!$T:$T,$D79,VI_Debitos!$R:$R,LEFT(PAGADO!N$1,4),VI_Debitos!$Q:$Q,RIGHT(N$1,2))</f>
        <v>0</v>
      </c>
      <c r="O79" s="2">
        <f>SUMIFS(VI_Debitos!$V:$V,VI_Debitos!$H:$H,$C79,VI_Debitos!$T:$T,$D79,VI_Debitos!$R:$R,LEFT(PAGADO!O$1,4),VI_Debitos!$Q:$Q,RIGHT(O$1,2))</f>
        <v>0</v>
      </c>
      <c r="P79" s="2">
        <f>SUMIFS(VI_Debitos!$V:$V,VI_Debitos!$H:$H,$C79,VI_Debitos!$T:$T,$D79,VI_Debitos!$R:$R,LEFT(PAGADO!P$1,4),VI_Debitos!$Q:$Q,RIGHT(P$1,2))</f>
        <v>0</v>
      </c>
      <c r="Q79" s="2">
        <f>SUMIFS(VI_Debitos!$V:$V,VI_Debitos!$H:$H,$C79,VI_Debitos!$T:$T,$D79,VI_Debitos!$R:$R,LEFT(PAGADO!Q$1,4),VI_Debitos!$Q:$Q,RIGHT(Q$1,2))</f>
        <v>0</v>
      </c>
      <c r="R79" s="2">
        <f t="shared" si="1"/>
        <v>0</v>
      </c>
    </row>
    <row r="80" spans="6:18">
      <c r="F80" s="2">
        <f>SUMIFS(VI_Debitos!$V:$V,VI_Debitos!$H:$H,$C80,VI_Debitos!$T:$T,$D80,VI_Debitos!$R:$R,LEFT(PAGADO!F$1,4),VI_Debitos!$Q:$Q,RIGHT(F$1,2))</f>
        <v>0</v>
      </c>
      <c r="G80" s="2">
        <f>SUMIFS(VI_Debitos!$V:$V,VI_Debitos!$H:$H,$C80,VI_Debitos!$T:$T,$D80,VI_Debitos!$R:$R,LEFT(PAGADO!G$1,4),VI_Debitos!$Q:$Q,RIGHT(G$1,2))</f>
        <v>0</v>
      </c>
      <c r="H80" s="2">
        <f>SUMIFS(VI_Debitos!$V:$V,VI_Debitos!$H:$H,$C80,VI_Debitos!$T:$T,$D80,VI_Debitos!$R:$R,LEFT(PAGADO!H$1,4),VI_Debitos!$Q:$Q,RIGHT(H$1,2))</f>
        <v>0</v>
      </c>
      <c r="I80" s="2">
        <f>SUMIFS(VI_Debitos!$V:$V,VI_Debitos!$H:$H,$C80,VI_Debitos!$T:$T,$D80,VI_Debitos!$R:$R,LEFT(PAGADO!I$1,4),VI_Debitos!$Q:$Q,RIGHT(I$1,2))</f>
        <v>0</v>
      </c>
      <c r="J80" s="2">
        <f>SUMIFS(VI_Debitos!$V:$V,VI_Debitos!$H:$H,$C80,VI_Debitos!$T:$T,$D80,VI_Debitos!$R:$R,LEFT(PAGADO!J$1,4),VI_Debitos!$Q:$Q,RIGHT(J$1,2))</f>
        <v>0</v>
      </c>
      <c r="K80" s="2">
        <f>SUMIFS(VI_Debitos!$V:$V,VI_Debitos!$H:$H,$C80,VI_Debitos!$T:$T,$D80,VI_Debitos!$R:$R,LEFT(PAGADO!K$1,4),VI_Debitos!$Q:$Q,RIGHT(K$1,2))</f>
        <v>0</v>
      </c>
      <c r="L80" s="2">
        <f>SUMIFS(VI_Debitos!$V:$V,VI_Debitos!$H:$H,$C80,VI_Debitos!$T:$T,$D80,VI_Debitos!$R:$R,LEFT(PAGADO!L$1,4),VI_Debitos!$Q:$Q,RIGHT(L$1,2))</f>
        <v>0</v>
      </c>
      <c r="M80" s="2">
        <f>SUMIFS(VI_Debitos!$V:$V,VI_Debitos!$H:$H,$C80,VI_Debitos!$T:$T,$D80,VI_Debitos!$R:$R,LEFT(PAGADO!M$1,4),VI_Debitos!$Q:$Q,RIGHT(M$1,2))</f>
        <v>0</v>
      </c>
      <c r="N80" s="2">
        <f>SUMIFS(VI_Debitos!$V:$V,VI_Debitos!$H:$H,$C80,VI_Debitos!$T:$T,$D80,VI_Debitos!$R:$R,LEFT(PAGADO!N$1,4),VI_Debitos!$Q:$Q,RIGHT(N$1,2))</f>
        <v>0</v>
      </c>
      <c r="O80" s="2">
        <f>SUMIFS(VI_Debitos!$V:$V,VI_Debitos!$H:$H,$C80,VI_Debitos!$T:$T,$D80,VI_Debitos!$R:$R,LEFT(PAGADO!O$1,4),VI_Debitos!$Q:$Q,RIGHT(O$1,2))</f>
        <v>0</v>
      </c>
      <c r="P80" s="2">
        <f>SUMIFS(VI_Debitos!$V:$V,VI_Debitos!$H:$H,$C80,VI_Debitos!$T:$T,$D80,VI_Debitos!$R:$R,LEFT(PAGADO!P$1,4),VI_Debitos!$Q:$Q,RIGHT(P$1,2))</f>
        <v>0</v>
      </c>
      <c r="Q80" s="2">
        <f>SUMIFS(VI_Debitos!$V:$V,VI_Debitos!$H:$H,$C80,VI_Debitos!$T:$T,$D80,VI_Debitos!$R:$R,LEFT(PAGADO!Q$1,4),VI_Debitos!$Q:$Q,RIGHT(Q$1,2))</f>
        <v>0</v>
      </c>
      <c r="R80" s="2">
        <f t="shared" si="1"/>
        <v>0</v>
      </c>
    </row>
    <row r="81" spans="6:18">
      <c r="F81" s="2">
        <f>SUMIFS(VI_Debitos!$V:$V,VI_Debitos!$H:$H,$C81,VI_Debitos!$T:$T,$D81,VI_Debitos!$R:$R,LEFT(PAGADO!F$1,4),VI_Debitos!$Q:$Q,RIGHT(F$1,2))</f>
        <v>0</v>
      </c>
      <c r="G81" s="2">
        <f>SUMIFS(VI_Debitos!$V:$V,VI_Debitos!$H:$H,$C81,VI_Debitos!$T:$T,$D81,VI_Debitos!$R:$R,LEFT(PAGADO!G$1,4),VI_Debitos!$Q:$Q,RIGHT(G$1,2))</f>
        <v>0</v>
      </c>
      <c r="H81" s="2">
        <f>SUMIFS(VI_Debitos!$V:$V,VI_Debitos!$H:$H,$C81,VI_Debitos!$T:$T,$D81,VI_Debitos!$R:$R,LEFT(PAGADO!H$1,4),VI_Debitos!$Q:$Q,RIGHT(H$1,2))</f>
        <v>0</v>
      </c>
      <c r="I81" s="2">
        <f>SUMIFS(VI_Debitos!$V:$V,VI_Debitos!$H:$H,$C81,VI_Debitos!$T:$T,$D81,VI_Debitos!$R:$R,LEFT(PAGADO!I$1,4),VI_Debitos!$Q:$Q,RIGHT(I$1,2))</f>
        <v>0</v>
      </c>
      <c r="J81" s="2">
        <f>SUMIFS(VI_Debitos!$V:$V,VI_Debitos!$H:$H,$C81,VI_Debitos!$T:$T,$D81,VI_Debitos!$R:$R,LEFT(PAGADO!J$1,4),VI_Debitos!$Q:$Q,RIGHT(J$1,2))</f>
        <v>0</v>
      </c>
      <c r="K81" s="2">
        <f>SUMIFS(VI_Debitos!$V:$V,VI_Debitos!$H:$H,$C81,VI_Debitos!$T:$T,$D81,VI_Debitos!$R:$R,LEFT(PAGADO!K$1,4),VI_Debitos!$Q:$Q,RIGHT(K$1,2))</f>
        <v>0</v>
      </c>
      <c r="L81" s="2">
        <f>SUMIFS(VI_Debitos!$V:$V,VI_Debitos!$H:$H,$C81,VI_Debitos!$T:$T,$D81,VI_Debitos!$R:$R,LEFT(PAGADO!L$1,4),VI_Debitos!$Q:$Q,RIGHT(L$1,2))</f>
        <v>0</v>
      </c>
      <c r="M81" s="2">
        <f>SUMIFS(VI_Debitos!$V:$V,VI_Debitos!$H:$H,$C81,VI_Debitos!$T:$T,$D81,VI_Debitos!$R:$R,LEFT(PAGADO!M$1,4),VI_Debitos!$Q:$Q,RIGHT(M$1,2))</f>
        <v>0</v>
      </c>
      <c r="N81" s="2">
        <f>SUMIFS(VI_Debitos!$V:$V,VI_Debitos!$H:$H,$C81,VI_Debitos!$T:$T,$D81,VI_Debitos!$R:$R,LEFT(PAGADO!N$1,4),VI_Debitos!$Q:$Q,RIGHT(N$1,2))</f>
        <v>0</v>
      </c>
      <c r="O81" s="2">
        <f>SUMIFS(VI_Debitos!$V:$V,VI_Debitos!$H:$H,$C81,VI_Debitos!$T:$T,$D81,VI_Debitos!$R:$R,LEFT(PAGADO!O$1,4),VI_Debitos!$Q:$Q,RIGHT(O$1,2))</f>
        <v>0</v>
      </c>
      <c r="P81" s="2">
        <f>SUMIFS(VI_Debitos!$V:$V,VI_Debitos!$H:$H,$C81,VI_Debitos!$T:$T,$D81,VI_Debitos!$R:$R,LEFT(PAGADO!P$1,4),VI_Debitos!$Q:$Q,RIGHT(P$1,2))</f>
        <v>0</v>
      </c>
      <c r="Q81" s="2">
        <f>SUMIFS(VI_Debitos!$V:$V,VI_Debitos!$H:$H,$C81,VI_Debitos!$T:$T,$D81,VI_Debitos!$R:$R,LEFT(PAGADO!Q$1,4),VI_Debitos!$Q:$Q,RIGHT(Q$1,2))</f>
        <v>0</v>
      </c>
      <c r="R81" s="2">
        <f t="shared" si="1"/>
        <v>0</v>
      </c>
    </row>
    <row r="82" spans="6:18">
      <c r="F82" s="2">
        <f>SUMIFS(VI_Debitos!$V:$V,VI_Debitos!$H:$H,$C82,VI_Debitos!$T:$T,$D82,VI_Debitos!$R:$R,LEFT(PAGADO!F$1,4),VI_Debitos!$Q:$Q,RIGHT(F$1,2))</f>
        <v>0</v>
      </c>
      <c r="G82" s="2">
        <f>SUMIFS(VI_Debitos!$V:$V,VI_Debitos!$H:$H,$C82,VI_Debitos!$T:$T,$D82,VI_Debitos!$R:$R,LEFT(PAGADO!G$1,4),VI_Debitos!$Q:$Q,RIGHT(G$1,2))</f>
        <v>0</v>
      </c>
      <c r="H82" s="2">
        <f>SUMIFS(VI_Debitos!$V:$V,VI_Debitos!$H:$H,$C82,VI_Debitos!$T:$T,$D82,VI_Debitos!$R:$R,LEFT(PAGADO!H$1,4),VI_Debitos!$Q:$Q,RIGHT(H$1,2))</f>
        <v>0</v>
      </c>
      <c r="I82" s="2">
        <f>SUMIFS(VI_Debitos!$V:$V,VI_Debitos!$H:$H,$C82,VI_Debitos!$T:$T,$D82,VI_Debitos!$R:$R,LEFT(PAGADO!I$1,4),VI_Debitos!$Q:$Q,RIGHT(I$1,2))</f>
        <v>0</v>
      </c>
      <c r="J82" s="2">
        <f>SUMIFS(VI_Debitos!$V:$V,VI_Debitos!$H:$H,$C82,VI_Debitos!$T:$T,$D82,VI_Debitos!$R:$R,LEFT(PAGADO!J$1,4),VI_Debitos!$Q:$Q,RIGHT(J$1,2))</f>
        <v>0</v>
      </c>
      <c r="K82" s="2">
        <f>SUMIFS(VI_Debitos!$V:$V,VI_Debitos!$H:$H,$C82,VI_Debitos!$T:$T,$D82,VI_Debitos!$R:$R,LEFT(PAGADO!K$1,4),VI_Debitos!$Q:$Q,RIGHT(K$1,2))</f>
        <v>0</v>
      </c>
      <c r="L82" s="2">
        <f>SUMIFS(VI_Debitos!$V:$V,VI_Debitos!$H:$H,$C82,VI_Debitos!$T:$T,$D82,VI_Debitos!$R:$R,LEFT(PAGADO!L$1,4),VI_Debitos!$Q:$Q,RIGHT(L$1,2))</f>
        <v>0</v>
      </c>
      <c r="M82" s="2">
        <f>SUMIFS(VI_Debitos!$V:$V,VI_Debitos!$H:$H,$C82,VI_Debitos!$T:$T,$D82,VI_Debitos!$R:$R,LEFT(PAGADO!M$1,4),VI_Debitos!$Q:$Q,RIGHT(M$1,2))</f>
        <v>0</v>
      </c>
      <c r="N82" s="2">
        <f>SUMIFS(VI_Debitos!$V:$V,VI_Debitos!$H:$H,$C82,VI_Debitos!$T:$T,$D82,VI_Debitos!$R:$R,LEFT(PAGADO!N$1,4),VI_Debitos!$Q:$Q,RIGHT(N$1,2))</f>
        <v>0</v>
      </c>
      <c r="O82" s="2">
        <f>SUMIFS(VI_Debitos!$V:$V,VI_Debitos!$H:$H,$C82,VI_Debitos!$T:$T,$D82,VI_Debitos!$R:$R,LEFT(PAGADO!O$1,4),VI_Debitos!$Q:$Q,RIGHT(O$1,2))</f>
        <v>0</v>
      </c>
      <c r="P82" s="2">
        <f>SUMIFS(VI_Debitos!$V:$V,VI_Debitos!$H:$H,$C82,VI_Debitos!$T:$T,$D82,VI_Debitos!$R:$R,LEFT(PAGADO!P$1,4),VI_Debitos!$Q:$Q,RIGHT(P$1,2))</f>
        <v>0</v>
      </c>
      <c r="Q82" s="2">
        <f>SUMIFS(VI_Debitos!$V:$V,VI_Debitos!$H:$H,$C82,VI_Debitos!$T:$T,$D82,VI_Debitos!$R:$R,LEFT(PAGADO!Q$1,4),VI_Debitos!$Q:$Q,RIGHT(Q$1,2))</f>
        <v>0</v>
      </c>
      <c r="R82" s="2">
        <f t="shared" si="1"/>
        <v>0</v>
      </c>
    </row>
    <row r="83" spans="6:18">
      <c r="F83" s="2">
        <f>SUMIFS(VI_Debitos!$V:$V,VI_Debitos!$H:$H,$C83,VI_Debitos!$T:$T,$D83,VI_Debitos!$R:$R,LEFT(PAGADO!F$1,4),VI_Debitos!$Q:$Q,RIGHT(F$1,2))</f>
        <v>0</v>
      </c>
      <c r="G83" s="2">
        <f>SUMIFS(VI_Debitos!$V:$V,VI_Debitos!$H:$H,$C83,VI_Debitos!$T:$T,$D83,VI_Debitos!$R:$R,LEFT(PAGADO!G$1,4),VI_Debitos!$Q:$Q,RIGHT(G$1,2))</f>
        <v>0</v>
      </c>
      <c r="H83" s="2">
        <f>SUMIFS(VI_Debitos!$V:$V,VI_Debitos!$H:$H,$C83,VI_Debitos!$T:$T,$D83,VI_Debitos!$R:$R,LEFT(PAGADO!H$1,4),VI_Debitos!$Q:$Q,RIGHT(H$1,2))</f>
        <v>0</v>
      </c>
      <c r="I83" s="2">
        <f>SUMIFS(VI_Debitos!$V:$V,VI_Debitos!$H:$H,$C83,VI_Debitos!$T:$T,$D83,VI_Debitos!$R:$R,LEFT(PAGADO!I$1,4),VI_Debitos!$Q:$Q,RIGHT(I$1,2))</f>
        <v>0</v>
      </c>
      <c r="J83" s="2">
        <f>SUMIFS(VI_Debitos!$V:$V,VI_Debitos!$H:$H,$C83,VI_Debitos!$T:$T,$D83,VI_Debitos!$R:$R,LEFT(PAGADO!J$1,4),VI_Debitos!$Q:$Q,RIGHT(J$1,2))</f>
        <v>0</v>
      </c>
      <c r="K83" s="2">
        <f>SUMIFS(VI_Debitos!$V:$V,VI_Debitos!$H:$H,$C83,VI_Debitos!$T:$T,$D83,VI_Debitos!$R:$R,LEFT(PAGADO!K$1,4),VI_Debitos!$Q:$Q,RIGHT(K$1,2))</f>
        <v>0</v>
      </c>
      <c r="L83" s="2">
        <f>SUMIFS(VI_Debitos!$V:$V,VI_Debitos!$H:$H,$C83,VI_Debitos!$T:$T,$D83,VI_Debitos!$R:$R,LEFT(PAGADO!L$1,4),VI_Debitos!$Q:$Q,RIGHT(L$1,2))</f>
        <v>0</v>
      </c>
      <c r="M83" s="2">
        <f>SUMIFS(VI_Debitos!$V:$V,VI_Debitos!$H:$H,$C83,VI_Debitos!$T:$T,$D83,VI_Debitos!$R:$R,LEFT(PAGADO!M$1,4),VI_Debitos!$Q:$Q,RIGHT(M$1,2))</f>
        <v>0</v>
      </c>
      <c r="N83" s="2">
        <f>SUMIFS(VI_Debitos!$V:$V,VI_Debitos!$H:$H,$C83,VI_Debitos!$T:$T,$D83,VI_Debitos!$R:$R,LEFT(PAGADO!N$1,4),VI_Debitos!$Q:$Q,RIGHT(N$1,2))</f>
        <v>0</v>
      </c>
      <c r="O83" s="2">
        <f>SUMIFS(VI_Debitos!$V:$V,VI_Debitos!$H:$H,$C83,VI_Debitos!$T:$T,$D83,VI_Debitos!$R:$R,LEFT(PAGADO!O$1,4),VI_Debitos!$Q:$Q,RIGHT(O$1,2))</f>
        <v>0</v>
      </c>
      <c r="P83" s="2">
        <f>SUMIFS(VI_Debitos!$V:$V,VI_Debitos!$H:$H,$C83,VI_Debitos!$T:$T,$D83,VI_Debitos!$R:$R,LEFT(PAGADO!P$1,4),VI_Debitos!$Q:$Q,RIGHT(P$1,2))</f>
        <v>0</v>
      </c>
      <c r="Q83" s="2">
        <f>SUMIFS(VI_Debitos!$V:$V,VI_Debitos!$H:$H,$C83,VI_Debitos!$T:$T,$D83,VI_Debitos!$R:$R,LEFT(PAGADO!Q$1,4),VI_Debitos!$Q:$Q,RIGHT(Q$1,2))</f>
        <v>0</v>
      </c>
      <c r="R83" s="2">
        <f t="shared" si="1"/>
        <v>0</v>
      </c>
    </row>
    <row r="84" spans="6:18">
      <c r="F84" s="2">
        <f>SUMIFS(VI_Debitos!$V:$V,VI_Debitos!$H:$H,$C84,VI_Debitos!$T:$T,$D84,VI_Debitos!$R:$R,LEFT(PAGADO!F$1,4),VI_Debitos!$Q:$Q,RIGHT(F$1,2))</f>
        <v>0</v>
      </c>
      <c r="G84" s="2">
        <f>SUMIFS(VI_Debitos!$V:$V,VI_Debitos!$H:$H,$C84,VI_Debitos!$T:$T,$D84,VI_Debitos!$R:$R,LEFT(PAGADO!G$1,4),VI_Debitos!$Q:$Q,RIGHT(G$1,2))</f>
        <v>0</v>
      </c>
      <c r="H84" s="2">
        <f>SUMIFS(VI_Debitos!$V:$V,VI_Debitos!$H:$H,$C84,VI_Debitos!$T:$T,$D84,VI_Debitos!$R:$R,LEFT(PAGADO!H$1,4),VI_Debitos!$Q:$Q,RIGHT(H$1,2))</f>
        <v>0</v>
      </c>
      <c r="I84" s="2">
        <f>SUMIFS(VI_Debitos!$V:$V,VI_Debitos!$H:$H,$C84,VI_Debitos!$T:$T,$D84,VI_Debitos!$R:$R,LEFT(PAGADO!I$1,4),VI_Debitos!$Q:$Q,RIGHT(I$1,2))</f>
        <v>0</v>
      </c>
      <c r="J84" s="2">
        <f>SUMIFS(VI_Debitos!$V:$V,VI_Debitos!$H:$H,$C84,VI_Debitos!$T:$T,$D84,VI_Debitos!$R:$R,LEFT(PAGADO!J$1,4),VI_Debitos!$Q:$Q,RIGHT(J$1,2))</f>
        <v>0</v>
      </c>
      <c r="K84" s="2">
        <f>SUMIFS(VI_Debitos!$V:$V,VI_Debitos!$H:$H,$C84,VI_Debitos!$T:$T,$D84,VI_Debitos!$R:$R,LEFT(PAGADO!K$1,4),VI_Debitos!$Q:$Q,RIGHT(K$1,2))</f>
        <v>0</v>
      </c>
      <c r="L84" s="2">
        <f>SUMIFS(VI_Debitos!$V:$V,VI_Debitos!$H:$H,$C84,VI_Debitos!$T:$T,$D84,VI_Debitos!$R:$R,LEFT(PAGADO!L$1,4),VI_Debitos!$Q:$Q,RIGHT(L$1,2))</f>
        <v>0</v>
      </c>
      <c r="M84" s="2">
        <f>SUMIFS(VI_Debitos!$V:$V,VI_Debitos!$H:$H,$C84,VI_Debitos!$T:$T,$D84,VI_Debitos!$R:$R,LEFT(PAGADO!M$1,4),VI_Debitos!$Q:$Q,RIGHT(M$1,2))</f>
        <v>0</v>
      </c>
      <c r="N84" s="2">
        <f>SUMIFS(VI_Debitos!$V:$V,VI_Debitos!$H:$H,$C84,VI_Debitos!$T:$T,$D84,VI_Debitos!$R:$R,LEFT(PAGADO!N$1,4),VI_Debitos!$Q:$Q,RIGHT(N$1,2))</f>
        <v>0</v>
      </c>
      <c r="O84" s="2">
        <f>SUMIFS(VI_Debitos!$V:$V,VI_Debitos!$H:$H,$C84,VI_Debitos!$T:$T,$D84,VI_Debitos!$R:$R,LEFT(PAGADO!O$1,4),VI_Debitos!$Q:$Q,RIGHT(O$1,2))</f>
        <v>0</v>
      </c>
      <c r="P84" s="2">
        <f>SUMIFS(VI_Debitos!$V:$V,VI_Debitos!$H:$H,$C84,VI_Debitos!$T:$T,$D84,VI_Debitos!$R:$R,LEFT(PAGADO!P$1,4),VI_Debitos!$Q:$Q,RIGHT(P$1,2))</f>
        <v>0</v>
      </c>
      <c r="Q84" s="2">
        <f>SUMIFS(VI_Debitos!$V:$V,VI_Debitos!$H:$H,$C84,VI_Debitos!$T:$T,$D84,VI_Debitos!$R:$R,LEFT(PAGADO!Q$1,4),VI_Debitos!$Q:$Q,RIGHT(Q$1,2))</f>
        <v>0</v>
      </c>
      <c r="R84" s="2">
        <f t="shared" si="1"/>
        <v>0</v>
      </c>
    </row>
    <row r="85" spans="6:18">
      <c r="F85" s="2">
        <f>SUMIFS(VI_Debitos!$V:$V,VI_Debitos!$H:$H,$C85,VI_Debitos!$T:$T,$D85,VI_Debitos!$R:$R,LEFT(PAGADO!F$1,4),VI_Debitos!$Q:$Q,RIGHT(F$1,2))</f>
        <v>0</v>
      </c>
      <c r="G85" s="2">
        <f>SUMIFS(VI_Debitos!$V:$V,VI_Debitos!$H:$H,$C85,VI_Debitos!$T:$T,$D85,VI_Debitos!$R:$R,LEFT(PAGADO!G$1,4),VI_Debitos!$Q:$Q,RIGHT(G$1,2))</f>
        <v>0</v>
      </c>
      <c r="H85" s="2">
        <f>SUMIFS(VI_Debitos!$V:$V,VI_Debitos!$H:$H,$C85,VI_Debitos!$T:$T,$D85,VI_Debitos!$R:$R,LEFT(PAGADO!H$1,4),VI_Debitos!$Q:$Q,RIGHT(H$1,2))</f>
        <v>0</v>
      </c>
      <c r="I85" s="2">
        <f>SUMIFS(VI_Debitos!$V:$V,VI_Debitos!$H:$H,$C85,VI_Debitos!$T:$T,$D85,VI_Debitos!$R:$R,LEFT(PAGADO!I$1,4),VI_Debitos!$Q:$Q,RIGHT(I$1,2))</f>
        <v>0</v>
      </c>
      <c r="J85" s="2">
        <f>SUMIFS(VI_Debitos!$V:$V,VI_Debitos!$H:$H,$C85,VI_Debitos!$T:$T,$D85,VI_Debitos!$R:$R,LEFT(PAGADO!J$1,4),VI_Debitos!$Q:$Q,RIGHT(J$1,2))</f>
        <v>0</v>
      </c>
      <c r="K85" s="2">
        <f>SUMIFS(VI_Debitos!$V:$V,VI_Debitos!$H:$H,$C85,VI_Debitos!$T:$T,$D85,VI_Debitos!$R:$R,LEFT(PAGADO!K$1,4),VI_Debitos!$Q:$Q,RIGHT(K$1,2))</f>
        <v>0</v>
      </c>
      <c r="L85" s="2">
        <f>SUMIFS(VI_Debitos!$V:$V,VI_Debitos!$H:$H,$C85,VI_Debitos!$T:$T,$D85,VI_Debitos!$R:$R,LEFT(PAGADO!L$1,4),VI_Debitos!$Q:$Q,RIGHT(L$1,2))</f>
        <v>0</v>
      </c>
      <c r="M85" s="2">
        <f>SUMIFS(VI_Debitos!$V:$V,VI_Debitos!$H:$H,$C85,VI_Debitos!$T:$T,$D85,VI_Debitos!$R:$R,LEFT(PAGADO!M$1,4),VI_Debitos!$Q:$Q,RIGHT(M$1,2))</f>
        <v>0</v>
      </c>
      <c r="N85" s="2">
        <f>SUMIFS(VI_Debitos!$V:$V,VI_Debitos!$H:$H,$C85,VI_Debitos!$T:$T,$D85,VI_Debitos!$R:$R,LEFT(PAGADO!N$1,4),VI_Debitos!$Q:$Q,RIGHT(N$1,2))</f>
        <v>0</v>
      </c>
      <c r="O85" s="2">
        <f>SUMIFS(VI_Debitos!$V:$V,VI_Debitos!$H:$H,$C85,VI_Debitos!$T:$T,$D85,VI_Debitos!$R:$R,LEFT(PAGADO!O$1,4),VI_Debitos!$Q:$Q,RIGHT(O$1,2))</f>
        <v>0</v>
      </c>
      <c r="P85" s="2">
        <f>SUMIFS(VI_Debitos!$V:$V,VI_Debitos!$H:$H,$C85,VI_Debitos!$T:$T,$D85,VI_Debitos!$R:$R,LEFT(PAGADO!P$1,4),VI_Debitos!$Q:$Q,RIGHT(P$1,2))</f>
        <v>0</v>
      </c>
      <c r="Q85" s="2">
        <f>SUMIFS(VI_Debitos!$V:$V,VI_Debitos!$H:$H,$C85,VI_Debitos!$T:$T,$D85,VI_Debitos!$R:$R,LEFT(PAGADO!Q$1,4),VI_Debitos!$Q:$Q,RIGHT(Q$1,2))</f>
        <v>0</v>
      </c>
      <c r="R85" s="2">
        <f t="shared" si="1"/>
        <v>0</v>
      </c>
    </row>
    <row r="86" spans="6:18">
      <c r="F86" s="2">
        <f>SUMIFS(VI_Debitos!$V:$V,VI_Debitos!$H:$H,$C86,VI_Debitos!$T:$T,$D86,VI_Debitos!$R:$R,LEFT(PAGADO!F$1,4),VI_Debitos!$Q:$Q,RIGHT(F$1,2))</f>
        <v>0</v>
      </c>
      <c r="G86" s="2">
        <f>SUMIFS(VI_Debitos!$V:$V,VI_Debitos!$H:$H,$C86,VI_Debitos!$T:$T,$D86,VI_Debitos!$R:$R,LEFT(PAGADO!G$1,4),VI_Debitos!$Q:$Q,RIGHT(G$1,2))</f>
        <v>0</v>
      </c>
      <c r="H86" s="2">
        <f>SUMIFS(VI_Debitos!$V:$V,VI_Debitos!$H:$H,$C86,VI_Debitos!$T:$T,$D86,VI_Debitos!$R:$R,LEFT(PAGADO!H$1,4),VI_Debitos!$Q:$Q,RIGHT(H$1,2))</f>
        <v>0</v>
      </c>
      <c r="I86" s="2">
        <f>SUMIFS(VI_Debitos!$V:$V,VI_Debitos!$H:$H,$C86,VI_Debitos!$T:$T,$D86,VI_Debitos!$R:$R,LEFT(PAGADO!I$1,4),VI_Debitos!$Q:$Q,RIGHT(I$1,2))</f>
        <v>0</v>
      </c>
      <c r="J86" s="2">
        <f>SUMIFS(VI_Debitos!$V:$V,VI_Debitos!$H:$H,$C86,VI_Debitos!$T:$T,$D86,VI_Debitos!$R:$R,LEFT(PAGADO!J$1,4),VI_Debitos!$Q:$Q,RIGHT(J$1,2))</f>
        <v>0</v>
      </c>
      <c r="K86" s="2">
        <f>SUMIFS(VI_Debitos!$V:$V,VI_Debitos!$H:$H,$C86,VI_Debitos!$T:$T,$D86,VI_Debitos!$R:$R,LEFT(PAGADO!K$1,4),VI_Debitos!$Q:$Q,RIGHT(K$1,2))</f>
        <v>0</v>
      </c>
      <c r="L86" s="2">
        <f>SUMIFS(VI_Debitos!$V:$V,VI_Debitos!$H:$H,$C86,VI_Debitos!$T:$T,$D86,VI_Debitos!$R:$R,LEFT(PAGADO!L$1,4),VI_Debitos!$Q:$Q,RIGHT(L$1,2))</f>
        <v>0</v>
      </c>
      <c r="M86" s="2">
        <f>SUMIFS(VI_Debitos!$V:$V,VI_Debitos!$H:$H,$C86,VI_Debitos!$T:$T,$D86,VI_Debitos!$R:$R,LEFT(PAGADO!M$1,4),VI_Debitos!$Q:$Q,RIGHT(M$1,2))</f>
        <v>0</v>
      </c>
      <c r="N86" s="2">
        <f>SUMIFS(VI_Debitos!$V:$V,VI_Debitos!$H:$H,$C86,VI_Debitos!$T:$T,$D86,VI_Debitos!$R:$R,LEFT(PAGADO!N$1,4),VI_Debitos!$Q:$Q,RIGHT(N$1,2))</f>
        <v>0</v>
      </c>
      <c r="O86" s="2">
        <f>SUMIFS(VI_Debitos!$V:$V,VI_Debitos!$H:$H,$C86,VI_Debitos!$T:$T,$D86,VI_Debitos!$R:$R,LEFT(PAGADO!O$1,4),VI_Debitos!$Q:$Q,RIGHT(O$1,2))</f>
        <v>0</v>
      </c>
      <c r="P86" s="2">
        <f>SUMIFS(VI_Debitos!$V:$V,VI_Debitos!$H:$H,$C86,VI_Debitos!$T:$T,$D86,VI_Debitos!$R:$R,LEFT(PAGADO!P$1,4),VI_Debitos!$Q:$Q,RIGHT(P$1,2))</f>
        <v>0</v>
      </c>
      <c r="Q86" s="2">
        <f>SUMIFS(VI_Debitos!$V:$V,VI_Debitos!$H:$H,$C86,VI_Debitos!$T:$T,$D86,VI_Debitos!$R:$R,LEFT(PAGADO!Q$1,4),VI_Debitos!$Q:$Q,RIGHT(Q$1,2))</f>
        <v>0</v>
      </c>
      <c r="R86" s="2">
        <f t="shared" si="1"/>
        <v>0</v>
      </c>
    </row>
    <row r="87" spans="6:18">
      <c r="F87" s="2">
        <f>SUMIFS(VI_Debitos!$V:$V,VI_Debitos!$H:$H,$C87,VI_Debitos!$T:$T,$D87,VI_Debitos!$R:$R,LEFT(PAGADO!F$1,4),VI_Debitos!$Q:$Q,RIGHT(F$1,2))</f>
        <v>0</v>
      </c>
      <c r="G87" s="2">
        <f>SUMIFS(VI_Debitos!$V:$V,VI_Debitos!$H:$H,$C87,VI_Debitos!$T:$T,$D87,VI_Debitos!$R:$R,LEFT(PAGADO!G$1,4),VI_Debitos!$Q:$Q,RIGHT(G$1,2))</f>
        <v>0</v>
      </c>
      <c r="H87" s="2">
        <f>SUMIFS(VI_Debitos!$V:$V,VI_Debitos!$H:$H,$C87,VI_Debitos!$T:$T,$D87,VI_Debitos!$R:$R,LEFT(PAGADO!H$1,4),VI_Debitos!$Q:$Q,RIGHT(H$1,2))</f>
        <v>0</v>
      </c>
      <c r="I87" s="2">
        <f>SUMIFS(VI_Debitos!$V:$V,VI_Debitos!$H:$H,$C87,VI_Debitos!$T:$T,$D87,VI_Debitos!$R:$R,LEFT(PAGADO!I$1,4),VI_Debitos!$Q:$Q,RIGHT(I$1,2))</f>
        <v>0</v>
      </c>
      <c r="J87" s="2">
        <f>SUMIFS(VI_Debitos!$V:$V,VI_Debitos!$H:$H,$C87,VI_Debitos!$T:$T,$D87,VI_Debitos!$R:$R,LEFT(PAGADO!J$1,4),VI_Debitos!$Q:$Q,RIGHT(J$1,2))</f>
        <v>0</v>
      </c>
      <c r="K87" s="2">
        <f>SUMIFS(VI_Debitos!$V:$V,VI_Debitos!$H:$H,$C87,VI_Debitos!$T:$T,$D87,VI_Debitos!$R:$R,LEFT(PAGADO!K$1,4),VI_Debitos!$Q:$Q,RIGHT(K$1,2))</f>
        <v>0</v>
      </c>
      <c r="L87" s="2">
        <f>SUMIFS(VI_Debitos!$V:$V,VI_Debitos!$H:$H,$C87,VI_Debitos!$T:$T,$D87,VI_Debitos!$R:$R,LEFT(PAGADO!L$1,4),VI_Debitos!$Q:$Q,RIGHT(L$1,2))</f>
        <v>0</v>
      </c>
      <c r="M87" s="2">
        <f>SUMIFS(VI_Debitos!$V:$V,VI_Debitos!$H:$H,$C87,VI_Debitos!$T:$T,$D87,VI_Debitos!$R:$R,LEFT(PAGADO!M$1,4),VI_Debitos!$Q:$Q,RIGHT(M$1,2))</f>
        <v>0</v>
      </c>
      <c r="N87" s="2">
        <f>SUMIFS(VI_Debitos!$V:$V,VI_Debitos!$H:$H,$C87,VI_Debitos!$T:$T,$D87,VI_Debitos!$R:$R,LEFT(PAGADO!N$1,4),VI_Debitos!$Q:$Q,RIGHT(N$1,2))</f>
        <v>0</v>
      </c>
      <c r="O87" s="2">
        <f>SUMIFS(VI_Debitos!$V:$V,VI_Debitos!$H:$H,$C87,VI_Debitos!$T:$T,$D87,VI_Debitos!$R:$R,LEFT(PAGADO!O$1,4),VI_Debitos!$Q:$Q,RIGHT(O$1,2))</f>
        <v>0</v>
      </c>
      <c r="P87" s="2">
        <f>SUMIFS(VI_Debitos!$V:$V,VI_Debitos!$H:$H,$C87,VI_Debitos!$T:$T,$D87,VI_Debitos!$R:$R,LEFT(PAGADO!P$1,4),VI_Debitos!$Q:$Q,RIGHT(P$1,2))</f>
        <v>0</v>
      </c>
      <c r="Q87" s="2">
        <f>SUMIFS(VI_Debitos!$V:$V,VI_Debitos!$H:$H,$C87,VI_Debitos!$T:$T,$D87,VI_Debitos!$R:$R,LEFT(PAGADO!Q$1,4),VI_Debitos!$Q:$Q,RIGHT(Q$1,2))</f>
        <v>0</v>
      </c>
      <c r="R87" s="2">
        <f t="shared" si="1"/>
        <v>0</v>
      </c>
    </row>
    <row r="88" spans="6:18">
      <c r="F88" s="2">
        <f>SUMIFS(VI_Debitos!$V:$V,VI_Debitos!$H:$H,$C88,VI_Debitos!$T:$T,$D88,VI_Debitos!$R:$R,LEFT(PAGADO!F$1,4),VI_Debitos!$Q:$Q,RIGHT(F$1,2))</f>
        <v>0</v>
      </c>
      <c r="G88" s="2">
        <f>SUMIFS(VI_Debitos!$V:$V,VI_Debitos!$H:$H,$C88,VI_Debitos!$T:$T,$D88,VI_Debitos!$R:$R,LEFT(PAGADO!G$1,4),VI_Debitos!$Q:$Q,RIGHT(G$1,2))</f>
        <v>0</v>
      </c>
      <c r="H88" s="2">
        <f>SUMIFS(VI_Debitos!$V:$V,VI_Debitos!$H:$H,$C88,VI_Debitos!$T:$T,$D88,VI_Debitos!$R:$R,LEFT(PAGADO!H$1,4),VI_Debitos!$Q:$Q,RIGHT(H$1,2))</f>
        <v>0</v>
      </c>
      <c r="I88" s="2">
        <f>SUMIFS(VI_Debitos!$V:$V,VI_Debitos!$H:$H,$C88,VI_Debitos!$T:$T,$D88,VI_Debitos!$R:$R,LEFT(PAGADO!I$1,4),VI_Debitos!$Q:$Q,RIGHT(I$1,2))</f>
        <v>0</v>
      </c>
      <c r="J88" s="2">
        <f>SUMIFS(VI_Debitos!$V:$V,VI_Debitos!$H:$H,$C88,VI_Debitos!$T:$T,$D88,VI_Debitos!$R:$R,LEFT(PAGADO!J$1,4),VI_Debitos!$Q:$Q,RIGHT(J$1,2))</f>
        <v>0</v>
      </c>
      <c r="K88" s="2">
        <f>SUMIFS(VI_Debitos!$V:$V,VI_Debitos!$H:$H,$C88,VI_Debitos!$T:$T,$D88,VI_Debitos!$R:$R,LEFT(PAGADO!K$1,4),VI_Debitos!$Q:$Q,RIGHT(K$1,2))</f>
        <v>0</v>
      </c>
      <c r="L88" s="2">
        <f>SUMIFS(VI_Debitos!$V:$V,VI_Debitos!$H:$H,$C88,VI_Debitos!$T:$T,$D88,VI_Debitos!$R:$R,LEFT(PAGADO!L$1,4),VI_Debitos!$Q:$Q,RIGHT(L$1,2))</f>
        <v>0</v>
      </c>
      <c r="M88" s="2">
        <f>SUMIFS(VI_Debitos!$V:$V,VI_Debitos!$H:$H,$C88,VI_Debitos!$T:$T,$D88,VI_Debitos!$R:$R,LEFT(PAGADO!M$1,4),VI_Debitos!$Q:$Q,RIGHT(M$1,2))</f>
        <v>0</v>
      </c>
      <c r="N88" s="2">
        <f>SUMIFS(VI_Debitos!$V:$V,VI_Debitos!$H:$H,$C88,VI_Debitos!$T:$T,$D88,VI_Debitos!$R:$R,LEFT(PAGADO!N$1,4),VI_Debitos!$Q:$Q,RIGHT(N$1,2))</f>
        <v>0</v>
      </c>
      <c r="O88" s="2">
        <f>SUMIFS(VI_Debitos!$V:$V,VI_Debitos!$H:$H,$C88,VI_Debitos!$T:$T,$D88,VI_Debitos!$R:$R,LEFT(PAGADO!O$1,4),VI_Debitos!$Q:$Q,RIGHT(O$1,2))</f>
        <v>0</v>
      </c>
      <c r="P88" s="2">
        <f>SUMIFS(VI_Debitos!$V:$V,VI_Debitos!$H:$H,$C88,VI_Debitos!$T:$T,$D88,VI_Debitos!$R:$R,LEFT(PAGADO!P$1,4),VI_Debitos!$Q:$Q,RIGHT(P$1,2))</f>
        <v>0</v>
      </c>
      <c r="Q88" s="2">
        <f>SUMIFS(VI_Debitos!$V:$V,VI_Debitos!$H:$H,$C88,VI_Debitos!$T:$T,$D88,VI_Debitos!$R:$R,LEFT(PAGADO!Q$1,4),VI_Debitos!$Q:$Q,RIGHT(Q$1,2))</f>
        <v>0</v>
      </c>
      <c r="R88" s="2">
        <f t="shared" si="1"/>
        <v>0</v>
      </c>
    </row>
    <row r="89" spans="6:18">
      <c r="F89" s="2">
        <f>SUMIFS(VI_Debitos!$V:$V,VI_Debitos!$H:$H,$C89,VI_Debitos!$T:$T,$D89,VI_Debitos!$R:$R,LEFT(PAGADO!F$1,4),VI_Debitos!$Q:$Q,RIGHT(F$1,2))</f>
        <v>0</v>
      </c>
      <c r="G89" s="2">
        <f>SUMIFS(VI_Debitos!$V:$V,VI_Debitos!$H:$H,$C89,VI_Debitos!$T:$T,$D89,VI_Debitos!$R:$R,LEFT(PAGADO!G$1,4),VI_Debitos!$Q:$Q,RIGHT(G$1,2))</f>
        <v>0</v>
      </c>
      <c r="H89" s="2">
        <f>SUMIFS(VI_Debitos!$V:$V,VI_Debitos!$H:$H,$C89,VI_Debitos!$T:$T,$D89,VI_Debitos!$R:$R,LEFT(PAGADO!H$1,4),VI_Debitos!$Q:$Q,RIGHT(H$1,2))</f>
        <v>0</v>
      </c>
      <c r="I89" s="2">
        <f>SUMIFS(VI_Debitos!$V:$V,VI_Debitos!$H:$H,$C89,VI_Debitos!$T:$T,$D89,VI_Debitos!$R:$R,LEFT(PAGADO!I$1,4),VI_Debitos!$Q:$Q,RIGHT(I$1,2))</f>
        <v>0</v>
      </c>
      <c r="J89" s="2">
        <f>SUMIFS(VI_Debitos!$V:$V,VI_Debitos!$H:$H,$C89,VI_Debitos!$T:$T,$D89,VI_Debitos!$R:$R,LEFT(PAGADO!J$1,4),VI_Debitos!$Q:$Q,RIGHT(J$1,2))</f>
        <v>0</v>
      </c>
      <c r="K89" s="2">
        <f>SUMIFS(VI_Debitos!$V:$V,VI_Debitos!$H:$H,$C89,VI_Debitos!$T:$T,$D89,VI_Debitos!$R:$R,LEFT(PAGADO!K$1,4),VI_Debitos!$Q:$Q,RIGHT(K$1,2))</f>
        <v>0</v>
      </c>
      <c r="L89" s="2">
        <f>SUMIFS(VI_Debitos!$V:$V,VI_Debitos!$H:$H,$C89,VI_Debitos!$T:$T,$D89,VI_Debitos!$R:$R,LEFT(PAGADO!L$1,4),VI_Debitos!$Q:$Q,RIGHT(L$1,2))</f>
        <v>0</v>
      </c>
      <c r="M89" s="2">
        <f>SUMIFS(VI_Debitos!$V:$V,VI_Debitos!$H:$H,$C89,VI_Debitos!$T:$T,$D89,VI_Debitos!$R:$R,LEFT(PAGADO!M$1,4),VI_Debitos!$Q:$Q,RIGHT(M$1,2))</f>
        <v>0</v>
      </c>
      <c r="N89" s="2">
        <f>SUMIFS(VI_Debitos!$V:$V,VI_Debitos!$H:$H,$C89,VI_Debitos!$T:$T,$D89,VI_Debitos!$R:$R,LEFT(PAGADO!N$1,4),VI_Debitos!$Q:$Q,RIGHT(N$1,2))</f>
        <v>0</v>
      </c>
      <c r="O89" s="2">
        <f>SUMIFS(VI_Debitos!$V:$V,VI_Debitos!$H:$H,$C89,VI_Debitos!$T:$T,$D89,VI_Debitos!$R:$R,LEFT(PAGADO!O$1,4),VI_Debitos!$Q:$Q,RIGHT(O$1,2))</f>
        <v>0</v>
      </c>
      <c r="P89" s="2">
        <f>SUMIFS(VI_Debitos!$V:$V,VI_Debitos!$H:$H,$C89,VI_Debitos!$T:$T,$D89,VI_Debitos!$R:$R,LEFT(PAGADO!P$1,4),VI_Debitos!$Q:$Q,RIGHT(P$1,2))</f>
        <v>0</v>
      </c>
      <c r="Q89" s="2">
        <f>SUMIFS(VI_Debitos!$V:$V,VI_Debitos!$H:$H,$C89,VI_Debitos!$T:$T,$D89,VI_Debitos!$R:$R,LEFT(PAGADO!Q$1,4),VI_Debitos!$Q:$Q,RIGHT(Q$1,2))</f>
        <v>0</v>
      </c>
      <c r="R89" s="2">
        <f t="shared" si="1"/>
        <v>0</v>
      </c>
    </row>
    <row r="90" spans="6:18">
      <c r="F90" s="2">
        <f>SUMIFS(VI_Debitos!$V:$V,VI_Debitos!$H:$H,$C90,VI_Debitos!$T:$T,$D90,VI_Debitos!$R:$R,LEFT(PAGADO!F$1,4),VI_Debitos!$Q:$Q,RIGHT(F$1,2))</f>
        <v>0</v>
      </c>
      <c r="G90" s="2">
        <f>SUMIFS(VI_Debitos!$V:$V,VI_Debitos!$H:$H,$C90,VI_Debitos!$T:$T,$D90,VI_Debitos!$R:$R,LEFT(PAGADO!G$1,4),VI_Debitos!$Q:$Q,RIGHT(G$1,2))</f>
        <v>0</v>
      </c>
      <c r="H90" s="2">
        <f>SUMIFS(VI_Debitos!$V:$V,VI_Debitos!$H:$H,$C90,VI_Debitos!$T:$T,$D90,VI_Debitos!$R:$R,LEFT(PAGADO!H$1,4),VI_Debitos!$Q:$Q,RIGHT(H$1,2))</f>
        <v>0</v>
      </c>
      <c r="I90" s="2">
        <f>SUMIFS(VI_Debitos!$V:$V,VI_Debitos!$H:$H,$C90,VI_Debitos!$T:$T,$D90,VI_Debitos!$R:$R,LEFT(PAGADO!I$1,4),VI_Debitos!$Q:$Q,RIGHT(I$1,2))</f>
        <v>0</v>
      </c>
      <c r="J90" s="2">
        <f>SUMIFS(VI_Debitos!$V:$V,VI_Debitos!$H:$H,$C90,VI_Debitos!$T:$T,$D90,VI_Debitos!$R:$R,LEFT(PAGADO!J$1,4),VI_Debitos!$Q:$Q,RIGHT(J$1,2))</f>
        <v>0</v>
      </c>
      <c r="K90" s="2">
        <f>SUMIFS(VI_Debitos!$V:$V,VI_Debitos!$H:$H,$C90,VI_Debitos!$T:$T,$D90,VI_Debitos!$R:$R,LEFT(PAGADO!K$1,4),VI_Debitos!$Q:$Q,RIGHT(K$1,2))</f>
        <v>0</v>
      </c>
      <c r="L90" s="2">
        <f>SUMIFS(VI_Debitos!$V:$V,VI_Debitos!$H:$H,$C90,VI_Debitos!$T:$T,$D90,VI_Debitos!$R:$R,LEFT(PAGADO!L$1,4),VI_Debitos!$Q:$Q,RIGHT(L$1,2))</f>
        <v>0</v>
      </c>
      <c r="M90" s="2">
        <f>SUMIFS(VI_Debitos!$V:$V,VI_Debitos!$H:$H,$C90,VI_Debitos!$T:$T,$D90,VI_Debitos!$R:$R,LEFT(PAGADO!M$1,4),VI_Debitos!$Q:$Q,RIGHT(M$1,2))</f>
        <v>0</v>
      </c>
      <c r="N90" s="2">
        <f>SUMIFS(VI_Debitos!$V:$V,VI_Debitos!$H:$H,$C90,VI_Debitos!$T:$T,$D90,VI_Debitos!$R:$R,LEFT(PAGADO!N$1,4),VI_Debitos!$Q:$Q,RIGHT(N$1,2))</f>
        <v>0</v>
      </c>
      <c r="O90" s="2">
        <f>SUMIFS(VI_Debitos!$V:$V,VI_Debitos!$H:$H,$C90,VI_Debitos!$T:$T,$D90,VI_Debitos!$R:$R,LEFT(PAGADO!O$1,4),VI_Debitos!$Q:$Q,RIGHT(O$1,2))</f>
        <v>0</v>
      </c>
      <c r="P90" s="2">
        <f>SUMIFS(VI_Debitos!$V:$V,VI_Debitos!$H:$H,$C90,VI_Debitos!$T:$T,$D90,VI_Debitos!$R:$R,LEFT(PAGADO!P$1,4),VI_Debitos!$Q:$Q,RIGHT(P$1,2))</f>
        <v>0</v>
      </c>
      <c r="Q90" s="2">
        <f>SUMIFS(VI_Debitos!$V:$V,VI_Debitos!$H:$H,$C90,VI_Debitos!$T:$T,$D90,VI_Debitos!$R:$R,LEFT(PAGADO!Q$1,4),VI_Debitos!$Q:$Q,RIGHT(Q$1,2))</f>
        <v>0</v>
      </c>
      <c r="R90" s="2">
        <f t="shared" si="1"/>
        <v>0</v>
      </c>
    </row>
    <row r="91" spans="6:18">
      <c r="F91" s="2">
        <f>SUMIFS(VI_Debitos!$V:$V,VI_Debitos!$H:$H,$C91,VI_Debitos!$T:$T,$D91,VI_Debitos!$R:$R,LEFT(PAGADO!F$1,4),VI_Debitos!$Q:$Q,RIGHT(F$1,2))</f>
        <v>0</v>
      </c>
      <c r="G91" s="2">
        <f>SUMIFS(VI_Debitos!$V:$V,VI_Debitos!$H:$H,$C91,VI_Debitos!$T:$T,$D91,VI_Debitos!$R:$R,LEFT(PAGADO!G$1,4),VI_Debitos!$Q:$Q,RIGHT(G$1,2))</f>
        <v>0</v>
      </c>
      <c r="H91" s="2">
        <f>SUMIFS(VI_Debitos!$V:$V,VI_Debitos!$H:$H,$C91,VI_Debitos!$T:$T,$D91,VI_Debitos!$R:$R,LEFT(PAGADO!H$1,4),VI_Debitos!$Q:$Q,RIGHT(H$1,2))</f>
        <v>0</v>
      </c>
      <c r="I91" s="2">
        <f>SUMIFS(VI_Debitos!$V:$V,VI_Debitos!$H:$H,$C91,VI_Debitos!$T:$T,$D91,VI_Debitos!$R:$R,LEFT(PAGADO!I$1,4),VI_Debitos!$Q:$Q,RIGHT(I$1,2))</f>
        <v>0</v>
      </c>
      <c r="J91" s="2">
        <f>SUMIFS(VI_Debitos!$V:$V,VI_Debitos!$H:$H,$C91,VI_Debitos!$T:$T,$D91,VI_Debitos!$R:$R,LEFT(PAGADO!J$1,4),VI_Debitos!$Q:$Q,RIGHT(J$1,2))</f>
        <v>0</v>
      </c>
      <c r="K91" s="2">
        <f>SUMIFS(VI_Debitos!$V:$V,VI_Debitos!$H:$H,$C91,VI_Debitos!$T:$T,$D91,VI_Debitos!$R:$R,LEFT(PAGADO!K$1,4),VI_Debitos!$Q:$Q,RIGHT(K$1,2))</f>
        <v>0</v>
      </c>
      <c r="L91" s="2">
        <f>SUMIFS(VI_Debitos!$V:$V,VI_Debitos!$H:$H,$C91,VI_Debitos!$T:$T,$D91,VI_Debitos!$R:$R,LEFT(PAGADO!L$1,4),VI_Debitos!$Q:$Q,RIGHT(L$1,2))</f>
        <v>0</v>
      </c>
      <c r="M91" s="2">
        <f>SUMIFS(VI_Debitos!$V:$V,VI_Debitos!$H:$H,$C91,VI_Debitos!$T:$T,$D91,VI_Debitos!$R:$R,LEFT(PAGADO!M$1,4),VI_Debitos!$Q:$Q,RIGHT(M$1,2))</f>
        <v>0</v>
      </c>
      <c r="N91" s="2">
        <f>SUMIFS(VI_Debitos!$V:$V,VI_Debitos!$H:$H,$C91,VI_Debitos!$T:$T,$D91,VI_Debitos!$R:$R,LEFT(PAGADO!N$1,4),VI_Debitos!$Q:$Q,RIGHT(N$1,2))</f>
        <v>0</v>
      </c>
      <c r="O91" s="2">
        <f>SUMIFS(VI_Debitos!$V:$V,VI_Debitos!$H:$H,$C91,VI_Debitos!$T:$T,$D91,VI_Debitos!$R:$R,LEFT(PAGADO!O$1,4),VI_Debitos!$Q:$Q,RIGHT(O$1,2))</f>
        <v>0</v>
      </c>
      <c r="P91" s="2">
        <f>SUMIFS(VI_Debitos!$V:$V,VI_Debitos!$H:$H,$C91,VI_Debitos!$T:$T,$D91,VI_Debitos!$R:$R,LEFT(PAGADO!P$1,4),VI_Debitos!$Q:$Q,RIGHT(P$1,2))</f>
        <v>0</v>
      </c>
      <c r="Q91" s="2">
        <f>SUMIFS(VI_Debitos!$V:$V,VI_Debitos!$H:$H,$C91,VI_Debitos!$T:$T,$D91,VI_Debitos!$R:$R,LEFT(PAGADO!Q$1,4),VI_Debitos!$Q:$Q,RIGHT(Q$1,2))</f>
        <v>0</v>
      </c>
      <c r="R91" s="2">
        <f t="shared" si="1"/>
        <v>0</v>
      </c>
    </row>
    <row r="92" spans="6:18">
      <c r="F92" s="2">
        <f>SUMIFS(VI_Debitos!$V:$V,VI_Debitos!$H:$H,$C92,VI_Debitos!$T:$T,$D92,VI_Debitos!$R:$R,LEFT(PAGADO!F$1,4),VI_Debitos!$Q:$Q,RIGHT(F$1,2))</f>
        <v>0</v>
      </c>
      <c r="G92" s="2">
        <f>SUMIFS(VI_Debitos!$V:$V,VI_Debitos!$H:$H,$C92,VI_Debitos!$T:$T,$D92,VI_Debitos!$R:$R,LEFT(PAGADO!G$1,4),VI_Debitos!$Q:$Q,RIGHT(G$1,2))</f>
        <v>0</v>
      </c>
      <c r="H92" s="2">
        <f>SUMIFS(VI_Debitos!$V:$V,VI_Debitos!$H:$H,$C92,VI_Debitos!$T:$T,$D92,VI_Debitos!$R:$R,LEFT(PAGADO!H$1,4),VI_Debitos!$Q:$Q,RIGHT(H$1,2))</f>
        <v>0</v>
      </c>
      <c r="I92" s="2">
        <f>SUMIFS(VI_Debitos!$V:$V,VI_Debitos!$H:$H,$C92,VI_Debitos!$T:$T,$D92,VI_Debitos!$R:$R,LEFT(PAGADO!I$1,4),VI_Debitos!$Q:$Q,RIGHT(I$1,2))</f>
        <v>0</v>
      </c>
      <c r="J92" s="2">
        <f>SUMIFS(VI_Debitos!$V:$V,VI_Debitos!$H:$H,$C92,VI_Debitos!$T:$T,$D92,VI_Debitos!$R:$R,LEFT(PAGADO!J$1,4),VI_Debitos!$Q:$Q,RIGHT(J$1,2))</f>
        <v>0</v>
      </c>
      <c r="K92" s="2">
        <f>SUMIFS(VI_Debitos!$V:$V,VI_Debitos!$H:$H,$C92,VI_Debitos!$T:$T,$D92,VI_Debitos!$R:$R,LEFT(PAGADO!K$1,4),VI_Debitos!$Q:$Q,RIGHT(K$1,2))</f>
        <v>0</v>
      </c>
      <c r="L92" s="2">
        <f>SUMIFS(VI_Debitos!$V:$V,VI_Debitos!$H:$H,$C92,VI_Debitos!$T:$T,$D92,VI_Debitos!$R:$R,LEFT(PAGADO!L$1,4),VI_Debitos!$Q:$Q,RIGHT(L$1,2))</f>
        <v>0</v>
      </c>
      <c r="M92" s="2">
        <f>SUMIFS(VI_Debitos!$V:$V,VI_Debitos!$H:$H,$C92,VI_Debitos!$T:$T,$D92,VI_Debitos!$R:$R,LEFT(PAGADO!M$1,4),VI_Debitos!$Q:$Q,RIGHT(M$1,2))</f>
        <v>0</v>
      </c>
      <c r="N92" s="2">
        <f>SUMIFS(VI_Debitos!$V:$V,VI_Debitos!$H:$H,$C92,VI_Debitos!$T:$T,$D92,VI_Debitos!$R:$R,LEFT(PAGADO!N$1,4),VI_Debitos!$Q:$Q,RIGHT(N$1,2))</f>
        <v>0</v>
      </c>
      <c r="O92" s="2">
        <f>SUMIFS(VI_Debitos!$V:$V,VI_Debitos!$H:$H,$C92,VI_Debitos!$T:$T,$D92,VI_Debitos!$R:$R,LEFT(PAGADO!O$1,4),VI_Debitos!$Q:$Q,RIGHT(O$1,2))</f>
        <v>0</v>
      </c>
      <c r="P92" s="2">
        <f>SUMIFS(VI_Debitos!$V:$V,VI_Debitos!$H:$H,$C92,VI_Debitos!$T:$T,$D92,VI_Debitos!$R:$R,LEFT(PAGADO!P$1,4),VI_Debitos!$Q:$Q,RIGHT(P$1,2))</f>
        <v>0</v>
      </c>
      <c r="Q92" s="2">
        <f>SUMIFS(VI_Debitos!$V:$V,VI_Debitos!$H:$H,$C92,VI_Debitos!$T:$T,$D92,VI_Debitos!$R:$R,LEFT(PAGADO!Q$1,4),VI_Debitos!$Q:$Q,RIGHT(Q$1,2))</f>
        <v>0</v>
      </c>
      <c r="R92" s="2">
        <f t="shared" si="1"/>
        <v>0</v>
      </c>
    </row>
    <row r="93" spans="6:18">
      <c r="F93" s="2">
        <f>SUMIFS(VI_Debitos!$V:$V,VI_Debitos!$H:$H,$C93,VI_Debitos!$T:$T,$D93,VI_Debitos!$R:$R,LEFT(PAGADO!F$1,4),VI_Debitos!$Q:$Q,RIGHT(F$1,2))</f>
        <v>0</v>
      </c>
      <c r="G93" s="2">
        <f>SUMIFS(VI_Debitos!$V:$V,VI_Debitos!$H:$H,$C93,VI_Debitos!$T:$T,$D93,VI_Debitos!$R:$R,LEFT(PAGADO!G$1,4),VI_Debitos!$Q:$Q,RIGHT(G$1,2))</f>
        <v>0</v>
      </c>
      <c r="H93" s="2">
        <f>SUMIFS(VI_Debitos!$V:$V,VI_Debitos!$H:$H,$C93,VI_Debitos!$T:$T,$D93,VI_Debitos!$R:$R,LEFT(PAGADO!H$1,4),VI_Debitos!$Q:$Q,RIGHT(H$1,2))</f>
        <v>0</v>
      </c>
      <c r="I93" s="2">
        <f>SUMIFS(VI_Debitos!$V:$V,VI_Debitos!$H:$H,$C93,VI_Debitos!$T:$T,$D93,VI_Debitos!$R:$R,LEFT(PAGADO!I$1,4),VI_Debitos!$Q:$Q,RIGHT(I$1,2))</f>
        <v>0</v>
      </c>
      <c r="J93" s="2">
        <f>SUMIFS(VI_Debitos!$V:$V,VI_Debitos!$H:$H,$C93,VI_Debitos!$T:$T,$D93,VI_Debitos!$R:$R,LEFT(PAGADO!J$1,4),VI_Debitos!$Q:$Q,RIGHT(J$1,2))</f>
        <v>0</v>
      </c>
      <c r="K93" s="2">
        <f>SUMIFS(VI_Debitos!$V:$V,VI_Debitos!$H:$H,$C93,VI_Debitos!$T:$T,$D93,VI_Debitos!$R:$R,LEFT(PAGADO!K$1,4),VI_Debitos!$Q:$Q,RIGHT(K$1,2))</f>
        <v>0</v>
      </c>
      <c r="L93" s="2">
        <f>SUMIFS(VI_Debitos!$V:$V,VI_Debitos!$H:$H,$C93,VI_Debitos!$T:$T,$D93,VI_Debitos!$R:$R,LEFT(PAGADO!L$1,4),VI_Debitos!$Q:$Q,RIGHT(L$1,2))</f>
        <v>0</v>
      </c>
      <c r="M93" s="2">
        <f>SUMIFS(VI_Debitos!$V:$V,VI_Debitos!$H:$H,$C93,VI_Debitos!$T:$T,$D93,VI_Debitos!$R:$R,LEFT(PAGADO!M$1,4),VI_Debitos!$Q:$Q,RIGHT(M$1,2))</f>
        <v>0</v>
      </c>
      <c r="N93" s="2">
        <f>SUMIFS(VI_Debitos!$V:$V,VI_Debitos!$H:$H,$C93,VI_Debitos!$T:$T,$D93,VI_Debitos!$R:$R,LEFT(PAGADO!N$1,4),VI_Debitos!$Q:$Q,RIGHT(N$1,2))</f>
        <v>0</v>
      </c>
      <c r="O93" s="2">
        <f>SUMIFS(VI_Debitos!$V:$V,VI_Debitos!$H:$H,$C93,VI_Debitos!$T:$T,$D93,VI_Debitos!$R:$R,LEFT(PAGADO!O$1,4),VI_Debitos!$Q:$Q,RIGHT(O$1,2))</f>
        <v>0</v>
      </c>
      <c r="P93" s="2">
        <f>SUMIFS(VI_Debitos!$V:$V,VI_Debitos!$H:$H,$C93,VI_Debitos!$T:$T,$D93,VI_Debitos!$R:$R,LEFT(PAGADO!P$1,4),VI_Debitos!$Q:$Q,RIGHT(P$1,2))</f>
        <v>0</v>
      </c>
      <c r="Q93" s="2">
        <f>SUMIFS(VI_Debitos!$V:$V,VI_Debitos!$H:$H,$C93,VI_Debitos!$T:$T,$D93,VI_Debitos!$R:$R,LEFT(PAGADO!Q$1,4),VI_Debitos!$Q:$Q,RIGHT(Q$1,2))</f>
        <v>0</v>
      </c>
      <c r="R93" s="2">
        <f t="shared" si="1"/>
        <v>0</v>
      </c>
    </row>
    <row r="94" spans="6:18">
      <c r="F94" s="2">
        <f>SUMIFS(VI_Debitos!$V:$V,VI_Debitos!$H:$H,$C94,VI_Debitos!$T:$T,$D94,VI_Debitos!$R:$R,LEFT(PAGADO!F$1,4),VI_Debitos!$Q:$Q,RIGHT(F$1,2))</f>
        <v>0</v>
      </c>
      <c r="G94" s="2">
        <f>SUMIFS(VI_Debitos!$V:$V,VI_Debitos!$H:$H,$C94,VI_Debitos!$T:$T,$D94,VI_Debitos!$R:$R,LEFT(PAGADO!G$1,4),VI_Debitos!$Q:$Q,RIGHT(G$1,2))</f>
        <v>0</v>
      </c>
      <c r="H94" s="2">
        <f>SUMIFS(VI_Debitos!$V:$V,VI_Debitos!$H:$H,$C94,VI_Debitos!$T:$T,$D94,VI_Debitos!$R:$R,LEFT(PAGADO!H$1,4),VI_Debitos!$Q:$Q,RIGHT(H$1,2))</f>
        <v>0</v>
      </c>
      <c r="I94" s="2">
        <f>SUMIFS(VI_Debitos!$V:$V,VI_Debitos!$H:$H,$C94,VI_Debitos!$T:$T,$D94,VI_Debitos!$R:$R,LEFT(PAGADO!I$1,4),VI_Debitos!$Q:$Q,RIGHT(I$1,2))</f>
        <v>0</v>
      </c>
      <c r="J94" s="2">
        <f>SUMIFS(VI_Debitos!$V:$V,VI_Debitos!$H:$H,$C94,VI_Debitos!$T:$T,$D94,VI_Debitos!$R:$R,LEFT(PAGADO!J$1,4),VI_Debitos!$Q:$Q,RIGHT(J$1,2))</f>
        <v>0</v>
      </c>
      <c r="K94" s="2">
        <f>SUMIFS(VI_Debitos!$V:$V,VI_Debitos!$H:$H,$C94,VI_Debitos!$T:$T,$D94,VI_Debitos!$R:$R,LEFT(PAGADO!K$1,4),VI_Debitos!$Q:$Q,RIGHT(K$1,2))</f>
        <v>0</v>
      </c>
      <c r="L94" s="2">
        <f>SUMIFS(VI_Debitos!$V:$V,VI_Debitos!$H:$H,$C94,VI_Debitos!$T:$T,$D94,VI_Debitos!$R:$R,LEFT(PAGADO!L$1,4),VI_Debitos!$Q:$Q,RIGHT(L$1,2))</f>
        <v>0</v>
      </c>
      <c r="M94" s="2">
        <f>SUMIFS(VI_Debitos!$V:$V,VI_Debitos!$H:$H,$C94,VI_Debitos!$T:$T,$D94,VI_Debitos!$R:$R,LEFT(PAGADO!M$1,4),VI_Debitos!$Q:$Q,RIGHT(M$1,2))</f>
        <v>0</v>
      </c>
      <c r="N94" s="2">
        <f>SUMIFS(VI_Debitos!$V:$V,VI_Debitos!$H:$H,$C94,VI_Debitos!$T:$T,$D94,VI_Debitos!$R:$R,LEFT(PAGADO!N$1,4),VI_Debitos!$Q:$Q,RIGHT(N$1,2))</f>
        <v>0</v>
      </c>
      <c r="O94" s="2">
        <f>SUMIFS(VI_Debitos!$V:$V,VI_Debitos!$H:$H,$C94,VI_Debitos!$T:$T,$D94,VI_Debitos!$R:$R,LEFT(PAGADO!O$1,4),VI_Debitos!$Q:$Q,RIGHT(O$1,2))</f>
        <v>0</v>
      </c>
      <c r="P94" s="2">
        <f>SUMIFS(VI_Debitos!$V:$V,VI_Debitos!$H:$H,$C94,VI_Debitos!$T:$T,$D94,VI_Debitos!$R:$R,LEFT(PAGADO!P$1,4),VI_Debitos!$Q:$Q,RIGHT(P$1,2))</f>
        <v>0</v>
      </c>
      <c r="Q94" s="2">
        <f>SUMIFS(VI_Debitos!$V:$V,VI_Debitos!$H:$H,$C94,VI_Debitos!$T:$T,$D94,VI_Debitos!$R:$R,LEFT(PAGADO!Q$1,4),VI_Debitos!$Q:$Q,RIGHT(Q$1,2))</f>
        <v>0</v>
      </c>
      <c r="R94" s="2">
        <f t="shared" si="1"/>
        <v>0</v>
      </c>
    </row>
    <row r="95" spans="6:18">
      <c r="F95" s="2">
        <f>SUMIFS(VI_Debitos!$V:$V,VI_Debitos!$H:$H,$C95,VI_Debitos!$T:$T,$D95,VI_Debitos!$R:$R,LEFT(PAGADO!F$1,4),VI_Debitos!$Q:$Q,RIGHT(F$1,2))</f>
        <v>0</v>
      </c>
      <c r="G95" s="2">
        <f>SUMIFS(VI_Debitos!$V:$V,VI_Debitos!$H:$H,$C95,VI_Debitos!$T:$T,$D95,VI_Debitos!$R:$R,LEFT(PAGADO!G$1,4),VI_Debitos!$Q:$Q,RIGHT(G$1,2))</f>
        <v>0</v>
      </c>
      <c r="H95" s="2">
        <f>SUMIFS(VI_Debitos!$V:$V,VI_Debitos!$H:$H,$C95,VI_Debitos!$T:$T,$D95,VI_Debitos!$R:$R,LEFT(PAGADO!H$1,4),VI_Debitos!$Q:$Q,RIGHT(H$1,2))</f>
        <v>0</v>
      </c>
      <c r="I95" s="2">
        <f>SUMIFS(VI_Debitos!$V:$V,VI_Debitos!$H:$H,$C95,VI_Debitos!$T:$T,$D95,VI_Debitos!$R:$R,LEFT(PAGADO!I$1,4),VI_Debitos!$Q:$Q,RIGHT(I$1,2))</f>
        <v>0</v>
      </c>
      <c r="J95" s="2">
        <f>SUMIFS(VI_Debitos!$V:$V,VI_Debitos!$H:$H,$C95,VI_Debitos!$T:$T,$D95,VI_Debitos!$R:$R,LEFT(PAGADO!J$1,4),VI_Debitos!$Q:$Q,RIGHT(J$1,2))</f>
        <v>0</v>
      </c>
      <c r="K95" s="2">
        <f>SUMIFS(VI_Debitos!$V:$V,VI_Debitos!$H:$H,$C95,VI_Debitos!$T:$T,$D95,VI_Debitos!$R:$R,LEFT(PAGADO!K$1,4),VI_Debitos!$Q:$Q,RIGHT(K$1,2))</f>
        <v>0</v>
      </c>
      <c r="L95" s="2">
        <f>SUMIFS(VI_Debitos!$V:$V,VI_Debitos!$H:$H,$C95,VI_Debitos!$T:$T,$D95,VI_Debitos!$R:$R,LEFT(PAGADO!L$1,4),VI_Debitos!$Q:$Q,RIGHT(L$1,2))</f>
        <v>0</v>
      </c>
      <c r="M95" s="2">
        <f>SUMIFS(VI_Debitos!$V:$V,VI_Debitos!$H:$H,$C95,VI_Debitos!$T:$T,$D95,VI_Debitos!$R:$R,LEFT(PAGADO!M$1,4),VI_Debitos!$Q:$Q,RIGHT(M$1,2))</f>
        <v>0</v>
      </c>
      <c r="N95" s="2">
        <f>SUMIFS(VI_Debitos!$V:$V,VI_Debitos!$H:$H,$C95,VI_Debitos!$T:$T,$D95,VI_Debitos!$R:$R,LEFT(PAGADO!N$1,4),VI_Debitos!$Q:$Q,RIGHT(N$1,2))</f>
        <v>0</v>
      </c>
      <c r="O95" s="2">
        <f>SUMIFS(VI_Debitos!$V:$V,VI_Debitos!$H:$H,$C95,VI_Debitos!$T:$T,$D95,VI_Debitos!$R:$R,LEFT(PAGADO!O$1,4),VI_Debitos!$Q:$Q,RIGHT(O$1,2))</f>
        <v>0</v>
      </c>
      <c r="P95" s="2">
        <f>SUMIFS(VI_Debitos!$V:$V,VI_Debitos!$H:$H,$C95,VI_Debitos!$T:$T,$D95,VI_Debitos!$R:$R,LEFT(PAGADO!P$1,4),VI_Debitos!$Q:$Q,RIGHT(P$1,2))</f>
        <v>0</v>
      </c>
      <c r="Q95" s="2">
        <f>SUMIFS(VI_Debitos!$V:$V,VI_Debitos!$H:$H,$C95,VI_Debitos!$T:$T,$D95,VI_Debitos!$R:$R,LEFT(PAGADO!Q$1,4),VI_Debitos!$Q:$Q,RIGHT(Q$1,2))</f>
        <v>0</v>
      </c>
      <c r="R95" s="2">
        <f t="shared" si="1"/>
        <v>0</v>
      </c>
    </row>
    <row r="96" spans="6:18">
      <c r="F96" s="2">
        <f>SUMIFS(VI_Debitos!$V:$V,VI_Debitos!$H:$H,$C96,VI_Debitos!$T:$T,$D96,VI_Debitos!$R:$R,LEFT(PAGADO!F$1,4),VI_Debitos!$Q:$Q,RIGHT(F$1,2))</f>
        <v>0</v>
      </c>
      <c r="G96" s="2">
        <f>SUMIFS(VI_Debitos!$V:$V,VI_Debitos!$H:$H,$C96,VI_Debitos!$T:$T,$D96,VI_Debitos!$R:$R,LEFT(PAGADO!G$1,4),VI_Debitos!$Q:$Q,RIGHT(G$1,2))</f>
        <v>0</v>
      </c>
      <c r="H96" s="2">
        <f>SUMIFS(VI_Debitos!$V:$V,VI_Debitos!$H:$H,$C96,VI_Debitos!$T:$T,$D96,VI_Debitos!$R:$R,LEFT(PAGADO!H$1,4),VI_Debitos!$Q:$Q,RIGHT(H$1,2))</f>
        <v>0</v>
      </c>
      <c r="I96" s="2">
        <f>SUMIFS(VI_Debitos!$V:$V,VI_Debitos!$H:$H,$C96,VI_Debitos!$T:$T,$D96,VI_Debitos!$R:$R,LEFT(PAGADO!I$1,4),VI_Debitos!$Q:$Q,RIGHT(I$1,2))</f>
        <v>0</v>
      </c>
      <c r="J96" s="2">
        <f>SUMIFS(VI_Debitos!$V:$V,VI_Debitos!$H:$H,$C96,VI_Debitos!$T:$T,$D96,VI_Debitos!$R:$R,LEFT(PAGADO!J$1,4),VI_Debitos!$Q:$Q,RIGHT(J$1,2))</f>
        <v>0</v>
      </c>
      <c r="K96" s="2">
        <f>SUMIFS(VI_Debitos!$V:$V,VI_Debitos!$H:$H,$C96,VI_Debitos!$T:$T,$D96,VI_Debitos!$R:$R,LEFT(PAGADO!K$1,4),VI_Debitos!$Q:$Q,RIGHT(K$1,2))</f>
        <v>0</v>
      </c>
      <c r="L96" s="2">
        <f>SUMIFS(VI_Debitos!$V:$V,VI_Debitos!$H:$H,$C96,VI_Debitos!$T:$T,$D96,VI_Debitos!$R:$R,LEFT(PAGADO!L$1,4),VI_Debitos!$Q:$Q,RIGHT(L$1,2))</f>
        <v>0</v>
      </c>
      <c r="M96" s="2">
        <f>SUMIFS(VI_Debitos!$V:$V,VI_Debitos!$H:$H,$C96,VI_Debitos!$T:$T,$D96,VI_Debitos!$R:$R,LEFT(PAGADO!M$1,4),VI_Debitos!$Q:$Q,RIGHT(M$1,2))</f>
        <v>0</v>
      </c>
      <c r="N96" s="2">
        <f>SUMIFS(VI_Debitos!$V:$V,VI_Debitos!$H:$H,$C96,VI_Debitos!$T:$T,$D96,VI_Debitos!$R:$R,LEFT(PAGADO!N$1,4),VI_Debitos!$Q:$Q,RIGHT(N$1,2))</f>
        <v>0</v>
      </c>
      <c r="O96" s="2">
        <f>SUMIFS(VI_Debitos!$V:$V,VI_Debitos!$H:$H,$C96,VI_Debitos!$T:$T,$D96,VI_Debitos!$R:$R,LEFT(PAGADO!O$1,4),VI_Debitos!$Q:$Q,RIGHT(O$1,2))</f>
        <v>0</v>
      </c>
      <c r="P96" s="2">
        <f>SUMIFS(VI_Debitos!$V:$V,VI_Debitos!$H:$H,$C96,VI_Debitos!$T:$T,$D96,VI_Debitos!$R:$R,LEFT(PAGADO!P$1,4),VI_Debitos!$Q:$Q,RIGHT(P$1,2))</f>
        <v>0</v>
      </c>
      <c r="Q96" s="2">
        <f>SUMIFS(VI_Debitos!$V:$V,VI_Debitos!$H:$H,$C96,VI_Debitos!$T:$T,$D96,VI_Debitos!$R:$R,LEFT(PAGADO!Q$1,4),VI_Debitos!$Q:$Q,RIGHT(Q$1,2))</f>
        <v>0</v>
      </c>
      <c r="R96" s="2">
        <f t="shared" si="1"/>
        <v>0</v>
      </c>
    </row>
    <row r="97" spans="6:18">
      <c r="F97" s="2">
        <f>SUMIFS(VI_Debitos!$V:$V,VI_Debitos!$H:$H,$C97,VI_Debitos!$T:$T,$D97,VI_Debitos!$R:$R,LEFT(PAGADO!F$1,4),VI_Debitos!$Q:$Q,RIGHT(F$1,2))</f>
        <v>0</v>
      </c>
      <c r="G97" s="2">
        <f>SUMIFS(VI_Debitos!$V:$V,VI_Debitos!$H:$H,$C97,VI_Debitos!$T:$T,$D97,VI_Debitos!$R:$R,LEFT(PAGADO!G$1,4),VI_Debitos!$Q:$Q,RIGHT(G$1,2))</f>
        <v>0</v>
      </c>
      <c r="H97" s="2">
        <f>SUMIFS(VI_Debitos!$V:$V,VI_Debitos!$H:$H,$C97,VI_Debitos!$T:$T,$D97,VI_Debitos!$R:$R,LEFT(PAGADO!H$1,4),VI_Debitos!$Q:$Q,RIGHT(H$1,2))</f>
        <v>0</v>
      </c>
      <c r="I97" s="2">
        <f>SUMIFS(VI_Debitos!$V:$V,VI_Debitos!$H:$H,$C97,VI_Debitos!$T:$T,$D97,VI_Debitos!$R:$R,LEFT(PAGADO!I$1,4),VI_Debitos!$Q:$Q,RIGHT(I$1,2))</f>
        <v>0</v>
      </c>
      <c r="J97" s="2">
        <f>SUMIFS(VI_Debitos!$V:$V,VI_Debitos!$H:$H,$C97,VI_Debitos!$T:$T,$D97,VI_Debitos!$R:$R,LEFT(PAGADO!J$1,4),VI_Debitos!$Q:$Q,RIGHT(J$1,2))</f>
        <v>0</v>
      </c>
      <c r="K97" s="2">
        <f>SUMIFS(VI_Debitos!$V:$V,VI_Debitos!$H:$H,$C97,VI_Debitos!$T:$T,$D97,VI_Debitos!$R:$R,LEFT(PAGADO!K$1,4),VI_Debitos!$Q:$Q,RIGHT(K$1,2))</f>
        <v>0</v>
      </c>
      <c r="L97" s="2">
        <f>SUMIFS(VI_Debitos!$V:$V,VI_Debitos!$H:$H,$C97,VI_Debitos!$T:$T,$D97,VI_Debitos!$R:$R,LEFT(PAGADO!L$1,4),VI_Debitos!$Q:$Q,RIGHT(L$1,2))</f>
        <v>0</v>
      </c>
      <c r="M97" s="2">
        <f>SUMIFS(VI_Debitos!$V:$V,VI_Debitos!$H:$H,$C97,VI_Debitos!$T:$T,$D97,VI_Debitos!$R:$R,LEFT(PAGADO!M$1,4),VI_Debitos!$Q:$Q,RIGHT(M$1,2))</f>
        <v>0</v>
      </c>
      <c r="N97" s="2">
        <f>SUMIFS(VI_Debitos!$V:$V,VI_Debitos!$H:$H,$C97,VI_Debitos!$T:$T,$D97,VI_Debitos!$R:$R,LEFT(PAGADO!N$1,4),VI_Debitos!$Q:$Q,RIGHT(N$1,2))</f>
        <v>0</v>
      </c>
      <c r="O97" s="2">
        <f>SUMIFS(VI_Debitos!$V:$V,VI_Debitos!$H:$H,$C97,VI_Debitos!$T:$T,$D97,VI_Debitos!$R:$R,LEFT(PAGADO!O$1,4),VI_Debitos!$Q:$Q,RIGHT(O$1,2))</f>
        <v>0</v>
      </c>
      <c r="P97" s="2">
        <f>SUMIFS(VI_Debitos!$V:$V,VI_Debitos!$H:$H,$C97,VI_Debitos!$T:$T,$D97,VI_Debitos!$R:$R,LEFT(PAGADO!P$1,4),VI_Debitos!$Q:$Q,RIGHT(P$1,2))</f>
        <v>0</v>
      </c>
      <c r="Q97" s="2">
        <f>SUMIFS(VI_Debitos!$V:$V,VI_Debitos!$H:$H,$C97,VI_Debitos!$T:$T,$D97,VI_Debitos!$R:$R,LEFT(PAGADO!Q$1,4),VI_Debitos!$Q:$Q,RIGHT(Q$1,2))</f>
        <v>0</v>
      </c>
      <c r="R97" s="2">
        <f t="shared" si="1"/>
        <v>0</v>
      </c>
    </row>
    <row r="98" spans="6:18">
      <c r="F98" s="2">
        <f>SUMIFS(VI_Debitos!$V:$V,VI_Debitos!$H:$H,$C98,VI_Debitos!$T:$T,$D98,VI_Debitos!$R:$R,LEFT(PAGADO!F$1,4),VI_Debitos!$Q:$Q,RIGHT(F$1,2))</f>
        <v>0</v>
      </c>
      <c r="G98" s="2">
        <f>SUMIFS(VI_Debitos!$V:$V,VI_Debitos!$H:$H,$C98,VI_Debitos!$T:$T,$D98,VI_Debitos!$R:$R,LEFT(PAGADO!G$1,4),VI_Debitos!$Q:$Q,RIGHT(G$1,2))</f>
        <v>0</v>
      </c>
      <c r="H98" s="2">
        <f>SUMIFS(VI_Debitos!$V:$V,VI_Debitos!$H:$H,$C98,VI_Debitos!$T:$T,$D98,VI_Debitos!$R:$R,LEFT(PAGADO!H$1,4),VI_Debitos!$Q:$Q,RIGHT(H$1,2))</f>
        <v>0</v>
      </c>
      <c r="I98" s="2">
        <f>SUMIFS(VI_Debitos!$V:$V,VI_Debitos!$H:$H,$C98,VI_Debitos!$T:$T,$D98,VI_Debitos!$R:$R,LEFT(PAGADO!I$1,4),VI_Debitos!$Q:$Q,RIGHT(I$1,2))</f>
        <v>0</v>
      </c>
      <c r="J98" s="2">
        <f>SUMIFS(VI_Debitos!$V:$V,VI_Debitos!$H:$H,$C98,VI_Debitos!$T:$T,$D98,VI_Debitos!$R:$R,LEFT(PAGADO!J$1,4),VI_Debitos!$Q:$Q,RIGHT(J$1,2))</f>
        <v>0</v>
      </c>
      <c r="K98" s="2">
        <f>SUMIFS(VI_Debitos!$V:$V,VI_Debitos!$H:$H,$C98,VI_Debitos!$T:$T,$D98,VI_Debitos!$R:$R,LEFT(PAGADO!K$1,4),VI_Debitos!$Q:$Q,RIGHT(K$1,2))</f>
        <v>0</v>
      </c>
      <c r="L98" s="2">
        <f>SUMIFS(VI_Debitos!$V:$V,VI_Debitos!$H:$H,$C98,VI_Debitos!$T:$T,$D98,VI_Debitos!$R:$R,LEFT(PAGADO!L$1,4),VI_Debitos!$Q:$Q,RIGHT(L$1,2))</f>
        <v>0</v>
      </c>
      <c r="M98" s="2">
        <f>SUMIFS(VI_Debitos!$V:$V,VI_Debitos!$H:$H,$C98,VI_Debitos!$T:$T,$D98,VI_Debitos!$R:$R,LEFT(PAGADO!M$1,4),VI_Debitos!$Q:$Q,RIGHT(M$1,2))</f>
        <v>0</v>
      </c>
      <c r="N98" s="2">
        <f>SUMIFS(VI_Debitos!$V:$V,VI_Debitos!$H:$H,$C98,VI_Debitos!$T:$T,$D98,VI_Debitos!$R:$R,LEFT(PAGADO!N$1,4),VI_Debitos!$Q:$Q,RIGHT(N$1,2))</f>
        <v>0</v>
      </c>
      <c r="O98" s="2">
        <f>SUMIFS(VI_Debitos!$V:$V,VI_Debitos!$H:$H,$C98,VI_Debitos!$T:$T,$D98,VI_Debitos!$R:$R,LEFT(PAGADO!O$1,4),VI_Debitos!$Q:$Q,RIGHT(O$1,2))</f>
        <v>0</v>
      </c>
      <c r="P98" s="2">
        <f>SUMIFS(VI_Debitos!$V:$V,VI_Debitos!$H:$H,$C98,VI_Debitos!$T:$T,$D98,VI_Debitos!$R:$R,LEFT(PAGADO!P$1,4),VI_Debitos!$Q:$Q,RIGHT(P$1,2))</f>
        <v>0</v>
      </c>
      <c r="Q98" s="2">
        <f>SUMIFS(VI_Debitos!$V:$V,VI_Debitos!$H:$H,$C98,VI_Debitos!$T:$T,$D98,VI_Debitos!$R:$R,LEFT(PAGADO!Q$1,4),VI_Debitos!$Q:$Q,RIGHT(Q$1,2))</f>
        <v>0</v>
      </c>
      <c r="R98" s="2">
        <f t="shared" si="1"/>
        <v>0</v>
      </c>
    </row>
    <row r="99" spans="6:18">
      <c r="F99" s="2">
        <f>SUMIFS(VI_Debitos!$V:$V,VI_Debitos!$H:$H,$C99,VI_Debitos!$T:$T,$D99,VI_Debitos!$R:$R,LEFT(PAGADO!F$1,4),VI_Debitos!$Q:$Q,RIGHT(F$1,2))</f>
        <v>0</v>
      </c>
      <c r="G99" s="2">
        <f>SUMIFS(VI_Debitos!$V:$V,VI_Debitos!$H:$H,$C99,VI_Debitos!$T:$T,$D99,VI_Debitos!$R:$R,LEFT(PAGADO!G$1,4),VI_Debitos!$Q:$Q,RIGHT(G$1,2))</f>
        <v>0</v>
      </c>
      <c r="H99" s="2">
        <f>SUMIFS(VI_Debitos!$V:$V,VI_Debitos!$H:$H,$C99,VI_Debitos!$T:$T,$D99,VI_Debitos!$R:$R,LEFT(PAGADO!H$1,4),VI_Debitos!$Q:$Q,RIGHT(H$1,2))</f>
        <v>0</v>
      </c>
      <c r="I99" s="2">
        <f>SUMIFS(VI_Debitos!$V:$V,VI_Debitos!$H:$H,$C99,VI_Debitos!$T:$T,$D99,VI_Debitos!$R:$R,LEFT(PAGADO!I$1,4),VI_Debitos!$Q:$Q,RIGHT(I$1,2))</f>
        <v>0</v>
      </c>
      <c r="J99" s="2">
        <f>SUMIFS(VI_Debitos!$V:$V,VI_Debitos!$H:$H,$C99,VI_Debitos!$T:$T,$D99,VI_Debitos!$R:$R,LEFT(PAGADO!J$1,4),VI_Debitos!$Q:$Q,RIGHT(J$1,2))</f>
        <v>0</v>
      </c>
      <c r="K99" s="2">
        <f>SUMIFS(VI_Debitos!$V:$V,VI_Debitos!$H:$H,$C99,VI_Debitos!$T:$T,$D99,VI_Debitos!$R:$R,LEFT(PAGADO!K$1,4),VI_Debitos!$Q:$Q,RIGHT(K$1,2))</f>
        <v>0</v>
      </c>
      <c r="L99" s="2">
        <f>SUMIFS(VI_Debitos!$V:$V,VI_Debitos!$H:$H,$C99,VI_Debitos!$T:$T,$D99,VI_Debitos!$R:$R,LEFT(PAGADO!L$1,4),VI_Debitos!$Q:$Q,RIGHT(L$1,2))</f>
        <v>0</v>
      </c>
      <c r="M99" s="2">
        <f>SUMIFS(VI_Debitos!$V:$V,VI_Debitos!$H:$H,$C99,VI_Debitos!$T:$T,$D99,VI_Debitos!$R:$R,LEFT(PAGADO!M$1,4),VI_Debitos!$Q:$Q,RIGHT(M$1,2))</f>
        <v>0</v>
      </c>
      <c r="N99" s="2">
        <f>SUMIFS(VI_Debitos!$V:$V,VI_Debitos!$H:$H,$C99,VI_Debitos!$T:$T,$D99,VI_Debitos!$R:$R,LEFT(PAGADO!N$1,4),VI_Debitos!$Q:$Q,RIGHT(N$1,2))</f>
        <v>0</v>
      </c>
      <c r="O99" s="2">
        <f>SUMIFS(VI_Debitos!$V:$V,VI_Debitos!$H:$H,$C99,VI_Debitos!$T:$T,$D99,VI_Debitos!$R:$R,LEFT(PAGADO!O$1,4),VI_Debitos!$Q:$Q,RIGHT(O$1,2))</f>
        <v>0</v>
      </c>
      <c r="P99" s="2">
        <f>SUMIFS(VI_Debitos!$V:$V,VI_Debitos!$H:$H,$C99,VI_Debitos!$T:$T,$D99,VI_Debitos!$R:$R,LEFT(PAGADO!P$1,4),VI_Debitos!$Q:$Q,RIGHT(P$1,2))</f>
        <v>0</v>
      </c>
      <c r="Q99" s="2">
        <f>SUMIFS(VI_Debitos!$V:$V,VI_Debitos!$H:$H,$C99,VI_Debitos!$T:$T,$D99,VI_Debitos!$R:$R,LEFT(PAGADO!Q$1,4),VI_Debitos!$Q:$Q,RIGHT(Q$1,2))</f>
        <v>0</v>
      </c>
      <c r="R99" s="2">
        <f t="shared" si="1"/>
        <v>0</v>
      </c>
    </row>
    <row r="100" spans="6:18">
      <c r="F100" s="2">
        <f>SUMIFS(VI_Debitos!$V:$V,VI_Debitos!$H:$H,$C100,VI_Debitos!$T:$T,$D100,VI_Debitos!$R:$R,LEFT(PAGADO!F$1,4),VI_Debitos!$Q:$Q,RIGHT(F$1,2))</f>
        <v>0</v>
      </c>
      <c r="G100" s="2">
        <f>SUMIFS(VI_Debitos!$V:$V,VI_Debitos!$H:$H,$C100,VI_Debitos!$T:$T,$D100,VI_Debitos!$R:$R,LEFT(PAGADO!G$1,4),VI_Debitos!$Q:$Q,RIGHT(G$1,2))</f>
        <v>0</v>
      </c>
      <c r="H100" s="2">
        <f>SUMIFS(VI_Debitos!$V:$V,VI_Debitos!$H:$H,$C100,VI_Debitos!$T:$T,$D100,VI_Debitos!$R:$R,LEFT(PAGADO!H$1,4),VI_Debitos!$Q:$Q,RIGHT(H$1,2))</f>
        <v>0</v>
      </c>
      <c r="I100" s="2">
        <f>SUMIFS(VI_Debitos!$V:$V,VI_Debitos!$H:$H,$C100,VI_Debitos!$T:$T,$D100,VI_Debitos!$R:$R,LEFT(PAGADO!I$1,4),VI_Debitos!$Q:$Q,RIGHT(I$1,2))</f>
        <v>0</v>
      </c>
      <c r="J100" s="2">
        <f>SUMIFS(VI_Debitos!$V:$V,VI_Debitos!$H:$H,$C100,VI_Debitos!$T:$T,$D100,VI_Debitos!$R:$R,LEFT(PAGADO!J$1,4),VI_Debitos!$Q:$Q,RIGHT(J$1,2))</f>
        <v>0</v>
      </c>
      <c r="K100" s="2">
        <f>SUMIFS(VI_Debitos!$V:$V,VI_Debitos!$H:$H,$C100,VI_Debitos!$T:$T,$D100,VI_Debitos!$R:$R,LEFT(PAGADO!K$1,4),VI_Debitos!$Q:$Q,RIGHT(K$1,2))</f>
        <v>0</v>
      </c>
      <c r="L100" s="2">
        <f>SUMIFS(VI_Debitos!$V:$V,VI_Debitos!$H:$H,$C100,VI_Debitos!$T:$T,$D100,VI_Debitos!$R:$R,LEFT(PAGADO!L$1,4),VI_Debitos!$Q:$Q,RIGHT(L$1,2))</f>
        <v>0</v>
      </c>
      <c r="M100" s="2">
        <f>SUMIFS(VI_Debitos!$V:$V,VI_Debitos!$H:$H,$C100,VI_Debitos!$T:$T,$D100,VI_Debitos!$R:$R,LEFT(PAGADO!M$1,4),VI_Debitos!$Q:$Q,RIGHT(M$1,2))</f>
        <v>0</v>
      </c>
      <c r="N100" s="2">
        <f>SUMIFS(VI_Debitos!$V:$V,VI_Debitos!$H:$H,$C100,VI_Debitos!$T:$T,$D100,VI_Debitos!$R:$R,LEFT(PAGADO!N$1,4),VI_Debitos!$Q:$Q,RIGHT(N$1,2))</f>
        <v>0</v>
      </c>
      <c r="O100" s="2">
        <f>SUMIFS(VI_Debitos!$V:$V,VI_Debitos!$H:$H,$C100,VI_Debitos!$T:$T,$D100,VI_Debitos!$R:$R,LEFT(PAGADO!O$1,4),VI_Debitos!$Q:$Q,RIGHT(O$1,2))</f>
        <v>0</v>
      </c>
      <c r="P100" s="2">
        <f>SUMIFS(VI_Debitos!$V:$V,VI_Debitos!$H:$H,$C100,VI_Debitos!$T:$T,$D100,VI_Debitos!$R:$R,LEFT(PAGADO!P$1,4),VI_Debitos!$Q:$Q,RIGHT(P$1,2))</f>
        <v>0</v>
      </c>
      <c r="Q100" s="2">
        <f>SUMIFS(VI_Debitos!$V:$V,VI_Debitos!$H:$H,$C100,VI_Debitos!$T:$T,$D100,VI_Debitos!$R:$R,LEFT(PAGADO!Q$1,4),VI_Debitos!$Q:$Q,RIGHT(Q$1,2))</f>
        <v>0</v>
      </c>
      <c r="R100" s="2">
        <f t="shared" si="1"/>
        <v>0</v>
      </c>
    </row>
    <row r="101" spans="6:18">
      <c r="F101" s="2">
        <f>SUMIFS(VI_Debitos!$V:$V,VI_Debitos!$H:$H,$C101,VI_Debitos!$T:$T,$D101,VI_Debitos!$R:$R,LEFT(PAGADO!F$1,4),VI_Debitos!$Q:$Q,RIGHT(F$1,2))</f>
        <v>0</v>
      </c>
      <c r="G101" s="2">
        <f>SUMIFS(VI_Debitos!$V:$V,VI_Debitos!$H:$H,$C101,VI_Debitos!$T:$T,$D101,VI_Debitos!$R:$R,LEFT(PAGADO!G$1,4),VI_Debitos!$Q:$Q,RIGHT(G$1,2))</f>
        <v>0</v>
      </c>
      <c r="H101" s="2">
        <f>SUMIFS(VI_Debitos!$V:$V,VI_Debitos!$H:$H,$C101,VI_Debitos!$T:$T,$D101,VI_Debitos!$R:$R,LEFT(PAGADO!H$1,4),VI_Debitos!$Q:$Q,RIGHT(H$1,2))</f>
        <v>0</v>
      </c>
      <c r="I101" s="2">
        <f>SUMIFS(VI_Debitos!$V:$V,VI_Debitos!$H:$H,$C101,VI_Debitos!$T:$T,$D101,VI_Debitos!$R:$R,LEFT(PAGADO!I$1,4),VI_Debitos!$Q:$Q,RIGHT(I$1,2))</f>
        <v>0</v>
      </c>
      <c r="J101" s="2">
        <f>SUMIFS(VI_Debitos!$V:$V,VI_Debitos!$H:$H,$C101,VI_Debitos!$T:$T,$D101,VI_Debitos!$R:$R,LEFT(PAGADO!J$1,4),VI_Debitos!$Q:$Q,RIGHT(J$1,2))</f>
        <v>0</v>
      </c>
      <c r="K101" s="2">
        <f>SUMIFS(VI_Debitos!$V:$V,VI_Debitos!$H:$H,$C101,VI_Debitos!$T:$T,$D101,VI_Debitos!$R:$R,LEFT(PAGADO!K$1,4),VI_Debitos!$Q:$Q,RIGHT(K$1,2))</f>
        <v>0</v>
      </c>
      <c r="L101" s="2">
        <f>SUMIFS(VI_Debitos!$V:$V,VI_Debitos!$H:$H,$C101,VI_Debitos!$T:$T,$D101,VI_Debitos!$R:$R,LEFT(PAGADO!L$1,4),VI_Debitos!$Q:$Q,RIGHT(L$1,2))</f>
        <v>0</v>
      </c>
      <c r="M101" s="2">
        <f>SUMIFS(VI_Debitos!$V:$V,VI_Debitos!$H:$H,$C101,VI_Debitos!$T:$T,$D101,VI_Debitos!$R:$R,LEFT(PAGADO!M$1,4),VI_Debitos!$Q:$Q,RIGHT(M$1,2))</f>
        <v>0</v>
      </c>
      <c r="N101" s="2">
        <f>SUMIFS(VI_Debitos!$V:$V,VI_Debitos!$H:$H,$C101,VI_Debitos!$T:$T,$D101,VI_Debitos!$R:$R,LEFT(PAGADO!N$1,4),VI_Debitos!$Q:$Q,RIGHT(N$1,2))</f>
        <v>0</v>
      </c>
      <c r="O101" s="2">
        <f>SUMIFS(VI_Debitos!$V:$V,VI_Debitos!$H:$H,$C101,VI_Debitos!$T:$T,$D101,VI_Debitos!$R:$R,LEFT(PAGADO!O$1,4),VI_Debitos!$Q:$Q,RIGHT(O$1,2))</f>
        <v>0</v>
      </c>
      <c r="P101" s="2">
        <f>SUMIFS(VI_Debitos!$V:$V,VI_Debitos!$H:$H,$C101,VI_Debitos!$T:$T,$D101,VI_Debitos!$R:$R,LEFT(PAGADO!P$1,4),VI_Debitos!$Q:$Q,RIGHT(P$1,2))</f>
        <v>0</v>
      </c>
      <c r="Q101" s="2">
        <f>SUMIFS(VI_Debitos!$V:$V,VI_Debitos!$H:$H,$C101,VI_Debitos!$T:$T,$D101,VI_Debitos!$R:$R,LEFT(PAGADO!Q$1,4),VI_Debitos!$Q:$Q,RIGHT(Q$1,2))</f>
        <v>0</v>
      </c>
      <c r="R101" s="2">
        <f t="shared" si="1"/>
        <v>0</v>
      </c>
    </row>
    <row r="102" spans="6:18">
      <c r="F102" s="2">
        <f>SUMIFS(VI_Debitos!$V:$V,VI_Debitos!$H:$H,$C102,VI_Debitos!$T:$T,$D102,VI_Debitos!$R:$R,LEFT(PAGADO!F$1,4),VI_Debitos!$Q:$Q,RIGHT(F$1,2))</f>
        <v>0</v>
      </c>
      <c r="G102" s="2">
        <f>SUMIFS(VI_Debitos!$V:$V,VI_Debitos!$H:$H,$C102,VI_Debitos!$T:$T,$D102,VI_Debitos!$R:$R,LEFT(PAGADO!G$1,4),VI_Debitos!$Q:$Q,RIGHT(G$1,2))</f>
        <v>0</v>
      </c>
      <c r="H102" s="2">
        <f>SUMIFS(VI_Debitos!$V:$V,VI_Debitos!$H:$H,$C102,VI_Debitos!$T:$T,$D102,VI_Debitos!$R:$R,LEFT(PAGADO!H$1,4),VI_Debitos!$Q:$Q,RIGHT(H$1,2))</f>
        <v>0</v>
      </c>
      <c r="I102" s="2">
        <f>SUMIFS(VI_Debitos!$V:$V,VI_Debitos!$H:$H,$C102,VI_Debitos!$T:$T,$D102,VI_Debitos!$R:$R,LEFT(PAGADO!I$1,4),VI_Debitos!$Q:$Q,RIGHT(I$1,2))</f>
        <v>0</v>
      </c>
      <c r="J102" s="2">
        <f>SUMIFS(VI_Debitos!$V:$V,VI_Debitos!$H:$H,$C102,VI_Debitos!$T:$T,$D102,VI_Debitos!$R:$R,LEFT(PAGADO!J$1,4),VI_Debitos!$Q:$Q,RIGHT(J$1,2))</f>
        <v>0</v>
      </c>
      <c r="K102" s="2">
        <f>SUMIFS(VI_Debitos!$V:$V,VI_Debitos!$H:$H,$C102,VI_Debitos!$T:$T,$D102,VI_Debitos!$R:$R,LEFT(PAGADO!K$1,4),VI_Debitos!$Q:$Q,RIGHT(K$1,2))</f>
        <v>0</v>
      </c>
      <c r="L102" s="2">
        <f>SUMIFS(VI_Debitos!$V:$V,VI_Debitos!$H:$H,$C102,VI_Debitos!$T:$T,$D102,VI_Debitos!$R:$R,LEFT(PAGADO!L$1,4),VI_Debitos!$Q:$Q,RIGHT(L$1,2))</f>
        <v>0</v>
      </c>
      <c r="M102" s="2">
        <f>SUMIFS(VI_Debitos!$V:$V,VI_Debitos!$H:$H,$C102,VI_Debitos!$T:$T,$D102,VI_Debitos!$R:$R,LEFT(PAGADO!M$1,4),VI_Debitos!$Q:$Q,RIGHT(M$1,2))</f>
        <v>0</v>
      </c>
      <c r="N102" s="2">
        <f>SUMIFS(VI_Debitos!$V:$V,VI_Debitos!$H:$H,$C102,VI_Debitos!$T:$T,$D102,VI_Debitos!$R:$R,LEFT(PAGADO!N$1,4),VI_Debitos!$Q:$Q,RIGHT(N$1,2))</f>
        <v>0</v>
      </c>
      <c r="O102" s="2">
        <f>SUMIFS(VI_Debitos!$V:$V,VI_Debitos!$H:$H,$C102,VI_Debitos!$T:$T,$D102,VI_Debitos!$R:$R,LEFT(PAGADO!O$1,4),VI_Debitos!$Q:$Q,RIGHT(O$1,2))</f>
        <v>0</v>
      </c>
      <c r="P102" s="2">
        <f>SUMIFS(VI_Debitos!$V:$V,VI_Debitos!$H:$H,$C102,VI_Debitos!$T:$T,$D102,VI_Debitos!$R:$R,LEFT(PAGADO!P$1,4),VI_Debitos!$Q:$Q,RIGHT(P$1,2))</f>
        <v>0</v>
      </c>
      <c r="Q102" s="2">
        <f>SUMIFS(VI_Debitos!$V:$V,VI_Debitos!$H:$H,$C102,VI_Debitos!$T:$T,$D102,VI_Debitos!$R:$R,LEFT(PAGADO!Q$1,4),VI_Debitos!$Q:$Q,RIGHT(Q$1,2))</f>
        <v>0</v>
      </c>
      <c r="R102" s="2">
        <f t="shared" si="1"/>
        <v>0</v>
      </c>
    </row>
    <row r="103" spans="6:18">
      <c r="F103" s="2">
        <f>SUMIFS(VI_Debitos!$V:$V,VI_Debitos!$H:$H,$C103,VI_Debitos!$T:$T,$D103,VI_Debitos!$R:$R,LEFT(PAGADO!F$1,4),VI_Debitos!$Q:$Q,RIGHT(F$1,2))</f>
        <v>0</v>
      </c>
      <c r="G103" s="2">
        <f>SUMIFS(VI_Debitos!$V:$V,VI_Debitos!$H:$H,$C103,VI_Debitos!$T:$T,$D103,VI_Debitos!$R:$R,LEFT(PAGADO!G$1,4),VI_Debitos!$Q:$Q,RIGHT(G$1,2))</f>
        <v>0</v>
      </c>
      <c r="H103" s="2">
        <f>SUMIFS(VI_Debitos!$V:$V,VI_Debitos!$H:$H,$C103,VI_Debitos!$T:$T,$D103,VI_Debitos!$R:$R,LEFT(PAGADO!H$1,4),VI_Debitos!$Q:$Q,RIGHT(H$1,2))</f>
        <v>0</v>
      </c>
      <c r="I103" s="2">
        <f>SUMIFS(VI_Debitos!$V:$V,VI_Debitos!$H:$H,$C103,VI_Debitos!$T:$T,$D103,VI_Debitos!$R:$R,LEFT(PAGADO!I$1,4),VI_Debitos!$Q:$Q,RIGHT(I$1,2))</f>
        <v>0</v>
      </c>
      <c r="J103" s="2">
        <f>SUMIFS(VI_Debitos!$V:$V,VI_Debitos!$H:$H,$C103,VI_Debitos!$T:$T,$D103,VI_Debitos!$R:$R,LEFT(PAGADO!J$1,4),VI_Debitos!$Q:$Q,RIGHT(J$1,2))</f>
        <v>0</v>
      </c>
      <c r="K103" s="2">
        <f>SUMIFS(VI_Debitos!$V:$V,VI_Debitos!$H:$H,$C103,VI_Debitos!$T:$T,$D103,VI_Debitos!$R:$R,LEFT(PAGADO!K$1,4),VI_Debitos!$Q:$Q,RIGHT(K$1,2))</f>
        <v>0</v>
      </c>
      <c r="L103" s="2">
        <f>SUMIFS(VI_Debitos!$V:$V,VI_Debitos!$H:$H,$C103,VI_Debitos!$T:$T,$D103,VI_Debitos!$R:$R,LEFT(PAGADO!L$1,4),VI_Debitos!$Q:$Q,RIGHT(L$1,2))</f>
        <v>0</v>
      </c>
      <c r="M103" s="2">
        <f>SUMIFS(VI_Debitos!$V:$V,VI_Debitos!$H:$H,$C103,VI_Debitos!$T:$T,$D103,VI_Debitos!$R:$R,LEFT(PAGADO!M$1,4),VI_Debitos!$Q:$Q,RIGHT(M$1,2))</f>
        <v>0</v>
      </c>
      <c r="N103" s="2">
        <f>SUMIFS(VI_Debitos!$V:$V,VI_Debitos!$H:$H,$C103,VI_Debitos!$T:$T,$D103,VI_Debitos!$R:$R,LEFT(PAGADO!N$1,4),VI_Debitos!$Q:$Q,RIGHT(N$1,2))</f>
        <v>0</v>
      </c>
      <c r="O103" s="2">
        <f>SUMIFS(VI_Debitos!$V:$V,VI_Debitos!$H:$H,$C103,VI_Debitos!$T:$T,$D103,VI_Debitos!$R:$R,LEFT(PAGADO!O$1,4),VI_Debitos!$Q:$Q,RIGHT(O$1,2))</f>
        <v>0</v>
      </c>
      <c r="P103" s="2">
        <f>SUMIFS(VI_Debitos!$V:$V,VI_Debitos!$H:$H,$C103,VI_Debitos!$T:$T,$D103,VI_Debitos!$R:$R,LEFT(PAGADO!P$1,4),VI_Debitos!$Q:$Q,RIGHT(P$1,2))</f>
        <v>0</v>
      </c>
      <c r="Q103" s="2">
        <f>SUMIFS(VI_Debitos!$V:$V,VI_Debitos!$H:$H,$C103,VI_Debitos!$T:$T,$D103,VI_Debitos!$R:$R,LEFT(PAGADO!Q$1,4),VI_Debitos!$Q:$Q,RIGHT(Q$1,2))</f>
        <v>0</v>
      </c>
      <c r="R103" s="2">
        <f t="shared" si="1"/>
        <v>0</v>
      </c>
    </row>
    <row r="104" spans="6:18">
      <c r="F104" s="2">
        <f>SUMIFS(VI_Debitos!$V:$V,VI_Debitos!$H:$H,$C104,VI_Debitos!$T:$T,$D104,VI_Debitos!$R:$R,LEFT(PAGADO!F$1,4),VI_Debitos!$Q:$Q,RIGHT(F$1,2))</f>
        <v>0</v>
      </c>
      <c r="G104" s="2">
        <f>SUMIFS(VI_Debitos!$V:$V,VI_Debitos!$H:$H,$C104,VI_Debitos!$T:$T,$D104,VI_Debitos!$R:$R,LEFT(PAGADO!G$1,4),VI_Debitos!$Q:$Q,RIGHT(G$1,2))</f>
        <v>0</v>
      </c>
      <c r="H104" s="2">
        <f>SUMIFS(VI_Debitos!$V:$V,VI_Debitos!$H:$H,$C104,VI_Debitos!$T:$T,$D104,VI_Debitos!$R:$R,LEFT(PAGADO!H$1,4),VI_Debitos!$Q:$Q,RIGHT(H$1,2))</f>
        <v>0</v>
      </c>
      <c r="I104" s="2">
        <f>SUMIFS(VI_Debitos!$V:$V,VI_Debitos!$H:$H,$C104,VI_Debitos!$T:$T,$D104,VI_Debitos!$R:$R,LEFT(PAGADO!I$1,4),VI_Debitos!$Q:$Q,RIGHT(I$1,2))</f>
        <v>0</v>
      </c>
      <c r="J104" s="2">
        <f>SUMIFS(VI_Debitos!$V:$V,VI_Debitos!$H:$H,$C104,VI_Debitos!$T:$T,$D104,VI_Debitos!$R:$R,LEFT(PAGADO!J$1,4),VI_Debitos!$Q:$Q,RIGHT(J$1,2))</f>
        <v>0</v>
      </c>
      <c r="K104" s="2">
        <f>SUMIFS(VI_Debitos!$V:$V,VI_Debitos!$H:$H,$C104,VI_Debitos!$T:$T,$D104,VI_Debitos!$R:$R,LEFT(PAGADO!K$1,4),VI_Debitos!$Q:$Q,RIGHT(K$1,2))</f>
        <v>0</v>
      </c>
      <c r="L104" s="2">
        <f>SUMIFS(VI_Debitos!$V:$V,VI_Debitos!$H:$H,$C104,VI_Debitos!$T:$T,$D104,VI_Debitos!$R:$R,LEFT(PAGADO!L$1,4),VI_Debitos!$Q:$Q,RIGHT(L$1,2))</f>
        <v>0</v>
      </c>
      <c r="M104" s="2">
        <f>SUMIFS(VI_Debitos!$V:$V,VI_Debitos!$H:$H,$C104,VI_Debitos!$T:$T,$D104,VI_Debitos!$R:$R,LEFT(PAGADO!M$1,4),VI_Debitos!$Q:$Q,RIGHT(M$1,2))</f>
        <v>0</v>
      </c>
      <c r="N104" s="2">
        <f>SUMIFS(VI_Debitos!$V:$V,VI_Debitos!$H:$H,$C104,VI_Debitos!$T:$T,$D104,VI_Debitos!$R:$R,LEFT(PAGADO!N$1,4),VI_Debitos!$Q:$Q,RIGHT(N$1,2))</f>
        <v>0</v>
      </c>
      <c r="O104" s="2">
        <f>SUMIFS(VI_Debitos!$V:$V,VI_Debitos!$H:$H,$C104,VI_Debitos!$T:$T,$D104,VI_Debitos!$R:$R,LEFT(PAGADO!O$1,4),VI_Debitos!$Q:$Q,RIGHT(O$1,2))</f>
        <v>0</v>
      </c>
      <c r="P104" s="2">
        <f>SUMIFS(VI_Debitos!$V:$V,VI_Debitos!$H:$H,$C104,VI_Debitos!$T:$T,$D104,VI_Debitos!$R:$R,LEFT(PAGADO!P$1,4),VI_Debitos!$Q:$Q,RIGHT(P$1,2))</f>
        <v>0</v>
      </c>
      <c r="Q104" s="2">
        <f>SUMIFS(VI_Debitos!$V:$V,VI_Debitos!$H:$H,$C104,VI_Debitos!$T:$T,$D104,VI_Debitos!$R:$R,LEFT(PAGADO!Q$1,4),VI_Debitos!$Q:$Q,RIGHT(Q$1,2))</f>
        <v>0</v>
      </c>
      <c r="R104" s="2">
        <f t="shared" si="1"/>
        <v>0</v>
      </c>
    </row>
    <row r="105" spans="6:18">
      <c r="F105" s="2">
        <f>SUMIFS(VI_Debitos!$V:$V,VI_Debitos!$H:$H,$C105,VI_Debitos!$T:$T,$D105,VI_Debitos!$R:$R,LEFT(PAGADO!F$1,4),VI_Debitos!$Q:$Q,RIGHT(F$1,2))</f>
        <v>0</v>
      </c>
      <c r="G105" s="2">
        <f>SUMIFS(VI_Debitos!$V:$V,VI_Debitos!$H:$H,$C105,VI_Debitos!$T:$T,$D105,VI_Debitos!$R:$R,LEFT(PAGADO!G$1,4),VI_Debitos!$Q:$Q,RIGHT(G$1,2))</f>
        <v>0</v>
      </c>
      <c r="H105" s="2">
        <f>SUMIFS(VI_Debitos!$V:$V,VI_Debitos!$H:$H,$C105,VI_Debitos!$T:$T,$D105,VI_Debitos!$R:$R,LEFT(PAGADO!H$1,4),VI_Debitos!$Q:$Q,RIGHT(H$1,2))</f>
        <v>0</v>
      </c>
      <c r="I105" s="2">
        <f>SUMIFS(VI_Debitos!$V:$V,VI_Debitos!$H:$H,$C105,VI_Debitos!$T:$T,$D105,VI_Debitos!$R:$R,LEFT(PAGADO!I$1,4),VI_Debitos!$Q:$Q,RIGHT(I$1,2))</f>
        <v>0</v>
      </c>
      <c r="J105" s="2">
        <f>SUMIFS(VI_Debitos!$V:$V,VI_Debitos!$H:$H,$C105,VI_Debitos!$T:$T,$D105,VI_Debitos!$R:$R,LEFT(PAGADO!J$1,4),VI_Debitos!$Q:$Q,RIGHT(J$1,2))</f>
        <v>0</v>
      </c>
      <c r="K105" s="2">
        <f>SUMIFS(VI_Debitos!$V:$V,VI_Debitos!$H:$H,$C105,VI_Debitos!$T:$T,$D105,VI_Debitos!$R:$R,LEFT(PAGADO!K$1,4),VI_Debitos!$Q:$Q,RIGHT(K$1,2))</f>
        <v>0</v>
      </c>
      <c r="L105" s="2">
        <f>SUMIFS(VI_Debitos!$V:$V,VI_Debitos!$H:$H,$C105,VI_Debitos!$T:$T,$D105,VI_Debitos!$R:$R,LEFT(PAGADO!L$1,4),VI_Debitos!$Q:$Q,RIGHT(L$1,2))</f>
        <v>0</v>
      </c>
      <c r="M105" s="2">
        <f>SUMIFS(VI_Debitos!$V:$V,VI_Debitos!$H:$H,$C105,VI_Debitos!$T:$T,$D105,VI_Debitos!$R:$R,LEFT(PAGADO!M$1,4),VI_Debitos!$Q:$Q,RIGHT(M$1,2))</f>
        <v>0</v>
      </c>
      <c r="N105" s="2">
        <f>SUMIFS(VI_Debitos!$V:$V,VI_Debitos!$H:$H,$C105,VI_Debitos!$T:$T,$D105,VI_Debitos!$R:$R,LEFT(PAGADO!N$1,4),VI_Debitos!$Q:$Q,RIGHT(N$1,2))</f>
        <v>0</v>
      </c>
      <c r="O105" s="2">
        <f>SUMIFS(VI_Debitos!$V:$V,VI_Debitos!$H:$H,$C105,VI_Debitos!$T:$T,$D105,VI_Debitos!$R:$R,LEFT(PAGADO!O$1,4),VI_Debitos!$Q:$Q,RIGHT(O$1,2))</f>
        <v>0</v>
      </c>
      <c r="P105" s="2">
        <f>SUMIFS(VI_Debitos!$V:$V,VI_Debitos!$H:$H,$C105,VI_Debitos!$T:$T,$D105,VI_Debitos!$R:$R,LEFT(PAGADO!P$1,4),VI_Debitos!$Q:$Q,RIGHT(P$1,2))</f>
        <v>0</v>
      </c>
      <c r="Q105" s="2">
        <f>SUMIFS(VI_Debitos!$V:$V,VI_Debitos!$H:$H,$C105,VI_Debitos!$T:$T,$D105,VI_Debitos!$R:$R,LEFT(PAGADO!Q$1,4),VI_Debitos!$Q:$Q,RIGHT(Q$1,2))</f>
        <v>0</v>
      </c>
      <c r="R105" s="2">
        <f t="shared" si="1"/>
        <v>0</v>
      </c>
    </row>
    <row r="106" spans="6:18">
      <c r="F106" s="2">
        <f>SUMIFS(VI_Debitos!$V:$V,VI_Debitos!$H:$H,$C106,VI_Debitos!$T:$T,$D106,VI_Debitos!$R:$R,LEFT(PAGADO!F$1,4),VI_Debitos!$Q:$Q,RIGHT(F$1,2))</f>
        <v>0</v>
      </c>
      <c r="G106" s="2">
        <f>SUMIFS(VI_Debitos!$V:$V,VI_Debitos!$H:$H,$C106,VI_Debitos!$T:$T,$D106,VI_Debitos!$R:$R,LEFT(PAGADO!G$1,4),VI_Debitos!$Q:$Q,RIGHT(G$1,2))</f>
        <v>0</v>
      </c>
      <c r="H106" s="2">
        <f>SUMIFS(VI_Debitos!$V:$V,VI_Debitos!$H:$H,$C106,VI_Debitos!$T:$T,$D106,VI_Debitos!$R:$R,LEFT(PAGADO!H$1,4),VI_Debitos!$Q:$Q,RIGHT(H$1,2))</f>
        <v>0</v>
      </c>
      <c r="I106" s="2">
        <f>SUMIFS(VI_Debitos!$V:$V,VI_Debitos!$H:$H,$C106,VI_Debitos!$T:$T,$D106,VI_Debitos!$R:$R,LEFT(PAGADO!I$1,4),VI_Debitos!$Q:$Q,RIGHT(I$1,2))</f>
        <v>0</v>
      </c>
      <c r="J106" s="2">
        <f>SUMIFS(VI_Debitos!$V:$V,VI_Debitos!$H:$H,$C106,VI_Debitos!$T:$T,$D106,VI_Debitos!$R:$R,LEFT(PAGADO!J$1,4),VI_Debitos!$Q:$Q,RIGHT(J$1,2))</f>
        <v>0</v>
      </c>
      <c r="K106" s="2">
        <f>SUMIFS(VI_Debitos!$V:$V,VI_Debitos!$H:$H,$C106,VI_Debitos!$T:$T,$D106,VI_Debitos!$R:$R,LEFT(PAGADO!K$1,4),VI_Debitos!$Q:$Q,RIGHT(K$1,2))</f>
        <v>0</v>
      </c>
      <c r="L106" s="2">
        <f>SUMIFS(VI_Debitos!$V:$V,VI_Debitos!$H:$H,$C106,VI_Debitos!$T:$T,$D106,VI_Debitos!$R:$R,LEFT(PAGADO!L$1,4),VI_Debitos!$Q:$Q,RIGHT(L$1,2))</f>
        <v>0</v>
      </c>
      <c r="M106" s="2">
        <f>SUMIFS(VI_Debitos!$V:$V,VI_Debitos!$H:$H,$C106,VI_Debitos!$T:$T,$D106,VI_Debitos!$R:$R,LEFT(PAGADO!M$1,4),VI_Debitos!$Q:$Q,RIGHT(M$1,2))</f>
        <v>0</v>
      </c>
      <c r="N106" s="2">
        <f>SUMIFS(VI_Debitos!$V:$V,VI_Debitos!$H:$H,$C106,VI_Debitos!$T:$T,$D106,VI_Debitos!$R:$R,LEFT(PAGADO!N$1,4),VI_Debitos!$Q:$Q,RIGHT(N$1,2))</f>
        <v>0</v>
      </c>
      <c r="O106" s="2">
        <f>SUMIFS(VI_Debitos!$V:$V,VI_Debitos!$H:$H,$C106,VI_Debitos!$T:$T,$D106,VI_Debitos!$R:$R,LEFT(PAGADO!O$1,4),VI_Debitos!$Q:$Q,RIGHT(O$1,2))</f>
        <v>0</v>
      </c>
      <c r="P106" s="2">
        <f>SUMIFS(VI_Debitos!$V:$V,VI_Debitos!$H:$H,$C106,VI_Debitos!$T:$T,$D106,VI_Debitos!$R:$R,LEFT(PAGADO!P$1,4),VI_Debitos!$Q:$Q,RIGHT(P$1,2))</f>
        <v>0</v>
      </c>
      <c r="Q106" s="2">
        <f>SUMIFS(VI_Debitos!$V:$V,VI_Debitos!$H:$H,$C106,VI_Debitos!$T:$T,$D106,VI_Debitos!$R:$R,LEFT(PAGADO!Q$1,4),VI_Debitos!$Q:$Q,RIGHT(Q$1,2))</f>
        <v>0</v>
      </c>
      <c r="R106" s="2">
        <f t="shared" si="1"/>
        <v>0</v>
      </c>
    </row>
    <row r="107" spans="6:18">
      <c r="F107" s="2">
        <f>SUMIFS(VI_Debitos!$V:$V,VI_Debitos!$H:$H,$C107,VI_Debitos!$T:$T,$D107,VI_Debitos!$R:$R,LEFT(PAGADO!F$1,4),VI_Debitos!$Q:$Q,RIGHT(F$1,2))</f>
        <v>0</v>
      </c>
      <c r="G107" s="2">
        <f>SUMIFS(VI_Debitos!$V:$V,VI_Debitos!$H:$H,$C107,VI_Debitos!$T:$T,$D107,VI_Debitos!$R:$R,LEFT(PAGADO!G$1,4),VI_Debitos!$Q:$Q,RIGHT(G$1,2))</f>
        <v>0</v>
      </c>
      <c r="H107" s="2">
        <f>SUMIFS(VI_Debitos!$V:$V,VI_Debitos!$H:$H,$C107,VI_Debitos!$T:$T,$D107,VI_Debitos!$R:$R,LEFT(PAGADO!H$1,4),VI_Debitos!$Q:$Q,RIGHT(H$1,2))</f>
        <v>0</v>
      </c>
      <c r="I107" s="2">
        <f>SUMIFS(VI_Debitos!$V:$V,VI_Debitos!$H:$H,$C107,VI_Debitos!$T:$T,$D107,VI_Debitos!$R:$R,LEFT(PAGADO!I$1,4),VI_Debitos!$Q:$Q,RIGHT(I$1,2))</f>
        <v>0</v>
      </c>
      <c r="J107" s="2">
        <f>SUMIFS(VI_Debitos!$V:$V,VI_Debitos!$H:$H,$C107,VI_Debitos!$T:$T,$D107,VI_Debitos!$R:$R,LEFT(PAGADO!J$1,4),VI_Debitos!$Q:$Q,RIGHT(J$1,2))</f>
        <v>0</v>
      </c>
      <c r="K107" s="2">
        <f>SUMIFS(VI_Debitos!$V:$V,VI_Debitos!$H:$H,$C107,VI_Debitos!$T:$T,$D107,VI_Debitos!$R:$R,LEFT(PAGADO!K$1,4),VI_Debitos!$Q:$Q,RIGHT(K$1,2))</f>
        <v>0</v>
      </c>
      <c r="L107" s="2">
        <f>SUMIFS(VI_Debitos!$V:$V,VI_Debitos!$H:$H,$C107,VI_Debitos!$T:$T,$D107,VI_Debitos!$R:$R,LEFT(PAGADO!L$1,4),VI_Debitos!$Q:$Q,RIGHT(L$1,2))</f>
        <v>0</v>
      </c>
      <c r="M107" s="2">
        <f>SUMIFS(VI_Debitos!$V:$V,VI_Debitos!$H:$H,$C107,VI_Debitos!$T:$T,$D107,VI_Debitos!$R:$R,LEFT(PAGADO!M$1,4),VI_Debitos!$Q:$Q,RIGHT(M$1,2))</f>
        <v>0</v>
      </c>
      <c r="N107" s="2">
        <f>SUMIFS(VI_Debitos!$V:$V,VI_Debitos!$H:$H,$C107,VI_Debitos!$T:$T,$D107,VI_Debitos!$R:$R,LEFT(PAGADO!N$1,4),VI_Debitos!$Q:$Q,RIGHT(N$1,2))</f>
        <v>0</v>
      </c>
      <c r="O107" s="2">
        <f>SUMIFS(VI_Debitos!$V:$V,VI_Debitos!$H:$H,$C107,VI_Debitos!$T:$T,$D107,VI_Debitos!$R:$R,LEFT(PAGADO!O$1,4),VI_Debitos!$Q:$Q,RIGHT(O$1,2))</f>
        <v>0</v>
      </c>
      <c r="P107" s="2">
        <f>SUMIFS(VI_Debitos!$V:$V,VI_Debitos!$H:$H,$C107,VI_Debitos!$T:$T,$D107,VI_Debitos!$R:$R,LEFT(PAGADO!P$1,4),VI_Debitos!$Q:$Q,RIGHT(P$1,2))</f>
        <v>0</v>
      </c>
      <c r="Q107" s="2">
        <f>SUMIFS(VI_Debitos!$V:$V,VI_Debitos!$H:$H,$C107,VI_Debitos!$T:$T,$D107,VI_Debitos!$R:$R,LEFT(PAGADO!Q$1,4),VI_Debitos!$Q:$Q,RIGHT(Q$1,2))</f>
        <v>0</v>
      </c>
      <c r="R107" s="2">
        <f t="shared" si="1"/>
        <v>0</v>
      </c>
    </row>
    <row r="108" spans="6:18">
      <c r="F108" s="2">
        <f>SUMIFS(VI_Debitos!$V:$V,VI_Debitos!$H:$H,$C108,VI_Debitos!$T:$T,$D108,VI_Debitos!$R:$R,LEFT(PAGADO!F$1,4),VI_Debitos!$Q:$Q,RIGHT(F$1,2))</f>
        <v>0</v>
      </c>
      <c r="G108" s="2">
        <f>SUMIFS(VI_Debitos!$V:$V,VI_Debitos!$H:$H,$C108,VI_Debitos!$T:$T,$D108,VI_Debitos!$R:$R,LEFT(PAGADO!G$1,4),VI_Debitos!$Q:$Q,RIGHT(G$1,2))</f>
        <v>0</v>
      </c>
      <c r="H108" s="2">
        <f>SUMIFS(VI_Debitos!$V:$V,VI_Debitos!$H:$H,$C108,VI_Debitos!$T:$T,$D108,VI_Debitos!$R:$R,LEFT(PAGADO!H$1,4),VI_Debitos!$Q:$Q,RIGHT(H$1,2))</f>
        <v>0</v>
      </c>
      <c r="I108" s="2">
        <f>SUMIFS(VI_Debitos!$V:$V,VI_Debitos!$H:$H,$C108,VI_Debitos!$T:$T,$D108,VI_Debitos!$R:$R,LEFT(PAGADO!I$1,4),VI_Debitos!$Q:$Q,RIGHT(I$1,2))</f>
        <v>0</v>
      </c>
      <c r="J108" s="2">
        <f>SUMIFS(VI_Debitos!$V:$V,VI_Debitos!$H:$H,$C108,VI_Debitos!$T:$T,$D108,VI_Debitos!$R:$R,LEFT(PAGADO!J$1,4),VI_Debitos!$Q:$Q,RIGHT(J$1,2))</f>
        <v>0</v>
      </c>
      <c r="K108" s="2">
        <f>SUMIFS(VI_Debitos!$V:$V,VI_Debitos!$H:$H,$C108,VI_Debitos!$T:$T,$D108,VI_Debitos!$R:$R,LEFT(PAGADO!K$1,4),VI_Debitos!$Q:$Q,RIGHT(K$1,2))</f>
        <v>0</v>
      </c>
      <c r="L108" s="2">
        <f>SUMIFS(VI_Debitos!$V:$V,VI_Debitos!$H:$H,$C108,VI_Debitos!$T:$T,$D108,VI_Debitos!$R:$R,LEFT(PAGADO!L$1,4),VI_Debitos!$Q:$Q,RIGHT(L$1,2))</f>
        <v>0</v>
      </c>
      <c r="M108" s="2">
        <f>SUMIFS(VI_Debitos!$V:$V,VI_Debitos!$H:$H,$C108,VI_Debitos!$T:$T,$D108,VI_Debitos!$R:$R,LEFT(PAGADO!M$1,4),VI_Debitos!$Q:$Q,RIGHT(M$1,2))</f>
        <v>0</v>
      </c>
      <c r="N108" s="2">
        <f>SUMIFS(VI_Debitos!$V:$V,VI_Debitos!$H:$H,$C108,VI_Debitos!$T:$T,$D108,VI_Debitos!$R:$R,LEFT(PAGADO!N$1,4),VI_Debitos!$Q:$Q,RIGHT(N$1,2))</f>
        <v>0</v>
      </c>
      <c r="O108" s="2">
        <f>SUMIFS(VI_Debitos!$V:$V,VI_Debitos!$H:$H,$C108,VI_Debitos!$T:$T,$D108,VI_Debitos!$R:$R,LEFT(PAGADO!O$1,4),VI_Debitos!$Q:$Q,RIGHT(O$1,2))</f>
        <v>0</v>
      </c>
      <c r="P108" s="2">
        <f>SUMIFS(VI_Debitos!$V:$V,VI_Debitos!$H:$H,$C108,VI_Debitos!$T:$T,$D108,VI_Debitos!$R:$R,LEFT(PAGADO!P$1,4),VI_Debitos!$Q:$Q,RIGHT(P$1,2))</f>
        <v>0</v>
      </c>
      <c r="Q108" s="2">
        <f>SUMIFS(VI_Debitos!$V:$V,VI_Debitos!$H:$H,$C108,VI_Debitos!$T:$T,$D108,VI_Debitos!$R:$R,LEFT(PAGADO!Q$1,4),VI_Debitos!$Q:$Q,RIGHT(Q$1,2))</f>
        <v>0</v>
      </c>
      <c r="R108" s="2">
        <f t="shared" si="1"/>
        <v>0</v>
      </c>
    </row>
    <row r="109" spans="6:18">
      <c r="F109" s="2">
        <f>SUMIFS(VI_Debitos!$V:$V,VI_Debitos!$H:$H,$C109,VI_Debitos!$T:$T,$D109,VI_Debitos!$R:$R,LEFT(PAGADO!F$1,4),VI_Debitos!$Q:$Q,RIGHT(F$1,2))</f>
        <v>0</v>
      </c>
      <c r="G109" s="2">
        <f>SUMIFS(VI_Debitos!$V:$V,VI_Debitos!$H:$H,$C109,VI_Debitos!$T:$T,$D109,VI_Debitos!$R:$R,LEFT(PAGADO!G$1,4),VI_Debitos!$Q:$Q,RIGHT(G$1,2))</f>
        <v>0</v>
      </c>
      <c r="H109" s="2">
        <f>SUMIFS(VI_Debitos!$V:$V,VI_Debitos!$H:$H,$C109,VI_Debitos!$T:$T,$D109,VI_Debitos!$R:$R,LEFT(PAGADO!H$1,4),VI_Debitos!$Q:$Q,RIGHT(H$1,2))</f>
        <v>0</v>
      </c>
      <c r="I109" s="2">
        <f>SUMIFS(VI_Debitos!$V:$V,VI_Debitos!$H:$H,$C109,VI_Debitos!$T:$T,$D109,VI_Debitos!$R:$R,LEFT(PAGADO!I$1,4),VI_Debitos!$Q:$Q,RIGHT(I$1,2))</f>
        <v>0</v>
      </c>
      <c r="J109" s="2">
        <f>SUMIFS(VI_Debitos!$V:$V,VI_Debitos!$H:$H,$C109,VI_Debitos!$T:$T,$D109,VI_Debitos!$R:$R,LEFT(PAGADO!J$1,4),VI_Debitos!$Q:$Q,RIGHT(J$1,2))</f>
        <v>0</v>
      </c>
      <c r="K109" s="2">
        <f>SUMIFS(VI_Debitos!$V:$V,VI_Debitos!$H:$H,$C109,VI_Debitos!$T:$T,$D109,VI_Debitos!$R:$R,LEFT(PAGADO!K$1,4),VI_Debitos!$Q:$Q,RIGHT(K$1,2))</f>
        <v>0</v>
      </c>
      <c r="L109" s="2">
        <f>SUMIFS(VI_Debitos!$V:$V,VI_Debitos!$H:$H,$C109,VI_Debitos!$T:$T,$D109,VI_Debitos!$R:$R,LEFT(PAGADO!L$1,4),VI_Debitos!$Q:$Q,RIGHT(L$1,2))</f>
        <v>0</v>
      </c>
      <c r="M109" s="2">
        <f>SUMIFS(VI_Debitos!$V:$V,VI_Debitos!$H:$H,$C109,VI_Debitos!$T:$T,$D109,VI_Debitos!$R:$R,LEFT(PAGADO!M$1,4),VI_Debitos!$Q:$Q,RIGHT(M$1,2))</f>
        <v>0</v>
      </c>
      <c r="N109" s="2">
        <f>SUMIFS(VI_Debitos!$V:$V,VI_Debitos!$H:$H,$C109,VI_Debitos!$T:$T,$D109,VI_Debitos!$R:$R,LEFT(PAGADO!N$1,4),VI_Debitos!$Q:$Q,RIGHT(N$1,2))</f>
        <v>0</v>
      </c>
      <c r="O109" s="2">
        <f>SUMIFS(VI_Debitos!$V:$V,VI_Debitos!$H:$H,$C109,VI_Debitos!$T:$T,$D109,VI_Debitos!$R:$R,LEFT(PAGADO!O$1,4),VI_Debitos!$Q:$Q,RIGHT(O$1,2))</f>
        <v>0</v>
      </c>
      <c r="P109" s="2">
        <f>SUMIFS(VI_Debitos!$V:$V,VI_Debitos!$H:$H,$C109,VI_Debitos!$T:$T,$D109,VI_Debitos!$R:$R,LEFT(PAGADO!P$1,4),VI_Debitos!$Q:$Q,RIGHT(P$1,2))</f>
        <v>0</v>
      </c>
      <c r="Q109" s="2">
        <f>SUMIFS(VI_Debitos!$V:$V,VI_Debitos!$H:$H,$C109,VI_Debitos!$T:$T,$D109,VI_Debitos!$R:$R,LEFT(PAGADO!Q$1,4),VI_Debitos!$Q:$Q,RIGHT(Q$1,2))</f>
        <v>0</v>
      </c>
      <c r="R109" s="2">
        <f t="shared" si="1"/>
        <v>0</v>
      </c>
    </row>
    <row r="110" spans="6:18">
      <c r="F110" s="2">
        <f>SUMIFS(VI_Debitos!$V:$V,VI_Debitos!$H:$H,$C110,VI_Debitos!$T:$T,$D110,VI_Debitos!$R:$R,LEFT(PAGADO!F$1,4),VI_Debitos!$Q:$Q,RIGHT(F$1,2))</f>
        <v>0</v>
      </c>
      <c r="G110" s="2">
        <f>SUMIFS(VI_Debitos!$V:$V,VI_Debitos!$H:$H,$C110,VI_Debitos!$T:$T,$D110,VI_Debitos!$R:$R,LEFT(PAGADO!G$1,4),VI_Debitos!$Q:$Q,RIGHT(G$1,2))</f>
        <v>0</v>
      </c>
      <c r="H110" s="2">
        <f>SUMIFS(VI_Debitos!$V:$V,VI_Debitos!$H:$H,$C110,VI_Debitos!$T:$T,$D110,VI_Debitos!$R:$R,LEFT(PAGADO!H$1,4),VI_Debitos!$Q:$Q,RIGHT(H$1,2))</f>
        <v>0</v>
      </c>
      <c r="I110" s="2">
        <f>SUMIFS(VI_Debitos!$V:$V,VI_Debitos!$H:$H,$C110,VI_Debitos!$T:$T,$D110,VI_Debitos!$R:$R,LEFT(PAGADO!I$1,4),VI_Debitos!$Q:$Q,RIGHT(I$1,2))</f>
        <v>0</v>
      </c>
      <c r="J110" s="2">
        <f>SUMIFS(VI_Debitos!$V:$V,VI_Debitos!$H:$H,$C110,VI_Debitos!$T:$T,$D110,VI_Debitos!$R:$R,LEFT(PAGADO!J$1,4),VI_Debitos!$Q:$Q,RIGHT(J$1,2))</f>
        <v>0</v>
      </c>
      <c r="K110" s="2">
        <f>SUMIFS(VI_Debitos!$V:$V,VI_Debitos!$H:$H,$C110,VI_Debitos!$T:$T,$D110,VI_Debitos!$R:$R,LEFT(PAGADO!K$1,4),VI_Debitos!$Q:$Q,RIGHT(K$1,2))</f>
        <v>0</v>
      </c>
      <c r="L110" s="2">
        <f>SUMIFS(VI_Debitos!$V:$V,VI_Debitos!$H:$H,$C110,VI_Debitos!$T:$T,$D110,VI_Debitos!$R:$R,LEFT(PAGADO!L$1,4),VI_Debitos!$Q:$Q,RIGHT(L$1,2))</f>
        <v>0</v>
      </c>
      <c r="M110" s="2">
        <f>SUMIFS(VI_Debitos!$V:$V,VI_Debitos!$H:$H,$C110,VI_Debitos!$T:$T,$D110,VI_Debitos!$R:$R,LEFT(PAGADO!M$1,4),VI_Debitos!$Q:$Q,RIGHT(M$1,2))</f>
        <v>0</v>
      </c>
      <c r="N110" s="2">
        <f>SUMIFS(VI_Debitos!$V:$V,VI_Debitos!$H:$H,$C110,VI_Debitos!$T:$T,$D110,VI_Debitos!$R:$R,LEFT(PAGADO!N$1,4),VI_Debitos!$Q:$Q,RIGHT(N$1,2))</f>
        <v>0</v>
      </c>
      <c r="O110" s="2">
        <f>SUMIFS(VI_Debitos!$V:$V,VI_Debitos!$H:$H,$C110,VI_Debitos!$T:$T,$D110,VI_Debitos!$R:$R,LEFT(PAGADO!O$1,4),VI_Debitos!$Q:$Q,RIGHT(O$1,2))</f>
        <v>0</v>
      </c>
      <c r="P110" s="2">
        <f>SUMIFS(VI_Debitos!$V:$V,VI_Debitos!$H:$H,$C110,VI_Debitos!$T:$T,$D110,VI_Debitos!$R:$R,LEFT(PAGADO!P$1,4),VI_Debitos!$Q:$Q,RIGHT(P$1,2))</f>
        <v>0</v>
      </c>
      <c r="Q110" s="2">
        <f>SUMIFS(VI_Debitos!$V:$V,VI_Debitos!$H:$H,$C110,VI_Debitos!$T:$T,$D110,VI_Debitos!$R:$R,LEFT(PAGADO!Q$1,4),VI_Debitos!$Q:$Q,RIGHT(Q$1,2))</f>
        <v>0</v>
      </c>
      <c r="R110" s="2">
        <f t="shared" si="1"/>
        <v>0</v>
      </c>
    </row>
    <row r="111" spans="6:18">
      <c r="F111" s="2">
        <f>SUMIFS(VI_Debitos!$V:$V,VI_Debitos!$H:$H,$C111,VI_Debitos!$T:$T,$D111,VI_Debitos!$R:$R,LEFT(PAGADO!F$1,4),VI_Debitos!$Q:$Q,RIGHT(F$1,2))</f>
        <v>0</v>
      </c>
      <c r="G111" s="2">
        <f>SUMIFS(VI_Debitos!$V:$V,VI_Debitos!$H:$H,$C111,VI_Debitos!$T:$T,$D111,VI_Debitos!$R:$R,LEFT(PAGADO!G$1,4),VI_Debitos!$Q:$Q,RIGHT(G$1,2))</f>
        <v>0</v>
      </c>
      <c r="H111" s="2">
        <f>SUMIFS(VI_Debitos!$V:$V,VI_Debitos!$H:$H,$C111,VI_Debitos!$T:$T,$D111,VI_Debitos!$R:$R,LEFT(PAGADO!H$1,4),VI_Debitos!$Q:$Q,RIGHT(H$1,2))</f>
        <v>0</v>
      </c>
      <c r="I111" s="2">
        <f>SUMIFS(VI_Debitos!$V:$V,VI_Debitos!$H:$H,$C111,VI_Debitos!$T:$T,$D111,VI_Debitos!$R:$R,LEFT(PAGADO!I$1,4),VI_Debitos!$Q:$Q,RIGHT(I$1,2))</f>
        <v>0</v>
      </c>
      <c r="J111" s="2">
        <f>SUMIFS(VI_Debitos!$V:$V,VI_Debitos!$H:$H,$C111,VI_Debitos!$T:$T,$D111,VI_Debitos!$R:$R,LEFT(PAGADO!J$1,4),VI_Debitos!$Q:$Q,RIGHT(J$1,2))</f>
        <v>0</v>
      </c>
      <c r="K111" s="2">
        <f>SUMIFS(VI_Debitos!$V:$V,VI_Debitos!$H:$H,$C111,VI_Debitos!$T:$T,$D111,VI_Debitos!$R:$R,LEFT(PAGADO!K$1,4),VI_Debitos!$Q:$Q,RIGHT(K$1,2))</f>
        <v>0</v>
      </c>
      <c r="L111" s="2">
        <f>SUMIFS(VI_Debitos!$V:$V,VI_Debitos!$H:$H,$C111,VI_Debitos!$T:$T,$D111,VI_Debitos!$R:$R,LEFT(PAGADO!L$1,4),VI_Debitos!$Q:$Q,RIGHT(L$1,2))</f>
        <v>0</v>
      </c>
      <c r="M111" s="2">
        <f>SUMIFS(VI_Debitos!$V:$V,VI_Debitos!$H:$H,$C111,VI_Debitos!$T:$T,$D111,VI_Debitos!$R:$R,LEFT(PAGADO!M$1,4),VI_Debitos!$Q:$Q,RIGHT(M$1,2))</f>
        <v>0</v>
      </c>
      <c r="N111" s="2">
        <f>SUMIFS(VI_Debitos!$V:$V,VI_Debitos!$H:$H,$C111,VI_Debitos!$T:$T,$D111,VI_Debitos!$R:$R,LEFT(PAGADO!N$1,4),VI_Debitos!$Q:$Q,RIGHT(N$1,2))</f>
        <v>0</v>
      </c>
      <c r="O111" s="2">
        <f>SUMIFS(VI_Debitos!$V:$V,VI_Debitos!$H:$H,$C111,VI_Debitos!$T:$T,$D111,VI_Debitos!$R:$R,LEFT(PAGADO!O$1,4),VI_Debitos!$Q:$Q,RIGHT(O$1,2))</f>
        <v>0</v>
      </c>
      <c r="P111" s="2">
        <f>SUMIFS(VI_Debitos!$V:$V,VI_Debitos!$H:$H,$C111,VI_Debitos!$T:$T,$D111,VI_Debitos!$R:$R,LEFT(PAGADO!P$1,4),VI_Debitos!$Q:$Q,RIGHT(P$1,2))</f>
        <v>0</v>
      </c>
      <c r="Q111" s="2">
        <f>SUMIFS(VI_Debitos!$V:$V,VI_Debitos!$H:$H,$C111,VI_Debitos!$T:$T,$D111,VI_Debitos!$R:$R,LEFT(PAGADO!Q$1,4),VI_Debitos!$Q:$Q,RIGHT(Q$1,2))</f>
        <v>0</v>
      </c>
      <c r="R111" s="2">
        <f t="shared" si="1"/>
        <v>0</v>
      </c>
    </row>
    <row r="112" spans="6:18">
      <c r="F112" s="2">
        <f>SUMIFS(VI_Debitos!$V:$V,VI_Debitos!$H:$H,$C112,VI_Debitos!$T:$T,$D112,VI_Debitos!$R:$R,LEFT(PAGADO!F$1,4),VI_Debitos!$Q:$Q,RIGHT(F$1,2))</f>
        <v>0</v>
      </c>
      <c r="G112" s="2">
        <f>SUMIFS(VI_Debitos!$V:$V,VI_Debitos!$H:$H,$C112,VI_Debitos!$T:$T,$D112,VI_Debitos!$R:$R,LEFT(PAGADO!G$1,4),VI_Debitos!$Q:$Q,RIGHT(G$1,2))</f>
        <v>0</v>
      </c>
      <c r="H112" s="2">
        <f>SUMIFS(VI_Debitos!$V:$V,VI_Debitos!$H:$H,$C112,VI_Debitos!$T:$T,$D112,VI_Debitos!$R:$R,LEFT(PAGADO!H$1,4),VI_Debitos!$Q:$Q,RIGHT(H$1,2))</f>
        <v>0</v>
      </c>
      <c r="I112" s="2">
        <f>SUMIFS(VI_Debitos!$V:$V,VI_Debitos!$H:$H,$C112,VI_Debitos!$T:$T,$D112,VI_Debitos!$R:$R,LEFT(PAGADO!I$1,4),VI_Debitos!$Q:$Q,RIGHT(I$1,2))</f>
        <v>0</v>
      </c>
      <c r="J112" s="2">
        <f>SUMIFS(VI_Debitos!$V:$V,VI_Debitos!$H:$H,$C112,VI_Debitos!$T:$T,$D112,VI_Debitos!$R:$R,LEFT(PAGADO!J$1,4),VI_Debitos!$Q:$Q,RIGHT(J$1,2))</f>
        <v>0</v>
      </c>
      <c r="K112" s="2">
        <f>SUMIFS(VI_Debitos!$V:$V,VI_Debitos!$H:$H,$C112,VI_Debitos!$T:$T,$D112,VI_Debitos!$R:$R,LEFT(PAGADO!K$1,4),VI_Debitos!$Q:$Q,RIGHT(K$1,2))</f>
        <v>0</v>
      </c>
      <c r="L112" s="2">
        <f>SUMIFS(VI_Debitos!$V:$V,VI_Debitos!$H:$H,$C112,VI_Debitos!$T:$T,$D112,VI_Debitos!$R:$R,LEFT(PAGADO!L$1,4),VI_Debitos!$Q:$Q,RIGHT(L$1,2))</f>
        <v>0</v>
      </c>
      <c r="M112" s="2">
        <f>SUMIFS(VI_Debitos!$V:$V,VI_Debitos!$H:$H,$C112,VI_Debitos!$T:$T,$D112,VI_Debitos!$R:$R,LEFT(PAGADO!M$1,4),VI_Debitos!$Q:$Q,RIGHT(M$1,2))</f>
        <v>0</v>
      </c>
      <c r="N112" s="2">
        <f>SUMIFS(VI_Debitos!$V:$V,VI_Debitos!$H:$H,$C112,VI_Debitos!$T:$T,$D112,VI_Debitos!$R:$R,LEFT(PAGADO!N$1,4),VI_Debitos!$Q:$Q,RIGHT(N$1,2))</f>
        <v>0</v>
      </c>
      <c r="O112" s="2">
        <f>SUMIFS(VI_Debitos!$V:$V,VI_Debitos!$H:$H,$C112,VI_Debitos!$T:$T,$D112,VI_Debitos!$R:$R,LEFT(PAGADO!O$1,4),VI_Debitos!$Q:$Q,RIGHT(O$1,2))</f>
        <v>0</v>
      </c>
      <c r="P112" s="2">
        <f>SUMIFS(VI_Debitos!$V:$V,VI_Debitos!$H:$H,$C112,VI_Debitos!$T:$T,$D112,VI_Debitos!$R:$R,LEFT(PAGADO!P$1,4),VI_Debitos!$Q:$Q,RIGHT(P$1,2))</f>
        <v>0</v>
      </c>
      <c r="Q112" s="2">
        <f>SUMIFS(VI_Debitos!$V:$V,VI_Debitos!$H:$H,$C112,VI_Debitos!$T:$T,$D112,VI_Debitos!$R:$R,LEFT(PAGADO!Q$1,4),VI_Debitos!$Q:$Q,RIGHT(Q$1,2))</f>
        <v>0</v>
      </c>
      <c r="R112" s="2">
        <f t="shared" si="1"/>
        <v>0</v>
      </c>
    </row>
    <row r="113" spans="6:18">
      <c r="F113" s="2">
        <f>SUMIFS(VI_Debitos!$V:$V,VI_Debitos!$H:$H,$C113,VI_Debitos!$T:$T,$D113,VI_Debitos!$R:$R,LEFT(PAGADO!F$1,4),VI_Debitos!$Q:$Q,RIGHT(F$1,2))</f>
        <v>0</v>
      </c>
      <c r="G113" s="2">
        <f>SUMIFS(VI_Debitos!$V:$V,VI_Debitos!$H:$H,$C113,VI_Debitos!$T:$T,$D113,VI_Debitos!$R:$R,LEFT(PAGADO!G$1,4),VI_Debitos!$Q:$Q,RIGHT(G$1,2))</f>
        <v>0</v>
      </c>
      <c r="H113" s="2">
        <f>SUMIFS(VI_Debitos!$V:$V,VI_Debitos!$H:$H,$C113,VI_Debitos!$T:$T,$D113,VI_Debitos!$R:$R,LEFT(PAGADO!H$1,4),VI_Debitos!$Q:$Q,RIGHT(H$1,2))</f>
        <v>0</v>
      </c>
      <c r="I113" s="2">
        <f>SUMIFS(VI_Debitos!$V:$V,VI_Debitos!$H:$H,$C113,VI_Debitos!$T:$T,$D113,VI_Debitos!$R:$R,LEFT(PAGADO!I$1,4),VI_Debitos!$Q:$Q,RIGHT(I$1,2))</f>
        <v>0</v>
      </c>
      <c r="J113" s="2">
        <f>SUMIFS(VI_Debitos!$V:$V,VI_Debitos!$H:$H,$C113,VI_Debitos!$T:$T,$D113,VI_Debitos!$R:$R,LEFT(PAGADO!J$1,4),VI_Debitos!$Q:$Q,RIGHT(J$1,2))</f>
        <v>0</v>
      </c>
      <c r="K113" s="2">
        <f>SUMIFS(VI_Debitos!$V:$V,VI_Debitos!$H:$H,$C113,VI_Debitos!$T:$T,$D113,VI_Debitos!$R:$R,LEFT(PAGADO!K$1,4),VI_Debitos!$Q:$Q,RIGHT(K$1,2))</f>
        <v>0</v>
      </c>
      <c r="L113" s="2">
        <f>SUMIFS(VI_Debitos!$V:$V,VI_Debitos!$H:$H,$C113,VI_Debitos!$T:$T,$D113,VI_Debitos!$R:$R,LEFT(PAGADO!L$1,4),VI_Debitos!$Q:$Q,RIGHT(L$1,2))</f>
        <v>0</v>
      </c>
      <c r="M113" s="2">
        <f>SUMIFS(VI_Debitos!$V:$V,VI_Debitos!$H:$H,$C113,VI_Debitos!$T:$T,$D113,VI_Debitos!$R:$R,LEFT(PAGADO!M$1,4),VI_Debitos!$Q:$Q,RIGHT(M$1,2))</f>
        <v>0</v>
      </c>
      <c r="N113" s="2">
        <f>SUMIFS(VI_Debitos!$V:$V,VI_Debitos!$H:$H,$C113,VI_Debitos!$T:$T,$D113,VI_Debitos!$R:$R,LEFT(PAGADO!N$1,4),VI_Debitos!$Q:$Q,RIGHT(N$1,2))</f>
        <v>0</v>
      </c>
      <c r="O113" s="2">
        <f>SUMIFS(VI_Debitos!$V:$V,VI_Debitos!$H:$H,$C113,VI_Debitos!$T:$T,$D113,VI_Debitos!$R:$R,LEFT(PAGADO!O$1,4),VI_Debitos!$Q:$Q,RIGHT(O$1,2))</f>
        <v>0</v>
      </c>
      <c r="P113" s="2">
        <f>SUMIFS(VI_Debitos!$V:$V,VI_Debitos!$H:$H,$C113,VI_Debitos!$T:$T,$D113,VI_Debitos!$R:$R,LEFT(PAGADO!P$1,4),VI_Debitos!$Q:$Q,RIGHT(P$1,2))</f>
        <v>0</v>
      </c>
      <c r="Q113" s="2">
        <f>SUMIFS(VI_Debitos!$V:$V,VI_Debitos!$H:$H,$C113,VI_Debitos!$T:$T,$D113,VI_Debitos!$R:$R,LEFT(PAGADO!Q$1,4),VI_Debitos!$Q:$Q,RIGHT(Q$1,2))</f>
        <v>0</v>
      </c>
      <c r="R113" s="2">
        <f t="shared" si="1"/>
        <v>0</v>
      </c>
    </row>
    <row r="114" spans="6:18">
      <c r="F114" s="2">
        <f>SUMIFS(VI_Debitos!$V:$V,VI_Debitos!$H:$H,$C114,VI_Debitos!$T:$T,$D114,VI_Debitos!$R:$R,LEFT(PAGADO!F$1,4),VI_Debitos!$Q:$Q,RIGHT(F$1,2))</f>
        <v>0</v>
      </c>
      <c r="G114" s="2">
        <f>SUMIFS(VI_Debitos!$V:$V,VI_Debitos!$H:$H,$C114,VI_Debitos!$T:$T,$D114,VI_Debitos!$R:$R,LEFT(PAGADO!G$1,4),VI_Debitos!$Q:$Q,RIGHT(G$1,2))</f>
        <v>0</v>
      </c>
      <c r="H114" s="2">
        <f>SUMIFS(VI_Debitos!$V:$V,VI_Debitos!$H:$H,$C114,VI_Debitos!$T:$T,$D114,VI_Debitos!$R:$R,LEFT(PAGADO!H$1,4),VI_Debitos!$Q:$Q,RIGHT(H$1,2))</f>
        <v>0</v>
      </c>
      <c r="I114" s="2">
        <f>SUMIFS(VI_Debitos!$V:$V,VI_Debitos!$H:$H,$C114,VI_Debitos!$T:$T,$D114,VI_Debitos!$R:$R,LEFT(PAGADO!I$1,4),VI_Debitos!$Q:$Q,RIGHT(I$1,2))</f>
        <v>0</v>
      </c>
      <c r="J114" s="2">
        <f>SUMIFS(VI_Debitos!$V:$V,VI_Debitos!$H:$H,$C114,VI_Debitos!$T:$T,$D114,VI_Debitos!$R:$R,LEFT(PAGADO!J$1,4),VI_Debitos!$Q:$Q,RIGHT(J$1,2))</f>
        <v>0</v>
      </c>
      <c r="K114" s="2">
        <f>SUMIFS(VI_Debitos!$V:$V,VI_Debitos!$H:$H,$C114,VI_Debitos!$T:$T,$D114,VI_Debitos!$R:$R,LEFT(PAGADO!K$1,4),VI_Debitos!$Q:$Q,RIGHT(K$1,2))</f>
        <v>0</v>
      </c>
      <c r="L114" s="2">
        <f>SUMIFS(VI_Debitos!$V:$V,VI_Debitos!$H:$H,$C114,VI_Debitos!$T:$T,$D114,VI_Debitos!$R:$R,LEFT(PAGADO!L$1,4),VI_Debitos!$Q:$Q,RIGHT(L$1,2))</f>
        <v>0</v>
      </c>
      <c r="M114" s="2">
        <f>SUMIFS(VI_Debitos!$V:$V,VI_Debitos!$H:$H,$C114,VI_Debitos!$T:$T,$D114,VI_Debitos!$R:$R,LEFT(PAGADO!M$1,4),VI_Debitos!$Q:$Q,RIGHT(M$1,2))</f>
        <v>0</v>
      </c>
      <c r="N114" s="2">
        <f>SUMIFS(VI_Debitos!$V:$V,VI_Debitos!$H:$H,$C114,VI_Debitos!$T:$T,$D114,VI_Debitos!$R:$R,LEFT(PAGADO!N$1,4),VI_Debitos!$Q:$Q,RIGHT(N$1,2))</f>
        <v>0</v>
      </c>
      <c r="O114" s="2">
        <f>SUMIFS(VI_Debitos!$V:$V,VI_Debitos!$H:$H,$C114,VI_Debitos!$T:$T,$D114,VI_Debitos!$R:$R,LEFT(PAGADO!O$1,4),VI_Debitos!$Q:$Q,RIGHT(O$1,2))</f>
        <v>0</v>
      </c>
      <c r="P114" s="2">
        <f>SUMIFS(VI_Debitos!$V:$V,VI_Debitos!$H:$H,$C114,VI_Debitos!$T:$T,$D114,VI_Debitos!$R:$R,LEFT(PAGADO!P$1,4),VI_Debitos!$Q:$Q,RIGHT(P$1,2))</f>
        <v>0</v>
      </c>
      <c r="Q114" s="2">
        <f>SUMIFS(VI_Debitos!$V:$V,VI_Debitos!$H:$H,$C114,VI_Debitos!$T:$T,$D114,VI_Debitos!$R:$R,LEFT(PAGADO!Q$1,4),VI_Debitos!$Q:$Q,RIGHT(Q$1,2))</f>
        <v>0</v>
      </c>
      <c r="R114" s="2">
        <f t="shared" si="1"/>
        <v>0</v>
      </c>
    </row>
    <row r="115" spans="6:18">
      <c r="F115" s="2">
        <f>SUMIFS(VI_Debitos!$V:$V,VI_Debitos!$H:$H,$C115,VI_Debitos!$T:$T,$D115,VI_Debitos!$R:$R,LEFT(PAGADO!F$1,4),VI_Debitos!$Q:$Q,RIGHT(F$1,2))</f>
        <v>0</v>
      </c>
      <c r="G115" s="2">
        <f>SUMIFS(VI_Debitos!$V:$V,VI_Debitos!$H:$H,$C115,VI_Debitos!$T:$T,$D115,VI_Debitos!$R:$R,LEFT(PAGADO!G$1,4),VI_Debitos!$Q:$Q,RIGHT(G$1,2))</f>
        <v>0</v>
      </c>
      <c r="H115" s="2">
        <f>SUMIFS(VI_Debitos!$V:$V,VI_Debitos!$H:$H,$C115,VI_Debitos!$T:$T,$D115,VI_Debitos!$R:$R,LEFT(PAGADO!H$1,4),VI_Debitos!$Q:$Q,RIGHT(H$1,2))</f>
        <v>0</v>
      </c>
      <c r="I115" s="2">
        <f>SUMIFS(VI_Debitos!$V:$V,VI_Debitos!$H:$H,$C115,VI_Debitos!$T:$T,$D115,VI_Debitos!$R:$R,LEFT(PAGADO!I$1,4),VI_Debitos!$Q:$Q,RIGHT(I$1,2))</f>
        <v>0</v>
      </c>
      <c r="J115" s="2">
        <f>SUMIFS(VI_Debitos!$V:$V,VI_Debitos!$H:$H,$C115,VI_Debitos!$T:$T,$D115,VI_Debitos!$R:$R,LEFT(PAGADO!J$1,4),VI_Debitos!$Q:$Q,RIGHT(J$1,2))</f>
        <v>0</v>
      </c>
      <c r="K115" s="2">
        <f>SUMIFS(VI_Debitos!$V:$V,VI_Debitos!$H:$H,$C115,VI_Debitos!$T:$T,$D115,VI_Debitos!$R:$R,LEFT(PAGADO!K$1,4),VI_Debitos!$Q:$Q,RIGHT(K$1,2))</f>
        <v>0</v>
      </c>
      <c r="L115" s="2">
        <f>SUMIFS(VI_Debitos!$V:$V,VI_Debitos!$H:$H,$C115,VI_Debitos!$T:$T,$D115,VI_Debitos!$R:$R,LEFT(PAGADO!L$1,4),VI_Debitos!$Q:$Q,RIGHT(L$1,2))</f>
        <v>0</v>
      </c>
      <c r="M115" s="2">
        <f>SUMIFS(VI_Debitos!$V:$V,VI_Debitos!$H:$H,$C115,VI_Debitos!$T:$T,$D115,VI_Debitos!$R:$R,LEFT(PAGADO!M$1,4),VI_Debitos!$Q:$Q,RIGHT(M$1,2))</f>
        <v>0</v>
      </c>
      <c r="N115" s="2">
        <f>SUMIFS(VI_Debitos!$V:$V,VI_Debitos!$H:$H,$C115,VI_Debitos!$T:$T,$D115,VI_Debitos!$R:$R,LEFT(PAGADO!N$1,4),VI_Debitos!$Q:$Q,RIGHT(N$1,2))</f>
        <v>0</v>
      </c>
      <c r="O115" s="2">
        <f>SUMIFS(VI_Debitos!$V:$V,VI_Debitos!$H:$H,$C115,VI_Debitos!$T:$T,$D115,VI_Debitos!$R:$R,LEFT(PAGADO!O$1,4),VI_Debitos!$Q:$Q,RIGHT(O$1,2))</f>
        <v>0</v>
      </c>
      <c r="P115" s="2">
        <f>SUMIFS(VI_Debitos!$V:$V,VI_Debitos!$H:$H,$C115,VI_Debitos!$T:$T,$D115,VI_Debitos!$R:$R,LEFT(PAGADO!P$1,4),VI_Debitos!$Q:$Q,RIGHT(P$1,2))</f>
        <v>0</v>
      </c>
      <c r="Q115" s="2">
        <f>SUMIFS(VI_Debitos!$V:$V,VI_Debitos!$H:$H,$C115,VI_Debitos!$T:$T,$D115,VI_Debitos!$R:$R,LEFT(PAGADO!Q$1,4),VI_Debitos!$Q:$Q,RIGHT(Q$1,2))</f>
        <v>0</v>
      </c>
      <c r="R115" s="2">
        <f t="shared" si="1"/>
        <v>0</v>
      </c>
    </row>
    <row r="116" spans="6:18">
      <c r="F116" s="2">
        <f>SUMIFS(VI_Debitos!$V:$V,VI_Debitos!$H:$H,$C116,VI_Debitos!$T:$T,$D116,VI_Debitos!$R:$R,LEFT(PAGADO!F$1,4),VI_Debitos!$Q:$Q,RIGHT(F$1,2))</f>
        <v>0</v>
      </c>
      <c r="G116" s="2">
        <f>SUMIFS(VI_Debitos!$V:$V,VI_Debitos!$H:$H,$C116,VI_Debitos!$T:$T,$D116,VI_Debitos!$R:$R,LEFT(PAGADO!G$1,4),VI_Debitos!$Q:$Q,RIGHT(G$1,2))</f>
        <v>0</v>
      </c>
      <c r="H116" s="2">
        <f>SUMIFS(VI_Debitos!$V:$V,VI_Debitos!$H:$H,$C116,VI_Debitos!$T:$T,$D116,VI_Debitos!$R:$R,LEFT(PAGADO!H$1,4),VI_Debitos!$Q:$Q,RIGHT(H$1,2))</f>
        <v>0</v>
      </c>
      <c r="I116" s="2">
        <f>SUMIFS(VI_Debitos!$V:$V,VI_Debitos!$H:$H,$C116,VI_Debitos!$T:$T,$D116,VI_Debitos!$R:$R,LEFT(PAGADO!I$1,4),VI_Debitos!$Q:$Q,RIGHT(I$1,2))</f>
        <v>0</v>
      </c>
      <c r="J116" s="2">
        <f>SUMIFS(VI_Debitos!$V:$V,VI_Debitos!$H:$H,$C116,VI_Debitos!$T:$T,$D116,VI_Debitos!$R:$R,LEFT(PAGADO!J$1,4),VI_Debitos!$Q:$Q,RIGHT(J$1,2))</f>
        <v>0</v>
      </c>
      <c r="K116" s="2">
        <f>SUMIFS(VI_Debitos!$V:$V,VI_Debitos!$H:$H,$C116,VI_Debitos!$T:$T,$D116,VI_Debitos!$R:$R,LEFT(PAGADO!K$1,4),VI_Debitos!$Q:$Q,RIGHT(K$1,2))</f>
        <v>0</v>
      </c>
      <c r="L116" s="2">
        <f>SUMIFS(VI_Debitos!$V:$V,VI_Debitos!$H:$H,$C116,VI_Debitos!$T:$T,$D116,VI_Debitos!$R:$R,LEFT(PAGADO!L$1,4),VI_Debitos!$Q:$Q,RIGHT(L$1,2))</f>
        <v>0</v>
      </c>
      <c r="M116" s="2">
        <f>SUMIFS(VI_Debitos!$V:$V,VI_Debitos!$H:$H,$C116,VI_Debitos!$T:$T,$D116,VI_Debitos!$R:$R,LEFT(PAGADO!M$1,4),VI_Debitos!$Q:$Q,RIGHT(M$1,2))</f>
        <v>0</v>
      </c>
      <c r="N116" s="2">
        <f>SUMIFS(VI_Debitos!$V:$V,VI_Debitos!$H:$H,$C116,VI_Debitos!$T:$T,$D116,VI_Debitos!$R:$R,LEFT(PAGADO!N$1,4),VI_Debitos!$Q:$Q,RIGHT(N$1,2))</f>
        <v>0</v>
      </c>
      <c r="O116" s="2">
        <f>SUMIFS(VI_Debitos!$V:$V,VI_Debitos!$H:$H,$C116,VI_Debitos!$T:$T,$D116,VI_Debitos!$R:$R,LEFT(PAGADO!O$1,4),VI_Debitos!$Q:$Q,RIGHT(O$1,2))</f>
        <v>0</v>
      </c>
      <c r="P116" s="2">
        <f>SUMIFS(VI_Debitos!$V:$V,VI_Debitos!$H:$H,$C116,VI_Debitos!$T:$T,$D116,VI_Debitos!$R:$R,LEFT(PAGADO!P$1,4),VI_Debitos!$Q:$Q,RIGHT(P$1,2))</f>
        <v>0</v>
      </c>
      <c r="Q116" s="2">
        <f>SUMIFS(VI_Debitos!$V:$V,VI_Debitos!$H:$H,$C116,VI_Debitos!$T:$T,$D116,VI_Debitos!$R:$R,LEFT(PAGADO!Q$1,4),VI_Debitos!$Q:$Q,RIGHT(Q$1,2))</f>
        <v>0</v>
      </c>
      <c r="R116" s="2">
        <f t="shared" si="1"/>
        <v>0</v>
      </c>
    </row>
    <row r="117" spans="6:18">
      <c r="F117" s="2">
        <f>SUMIFS(VI_Debitos!$V:$V,VI_Debitos!$H:$H,$C117,VI_Debitos!$T:$T,$D117,VI_Debitos!$R:$R,LEFT(PAGADO!F$1,4),VI_Debitos!$Q:$Q,RIGHT(F$1,2))</f>
        <v>0</v>
      </c>
      <c r="G117" s="2">
        <f>SUMIFS(VI_Debitos!$V:$V,VI_Debitos!$H:$H,$C117,VI_Debitos!$T:$T,$D117,VI_Debitos!$R:$R,LEFT(PAGADO!G$1,4),VI_Debitos!$Q:$Q,RIGHT(G$1,2))</f>
        <v>0</v>
      </c>
      <c r="H117" s="2">
        <f>SUMIFS(VI_Debitos!$V:$V,VI_Debitos!$H:$H,$C117,VI_Debitos!$T:$T,$D117,VI_Debitos!$R:$R,LEFT(PAGADO!H$1,4),VI_Debitos!$Q:$Q,RIGHT(H$1,2))</f>
        <v>0</v>
      </c>
      <c r="I117" s="2">
        <f>SUMIFS(VI_Debitos!$V:$V,VI_Debitos!$H:$H,$C117,VI_Debitos!$T:$T,$D117,VI_Debitos!$R:$R,LEFT(PAGADO!I$1,4),VI_Debitos!$Q:$Q,RIGHT(I$1,2))</f>
        <v>0</v>
      </c>
      <c r="J117" s="2">
        <f>SUMIFS(VI_Debitos!$V:$V,VI_Debitos!$H:$H,$C117,VI_Debitos!$T:$T,$D117,VI_Debitos!$R:$R,LEFT(PAGADO!J$1,4),VI_Debitos!$Q:$Q,RIGHT(J$1,2))</f>
        <v>0</v>
      </c>
      <c r="K117" s="2">
        <f>SUMIFS(VI_Debitos!$V:$V,VI_Debitos!$H:$H,$C117,VI_Debitos!$T:$T,$D117,VI_Debitos!$R:$R,LEFT(PAGADO!K$1,4),VI_Debitos!$Q:$Q,RIGHT(K$1,2))</f>
        <v>0</v>
      </c>
      <c r="L117" s="2">
        <f>SUMIFS(VI_Debitos!$V:$V,VI_Debitos!$H:$H,$C117,VI_Debitos!$T:$T,$D117,VI_Debitos!$R:$R,LEFT(PAGADO!L$1,4),VI_Debitos!$Q:$Q,RIGHT(L$1,2))</f>
        <v>0</v>
      </c>
      <c r="M117" s="2">
        <f>SUMIFS(VI_Debitos!$V:$V,VI_Debitos!$H:$H,$C117,VI_Debitos!$T:$T,$D117,VI_Debitos!$R:$R,LEFT(PAGADO!M$1,4),VI_Debitos!$Q:$Q,RIGHT(M$1,2))</f>
        <v>0</v>
      </c>
      <c r="N117" s="2">
        <f>SUMIFS(VI_Debitos!$V:$V,VI_Debitos!$H:$H,$C117,VI_Debitos!$T:$T,$D117,VI_Debitos!$R:$R,LEFT(PAGADO!N$1,4),VI_Debitos!$Q:$Q,RIGHT(N$1,2))</f>
        <v>0</v>
      </c>
      <c r="O117" s="2">
        <f>SUMIFS(VI_Debitos!$V:$V,VI_Debitos!$H:$H,$C117,VI_Debitos!$T:$T,$D117,VI_Debitos!$R:$R,LEFT(PAGADO!O$1,4),VI_Debitos!$Q:$Q,RIGHT(O$1,2))</f>
        <v>0</v>
      </c>
      <c r="P117" s="2">
        <f>SUMIFS(VI_Debitos!$V:$V,VI_Debitos!$H:$H,$C117,VI_Debitos!$T:$T,$D117,VI_Debitos!$R:$R,LEFT(PAGADO!P$1,4),VI_Debitos!$Q:$Q,RIGHT(P$1,2))</f>
        <v>0</v>
      </c>
      <c r="Q117" s="2">
        <f>SUMIFS(VI_Debitos!$V:$V,VI_Debitos!$H:$H,$C117,VI_Debitos!$T:$T,$D117,VI_Debitos!$R:$R,LEFT(PAGADO!Q$1,4),VI_Debitos!$Q:$Q,RIGHT(Q$1,2))</f>
        <v>0</v>
      </c>
      <c r="R117" s="2">
        <f t="shared" si="1"/>
        <v>0</v>
      </c>
    </row>
    <row r="118" spans="6:18">
      <c r="F118" s="2">
        <f>SUMIFS(VI_Debitos!$V:$V,VI_Debitos!$H:$H,$C118,VI_Debitos!$T:$T,$D118,VI_Debitos!$R:$R,LEFT(PAGADO!F$1,4),VI_Debitos!$Q:$Q,RIGHT(F$1,2))</f>
        <v>0</v>
      </c>
      <c r="G118" s="2">
        <f>SUMIFS(VI_Debitos!$V:$V,VI_Debitos!$H:$H,$C118,VI_Debitos!$T:$T,$D118,VI_Debitos!$R:$R,LEFT(PAGADO!G$1,4),VI_Debitos!$Q:$Q,RIGHT(G$1,2))</f>
        <v>0</v>
      </c>
      <c r="H118" s="2">
        <f>SUMIFS(VI_Debitos!$V:$V,VI_Debitos!$H:$H,$C118,VI_Debitos!$T:$T,$D118,VI_Debitos!$R:$R,LEFT(PAGADO!H$1,4),VI_Debitos!$Q:$Q,RIGHT(H$1,2))</f>
        <v>0</v>
      </c>
      <c r="I118" s="2">
        <f>SUMIFS(VI_Debitos!$V:$V,VI_Debitos!$H:$H,$C118,VI_Debitos!$T:$T,$D118,VI_Debitos!$R:$R,LEFT(PAGADO!I$1,4),VI_Debitos!$Q:$Q,RIGHT(I$1,2))</f>
        <v>0</v>
      </c>
      <c r="J118" s="2">
        <f>SUMIFS(VI_Debitos!$V:$V,VI_Debitos!$H:$H,$C118,VI_Debitos!$T:$T,$D118,VI_Debitos!$R:$R,LEFT(PAGADO!J$1,4),VI_Debitos!$Q:$Q,RIGHT(J$1,2))</f>
        <v>0</v>
      </c>
      <c r="K118" s="2">
        <f>SUMIFS(VI_Debitos!$V:$V,VI_Debitos!$H:$H,$C118,VI_Debitos!$T:$T,$D118,VI_Debitos!$R:$R,LEFT(PAGADO!K$1,4),VI_Debitos!$Q:$Q,RIGHT(K$1,2))</f>
        <v>0</v>
      </c>
      <c r="L118" s="2">
        <f>SUMIFS(VI_Debitos!$V:$V,VI_Debitos!$H:$H,$C118,VI_Debitos!$T:$T,$D118,VI_Debitos!$R:$R,LEFT(PAGADO!L$1,4),VI_Debitos!$Q:$Q,RIGHT(L$1,2))</f>
        <v>0</v>
      </c>
      <c r="M118" s="2">
        <f>SUMIFS(VI_Debitos!$V:$V,VI_Debitos!$H:$H,$C118,VI_Debitos!$T:$T,$D118,VI_Debitos!$R:$R,LEFT(PAGADO!M$1,4),VI_Debitos!$Q:$Q,RIGHT(M$1,2))</f>
        <v>0</v>
      </c>
      <c r="N118" s="2">
        <f>SUMIFS(VI_Debitos!$V:$V,VI_Debitos!$H:$H,$C118,VI_Debitos!$T:$T,$D118,VI_Debitos!$R:$R,LEFT(PAGADO!N$1,4),VI_Debitos!$Q:$Q,RIGHT(N$1,2))</f>
        <v>0</v>
      </c>
      <c r="O118" s="2">
        <f>SUMIFS(VI_Debitos!$V:$V,VI_Debitos!$H:$H,$C118,VI_Debitos!$T:$T,$D118,VI_Debitos!$R:$R,LEFT(PAGADO!O$1,4),VI_Debitos!$Q:$Q,RIGHT(O$1,2))</f>
        <v>0</v>
      </c>
      <c r="P118" s="2">
        <f>SUMIFS(VI_Debitos!$V:$V,VI_Debitos!$H:$H,$C118,VI_Debitos!$T:$T,$D118,VI_Debitos!$R:$R,LEFT(PAGADO!P$1,4),VI_Debitos!$Q:$Q,RIGHT(P$1,2))</f>
        <v>0</v>
      </c>
      <c r="Q118" s="2">
        <f>SUMIFS(VI_Debitos!$V:$V,VI_Debitos!$H:$H,$C118,VI_Debitos!$T:$T,$D118,VI_Debitos!$R:$R,LEFT(PAGADO!Q$1,4),VI_Debitos!$Q:$Q,RIGHT(Q$1,2))</f>
        <v>0</v>
      </c>
      <c r="R118" s="2">
        <f t="shared" si="1"/>
        <v>0</v>
      </c>
    </row>
    <row r="119" spans="6:18">
      <c r="F119" s="2">
        <f>SUMIFS(VI_Debitos!$V:$V,VI_Debitos!$H:$H,$C119,VI_Debitos!$T:$T,$D119,VI_Debitos!$R:$R,LEFT(PAGADO!F$1,4),VI_Debitos!$Q:$Q,RIGHT(F$1,2))</f>
        <v>0</v>
      </c>
      <c r="G119" s="2">
        <f>SUMIFS(VI_Debitos!$V:$V,VI_Debitos!$H:$H,$C119,VI_Debitos!$T:$T,$D119,VI_Debitos!$R:$R,LEFT(PAGADO!G$1,4),VI_Debitos!$Q:$Q,RIGHT(G$1,2))</f>
        <v>0</v>
      </c>
      <c r="H119" s="2">
        <f>SUMIFS(VI_Debitos!$V:$V,VI_Debitos!$H:$H,$C119,VI_Debitos!$T:$T,$D119,VI_Debitos!$R:$R,LEFT(PAGADO!H$1,4),VI_Debitos!$Q:$Q,RIGHT(H$1,2))</f>
        <v>0</v>
      </c>
      <c r="I119" s="2">
        <f>SUMIFS(VI_Debitos!$V:$V,VI_Debitos!$H:$H,$C119,VI_Debitos!$T:$T,$D119,VI_Debitos!$R:$R,LEFT(PAGADO!I$1,4),VI_Debitos!$Q:$Q,RIGHT(I$1,2))</f>
        <v>0</v>
      </c>
      <c r="J119" s="2">
        <f>SUMIFS(VI_Debitos!$V:$V,VI_Debitos!$H:$H,$C119,VI_Debitos!$T:$T,$D119,VI_Debitos!$R:$R,LEFT(PAGADO!J$1,4),VI_Debitos!$Q:$Q,RIGHT(J$1,2))</f>
        <v>0</v>
      </c>
      <c r="K119" s="2">
        <f>SUMIFS(VI_Debitos!$V:$V,VI_Debitos!$H:$H,$C119,VI_Debitos!$T:$T,$D119,VI_Debitos!$R:$R,LEFT(PAGADO!K$1,4),VI_Debitos!$Q:$Q,RIGHT(K$1,2))</f>
        <v>0</v>
      </c>
      <c r="L119" s="2">
        <f>SUMIFS(VI_Debitos!$V:$V,VI_Debitos!$H:$H,$C119,VI_Debitos!$T:$T,$D119,VI_Debitos!$R:$R,LEFT(PAGADO!L$1,4),VI_Debitos!$Q:$Q,RIGHT(L$1,2))</f>
        <v>0</v>
      </c>
      <c r="M119" s="2">
        <f>SUMIFS(VI_Debitos!$V:$V,VI_Debitos!$H:$H,$C119,VI_Debitos!$T:$T,$D119,VI_Debitos!$R:$R,LEFT(PAGADO!M$1,4),VI_Debitos!$Q:$Q,RIGHT(M$1,2))</f>
        <v>0</v>
      </c>
      <c r="N119" s="2">
        <f>SUMIFS(VI_Debitos!$V:$V,VI_Debitos!$H:$H,$C119,VI_Debitos!$T:$T,$D119,VI_Debitos!$R:$R,LEFT(PAGADO!N$1,4),VI_Debitos!$Q:$Q,RIGHT(N$1,2))</f>
        <v>0</v>
      </c>
      <c r="O119" s="2">
        <f>SUMIFS(VI_Debitos!$V:$V,VI_Debitos!$H:$H,$C119,VI_Debitos!$T:$T,$D119,VI_Debitos!$R:$R,LEFT(PAGADO!O$1,4),VI_Debitos!$Q:$Q,RIGHT(O$1,2))</f>
        <v>0</v>
      </c>
      <c r="P119" s="2">
        <f>SUMIFS(VI_Debitos!$V:$V,VI_Debitos!$H:$H,$C119,VI_Debitos!$T:$T,$D119,VI_Debitos!$R:$R,LEFT(PAGADO!P$1,4),VI_Debitos!$Q:$Q,RIGHT(P$1,2))</f>
        <v>0</v>
      </c>
      <c r="Q119" s="2">
        <f>SUMIFS(VI_Debitos!$V:$V,VI_Debitos!$H:$H,$C119,VI_Debitos!$T:$T,$D119,VI_Debitos!$R:$R,LEFT(PAGADO!Q$1,4),VI_Debitos!$Q:$Q,RIGHT(Q$1,2))</f>
        <v>0</v>
      </c>
      <c r="R119" s="2">
        <f t="shared" si="1"/>
        <v>0</v>
      </c>
    </row>
    <row r="120" spans="6:18">
      <c r="F120" s="2">
        <f>SUMIFS(VI_Debitos!$V:$V,VI_Debitos!$H:$H,$C120,VI_Debitos!$T:$T,$D120,VI_Debitos!$R:$R,LEFT(PAGADO!F$1,4),VI_Debitos!$Q:$Q,RIGHT(F$1,2))</f>
        <v>0</v>
      </c>
      <c r="G120" s="2">
        <f>SUMIFS(VI_Debitos!$V:$V,VI_Debitos!$H:$H,$C120,VI_Debitos!$T:$T,$D120,VI_Debitos!$R:$R,LEFT(PAGADO!G$1,4),VI_Debitos!$Q:$Q,RIGHT(G$1,2))</f>
        <v>0</v>
      </c>
      <c r="H120" s="2">
        <f>SUMIFS(VI_Debitos!$V:$V,VI_Debitos!$H:$H,$C120,VI_Debitos!$T:$T,$D120,VI_Debitos!$R:$R,LEFT(PAGADO!H$1,4),VI_Debitos!$Q:$Q,RIGHT(H$1,2))</f>
        <v>0</v>
      </c>
      <c r="I120" s="2">
        <f>SUMIFS(VI_Debitos!$V:$V,VI_Debitos!$H:$H,$C120,VI_Debitos!$T:$T,$D120,VI_Debitos!$R:$R,LEFT(PAGADO!I$1,4),VI_Debitos!$Q:$Q,RIGHT(I$1,2))</f>
        <v>0</v>
      </c>
      <c r="J120" s="2">
        <f>SUMIFS(VI_Debitos!$V:$V,VI_Debitos!$H:$H,$C120,VI_Debitos!$T:$T,$D120,VI_Debitos!$R:$R,LEFT(PAGADO!J$1,4),VI_Debitos!$Q:$Q,RIGHT(J$1,2))</f>
        <v>0</v>
      </c>
      <c r="K120" s="2">
        <f>SUMIFS(VI_Debitos!$V:$V,VI_Debitos!$H:$H,$C120,VI_Debitos!$T:$T,$D120,VI_Debitos!$R:$R,LEFT(PAGADO!K$1,4),VI_Debitos!$Q:$Q,RIGHT(K$1,2))</f>
        <v>0</v>
      </c>
      <c r="L120" s="2">
        <f>SUMIFS(VI_Debitos!$V:$V,VI_Debitos!$H:$H,$C120,VI_Debitos!$T:$T,$D120,VI_Debitos!$R:$R,LEFT(PAGADO!L$1,4),VI_Debitos!$Q:$Q,RIGHT(L$1,2))</f>
        <v>0</v>
      </c>
      <c r="M120" s="2">
        <f>SUMIFS(VI_Debitos!$V:$V,VI_Debitos!$H:$H,$C120,VI_Debitos!$T:$T,$D120,VI_Debitos!$R:$R,LEFT(PAGADO!M$1,4),VI_Debitos!$Q:$Q,RIGHT(M$1,2))</f>
        <v>0</v>
      </c>
      <c r="N120" s="2">
        <f>SUMIFS(VI_Debitos!$V:$V,VI_Debitos!$H:$H,$C120,VI_Debitos!$T:$T,$D120,VI_Debitos!$R:$R,LEFT(PAGADO!N$1,4),VI_Debitos!$Q:$Q,RIGHT(N$1,2))</f>
        <v>0</v>
      </c>
      <c r="O120" s="2">
        <f>SUMIFS(VI_Debitos!$V:$V,VI_Debitos!$H:$H,$C120,VI_Debitos!$T:$T,$D120,VI_Debitos!$R:$R,LEFT(PAGADO!O$1,4),VI_Debitos!$Q:$Q,RIGHT(O$1,2))</f>
        <v>0</v>
      </c>
      <c r="P120" s="2">
        <f>SUMIFS(VI_Debitos!$V:$V,VI_Debitos!$H:$H,$C120,VI_Debitos!$T:$T,$D120,VI_Debitos!$R:$R,LEFT(PAGADO!P$1,4),VI_Debitos!$Q:$Q,RIGHT(P$1,2))</f>
        <v>0</v>
      </c>
      <c r="Q120" s="2">
        <f>SUMIFS(VI_Debitos!$V:$V,VI_Debitos!$H:$H,$C120,VI_Debitos!$T:$T,$D120,VI_Debitos!$R:$R,LEFT(PAGADO!Q$1,4),VI_Debitos!$Q:$Q,RIGHT(Q$1,2))</f>
        <v>0</v>
      </c>
      <c r="R120" s="2">
        <f t="shared" si="1"/>
        <v>0</v>
      </c>
    </row>
    <row r="121" spans="6:18">
      <c r="F121" s="2">
        <f>SUMIFS(VI_Debitos!$V:$V,VI_Debitos!$H:$H,$C121,VI_Debitos!$T:$T,$D121,VI_Debitos!$R:$R,LEFT(PAGADO!F$1,4),VI_Debitos!$Q:$Q,RIGHT(F$1,2))</f>
        <v>0</v>
      </c>
      <c r="G121" s="2">
        <f>SUMIFS(VI_Debitos!$V:$V,VI_Debitos!$H:$H,$C121,VI_Debitos!$T:$T,$D121,VI_Debitos!$R:$R,LEFT(PAGADO!G$1,4),VI_Debitos!$Q:$Q,RIGHT(G$1,2))</f>
        <v>0</v>
      </c>
      <c r="H121" s="2">
        <f>SUMIFS(VI_Debitos!$V:$V,VI_Debitos!$H:$H,$C121,VI_Debitos!$T:$T,$D121,VI_Debitos!$R:$R,LEFT(PAGADO!H$1,4),VI_Debitos!$Q:$Q,RIGHT(H$1,2))</f>
        <v>0</v>
      </c>
      <c r="I121" s="2">
        <f>SUMIFS(VI_Debitos!$V:$V,VI_Debitos!$H:$H,$C121,VI_Debitos!$T:$T,$D121,VI_Debitos!$R:$R,LEFT(PAGADO!I$1,4),VI_Debitos!$Q:$Q,RIGHT(I$1,2))</f>
        <v>0</v>
      </c>
      <c r="J121" s="2">
        <f>SUMIFS(VI_Debitos!$V:$V,VI_Debitos!$H:$H,$C121,VI_Debitos!$T:$T,$D121,VI_Debitos!$R:$R,LEFT(PAGADO!J$1,4),VI_Debitos!$Q:$Q,RIGHT(J$1,2))</f>
        <v>0</v>
      </c>
      <c r="K121" s="2">
        <f>SUMIFS(VI_Debitos!$V:$V,VI_Debitos!$H:$H,$C121,VI_Debitos!$T:$T,$D121,VI_Debitos!$R:$R,LEFT(PAGADO!K$1,4),VI_Debitos!$Q:$Q,RIGHT(K$1,2))</f>
        <v>0</v>
      </c>
      <c r="L121" s="2">
        <f>SUMIFS(VI_Debitos!$V:$V,VI_Debitos!$H:$H,$C121,VI_Debitos!$T:$T,$D121,VI_Debitos!$R:$R,LEFT(PAGADO!L$1,4),VI_Debitos!$Q:$Q,RIGHT(L$1,2))</f>
        <v>0</v>
      </c>
      <c r="M121" s="2">
        <f>SUMIFS(VI_Debitos!$V:$V,VI_Debitos!$H:$H,$C121,VI_Debitos!$T:$T,$D121,VI_Debitos!$R:$R,LEFT(PAGADO!M$1,4),VI_Debitos!$Q:$Q,RIGHT(M$1,2))</f>
        <v>0</v>
      </c>
      <c r="N121" s="2">
        <f>SUMIFS(VI_Debitos!$V:$V,VI_Debitos!$H:$H,$C121,VI_Debitos!$T:$T,$D121,VI_Debitos!$R:$R,LEFT(PAGADO!N$1,4),VI_Debitos!$Q:$Q,RIGHT(N$1,2))</f>
        <v>0</v>
      </c>
      <c r="O121" s="2">
        <f>SUMIFS(VI_Debitos!$V:$V,VI_Debitos!$H:$H,$C121,VI_Debitos!$T:$T,$D121,VI_Debitos!$R:$R,LEFT(PAGADO!O$1,4),VI_Debitos!$Q:$Q,RIGHT(O$1,2))</f>
        <v>0</v>
      </c>
      <c r="P121" s="2">
        <f>SUMIFS(VI_Debitos!$V:$V,VI_Debitos!$H:$H,$C121,VI_Debitos!$T:$T,$D121,VI_Debitos!$R:$R,LEFT(PAGADO!P$1,4),VI_Debitos!$Q:$Q,RIGHT(P$1,2))</f>
        <v>0</v>
      </c>
      <c r="Q121" s="2">
        <f>SUMIFS(VI_Debitos!$V:$V,VI_Debitos!$H:$H,$C121,VI_Debitos!$T:$T,$D121,VI_Debitos!$R:$R,LEFT(PAGADO!Q$1,4),VI_Debitos!$Q:$Q,RIGHT(Q$1,2))</f>
        <v>0</v>
      </c>
      <c r="R121" s="2">
        <f t="shared" si="1"/>
        <v>0</v>
      </c>
    </row>
    <row r="122" spans="6:18">
      <c r="F122" s="2">
        <f>SUMIFS(VI_Debitos!$V:$V,VI_Debitos!$H:$H,$C122,VI_Debitos!$T:$T,$D122,VI_Debitos!$R:$R,LEFT(PAGADO!F$1,4),VI_Debitos!$Q:$Q,RIGHT(F$1,2))</f>
        <v>0</v>
      </c>
      <c r="G122" s="2">
        <f>SUMIFS(VI_Debitos!$V:$V,VI_Debitos!$H:$H,$C122,VI_Debitos!$T:$T,$D122,VI_Debitos!$R:$R,LEFT(PAGADO!G$1,4),VI_Debitos!$Q:$Q,RIGHT(G$1,2))</f>
        <v>0</v>
      </c>
      <c r="H122" s="2">
        <f>SUMIFS(VI_Debitos!$V:$V,VI_Debitos!$H:$H,$C122,VI_Debitos!$T:$T,$D122,VI_Debitos!$R:$R,LEFT(PAGADO!H$1,4),VI_Debitos!$Q:$Q,RIGHT(H$1,2))</f>
        <v>0</v>
      </c>
      <c r="I122" s="2">
        <f>SUMIFS(VI_Debitos!$V:$V,VI_Debitos!$H:$H,$C122,VI_Debitos!$T:$T,$D122,VI_Debitos!$R:$R,LEFT(PAGADO!I$1,4),VI_Debitos!$Q:$Q,RIGHT(I$1,2))</f>
        <v>0</v>
      </c>
      <c r="J122" s="2">
        <f>SUMIFS(VI_Debitos!$V:$V,VI_Debitos!$H:$H,$C122,VI_Debitos!$T:$T,$D122,VI_Debitos!$R:$R,LEFT(PAGADO!J$1,4),VI_Debitos!$Q:$Q,RIGHT(J$1,2))</f>
        <v>0</v>
      </c>
      <c r="K122" s="2">
        <f>SUMIFS(VI_Debitos!$V:$V,VI_Debitos!$H:$H,$C122,VI_Debitos!$T:$T,$D122,VI_Debitos!$R:$R,LEFT(PAGADO!K$1,4),VI_Debitos!$Q:$Q,RIGHT(K$1,2))</f>
        <v>0</v>
      </c>
      <c r="L122" s="2">
        <f>SUMIFS(VI_Debitos!$V:$V,VI_Debitos!$H:$H,$C122,VI_Debitos!$T:$T,$D122,VI_Debitos!$R:$R,LEFT(PAGADO!L$1,4),VI_Debitos!$Q:$Q,RIGHT(L$1,2))</f>
        <v>0</v>
      </c>
      <c r="M122" s="2">
        <f>SUMIFS(VI_Debitos!$V:$V,VI_Debitos!$H:$H,$C122,VI_Debitos!$T:$T,$D122,VI_Debitos!$R:$R,LEFT(PAGADO!M$1,4),VI_Debitos!$Q:$Q,RIGHT(M$1,2))</f>
        <v>0</v>
      </c>
      <c r="N122" s="2">
        <f>SUMIFS(VI_Debitos!$V:$V,VI_Debitos!$H:$H,$C122,VI_Debitos!$T:$T,$D122,VI_Debitos!$R:$R,LEFT(PAGADO!N$1,4),VI_Debitos!$Q:$Q,RIGHT(N$1,2))</f>
        <v>0</v>
      </c>
      <c r="O122" s="2">
        <f>SUMIFS(VI_Debitos!$V:$V,VI_Debitos!$H:$H,$C122,VI_Debitos!$T:$T,$D122,VI_Debitos!$R:$R,LEFT(PAGADO!O$1,4),VI_Debitos!$Q:$Q,RIGHT(O$1,2))</f>
        <v>0</v>
      </c>
      <c r="P122" s="2">
        <f>SUMIFS(VI_Debitos!$V:$V,VI_Debitos!$H:$H,$C122,VI_Debitos!$T:$T,$D122,VI_Debitos!$R:$R,LEFT(PAGADO!P$1,4),VI_Debitos!$Q:$Q,RIGHT(P$1,2))</f>
        <v>0</v>
      </c>
      <c r="Q122" s="2">
        <f>SUMIFS(VI_Debitos!$V:$V,VI_Debitos!$H:$H,$C122,VI_Debitos!$T:$T,$D122,VI_Debitos!$R:$R,LEFT(PAGADO!Q$1,4),VI_Debitos!$Q:$Q,RIGHT(Q$1,2))</f>
        <v>0</v>
      </c>
      <c r="R122" s="2">
        <f t="shared" si="1"/>
        <v>0</v>
      </c>
    </row>
    <row r="123" spans="6:18">
      <c r="F123" s="2">
        <f>SUMIFS(VI_Debitos!$V:$V,VI_Debitos!$H:$H,$C123,VI_Debitos!$T:$T,$D123,VI_Debitos!$R:$R,LEFT(PAGADO!F$1,4),VI_Debitos!$Q:$Q,RIGHT(F$1,2))</f>
        <v>0</v>
      </c>
      <c r="G123" s="2">
        <f>SUMIFS(VI_Debitos!$V:$V,VI_Debitos!$H:$H,$C123,VI_Debitos!$T:$T,$D123,VI_Debitos!$R:$R,LEFT(PAGADO!G$1,4),VI_Debitos!$Q:$Q,RIGHT(G$1,2))</f>
        <v>0</v>
      </c>
      <c r="H123" s="2">
        <f>SUMIFS(VI_Debitos!$V:$V,VI_Debitos!$H:$H,$C123,VI_Debitos!$T:$T,$D123,VI_Debitos!$R:$R,LEFT(PAGADO!H$1,4),VI_Debitos!$Q:$Q,RIGHT(H$1,2))</f>
        <v>0</v>
      </c>
      <c r="I123" s="2">
        <f>SUMIFS(VI_Debitos!$V:$V,VI_Debitos!$H:$H,$C123,VI_Debitos!$T:$T,$D123,VI_Debitos!$R:$R,LEFT(PAGADO!I$1,4),VI_Debitos!$Q:$Q,RIGHT(I$1,2))</f>
        <v>0</v>
      </c>
      <c r="J123" s="2">
        <f>SUMIFS(VI_Debitos!$V:$V,VI_Debitos!$H:$H,$C123,VI_Debitos!$T:$T,$D123,VI_Debitos!$R:$R,LEFT(PAGADO!J$1,4),VI_Debitos!$Q:$Q,RIGHT(J$1,2))</f>
        <v>0</v>
      </c>
      <c r="K123" s="2">
        <f>SUMIFS(VI_Debitos!$V:$V,VI_Debitos!$H:$H,$C123,VI_Debitos!$T:$T,$D123,VI_Debitos!$R:$R,LEFT(PAGADO!K$1,4),VI_Debitos!$Q:$Q,RIGHT(K$1,2))</f>
        <v>0</v>
      </c>
      <c r="L123" s="2">
        <f>SUMIFS(VI_Debitos!$V:$V,VI_Debitos!$H:$H,$C123,VI_Debitos!$T:$T,$D123,VI_Debitos!$R:$R,LEFT(PAGADO!L$1,4),VI_Debitos!$Q:$Q,RIGHT(L$1,2))</f>
        <v>0</v>
      </c>
      <c r="M123" s="2">
        <f>SUMIFS(VI_Debitos!$V:$V,VI_Debitos!$H:$H,$C123,VI_Debitos!$T:$T,$D123,VI_Debitos!$R:$R,LEFT(PAGADO!M$1,4),VI_Debitos!$Q:$Q,RIGHT(M$1,2))</f>
        <v>0</v>
      </c>
      <c r="N123" s="2">
        <f>SUMIFS(VI_Debitos!$V:$V,VI_Debitos!$H:$H,$C123,VI_Debitos!$T:$T,$D123,VI_Debitos!$R:$R,LEFT(PAGADO!N$1,4),VI_Debitos!$Q:$Q,RIGHT(N$1,2))</f>
        <v>0</v>
      </c>
      <c r="O123" s="2">
        <f>SUMIFS(VI_Debitos!$V:$V,VI_Debitos!$H:$H,$C123,VI_Debitos!$T:$T,$D123,VI_Debitos!$R:$R,LEFT(PAGADO!O$1,4),VI_Debitos!$Q:$Q,RIGHT(O$1,2))</f>
        <v>0</v>
      </c>
      <c r="P123" s="2">
        <f>SUMIFS(VI_Debitos!$V:$V,VI_Debitos!$H:$H,$C123,VI_Debitos!$T:$T,$D123,VI_Debitos!$R:$R,LEFT(PAGADO!P$1,4),VI_Debitos!$Q:$Q,RIGHT(P$1,2))</f>
        <v>0</v>
      </c>
      <c r="Q123" s="2">
        <f>SUMIFS(VI_Debitos!$V:$V,VI_Debitos!$H:$H,$C123,VI_Debitos!$T:$T,$D123,VI_Debitos!$R:$R,LEFT(PAGADO!Q$1,4),VI_Debitos!$Q:$Q,RIGHT(Q$1,2))</f>
        <v>0</v>
      </c>
      <c r="R123" s="2">
        <f t="shared" si="1"/>
        <v>0</v>
      </c>
    </row>
    <row r="124" spans="6:18">
      <c r="F124" s="2">
        <f>SUMIFS(VI_Debitos!$V:$V,VI_Debitos!$H:$H,$C124,VI_Debitos!$T:$T,$D124,VI_Debitos!$R:$R,LEFT(PAGADO!F$1,4),VI_Debitos!$Q:$Q,RIGHT(F$1,2))</f>
        <v>0</v>
      </c>
      <c r="G124" s="2">
        <f>SUMIFS(VI_Debitos!$V:$V,VI_Debitos!$H:$H,$C124,VI_Debitos!$T:$T,$D124,VI_Debitos!$R:$R,LEFT(PAGADO!G$1,4),VI_Debitos!$Q:$Q,RIGHT(G$1,2))</f>
        <v>0</v>
      </c>
      <c r="H124" s="2">
        <f>SUMIFS(VI_Debitos!$V:$V,VI_Debitos!$H:$H,$C124,VI_Debitos!$T:$T,$D124,VI_Debitos!$R:$R,LEFT(PAGADO!H$1,4),VI_Debitos!$Q:$Q,RIGHT(H$1,2))</f>
        <v>0</v>
      </c>
      <c r="I124" s="2">
        <f>SUMIFS(VI_Debitos!$V:$V,VI_Debitos!$H:$H,$C124,VI_Debitos!$T:$T,$D124,VI_Debitos!$R:$R,LEFT(PAGADO!I$1,4),VI_Debitos!$Q:$Q,RIGHT(I$1,2))</f>
        <v>0</v>
      </c>
      <c r="J124" s="2">
        <f>SUMIFS(VI_Debitos!$V:$V,VI_Debitos!$H:$H,$C124,VI_Debitos!$T:$T,$D124,VI_Debitos!$R:$R,LEFT(PAGADO!J$1,4),VI_Debitos!$Q:$Q,RIGHT(J$1,2))</f>
        <v>0</v>
      </c>
      <c r="K124" s="2">
        <f>SUMIFS(VI_Debitos!$V:$V,VI_Debitos!$H:$H,$C124,VI_Debitos!$T:$T,$D124,VI_Debitos!$R:$R,LEFT(PAGADO!K$1,4),VI_Debitos!$Q:$Q,RIGHT(K$1,2))</f>
        <v>0</v>
      </c>
      <c r="L124" s="2">
        <f>SUMIFS(VI_Debitos!$V:$V,VI_Debitos!$H:$H,$C124,VI_Debitos!$T:$T,$D124,VI_Debitos!$R:$R,LEFT(PAGADO!L$1,4),VI_Debitos!$Q:$Q,RIGHT(L$1,2))</f>
        <v>0</v>
      </c>
      <c r="M124" s="2">
        <f>SUMIFS(VI_Debitos!$V:$V,VI_Debitos!$H:$H,$C124,VI_Debitos!$T:$T,$D124,VI_Debitos!$R:$R,LEFT(PAGADO!M$1,4),VI_Debitos!$Q:$Q,RIGHT(M$1,2))</f>
        <v>0</v>
      </c>
      <c r="N124" s="2">
        <f>SUMIFS(VI_Debitos!$V:$V,VI_Debitos!$H:$H,$C124,VI_Debitos!$T:$T,$D124,VI_Debitos!$R:$R,LEFT(PAGADO!N$1,4),VI_Debitos!$Q:$Q,RIGHT(N$1,2))</f>
        <v>0</v>
      </c>
      <c r="O124" s="2">
        <f>SUMIFS(VI_Debitos!$V:$V,VI_Debitos!$H:$H,$C124,VI_Debitos!$T:$T,$D124,VI_Debitos!$R:$R,LEFT(PAGADO!O$1,4),VI_Debitos!$Q:$Q,RIGHT(O$1,2))</f>
        <v>0</v>
      </c>
      <c r="P124" s="2">
        <f>SUMIFS(VI_Debitos!$V:$V,VI_Debitos!$H:$H,$C124,VI_Debitos!$T:$T,$D124,VI_Debitos!$R:$R,LEFT(PAGADO!P$1,4),VI_Debitos!$Q:$Q,RIGHT(P$1,2))</f>
        <v>0</v>
      </c>
      <c r="Q124" s="2">
        <f>SUMIFS(VI_Debitos!$V:$V,VI_Debitos!$H:$H,$C124,VI_Debitos!$T:$T,$D124,VI_Debitos!$R:$R,LEFT(PAGADO!Q$1,4),VI_Debitos!$Q:$Q,RIGHT(Q$1,2))</f>
        <v>0</v>
      </c>
      <c r="R124" s="2">
        <f t="shared" si="1"/>
        <v>0</v>
      </c>
    </row>
    <row r="125" spans="6:18">
      <c r="F125" s="2">
        <f>SUMIFS(VI_Debitos!$V:$V,VI_Debitos!$H:$H,$C125,VI_Debitos!$T:$T,$D125,VI_Debitos!$R:$R,LEFT(PAGADO!F$1,4),VI_Debitos!$Q:$Q,RIGHT(F$1,2))</f>
        <v>0</v>
      </c>
      <c r="G125" s="2">
        <f>SUMIFS(VI_Debitos!$V:$V,VI_Debitos!$H:$H,$C125,VI_Debitos!$T:$T,$D125,VI_Debitos!$R:$R,LEFT(PAGADO!G$1,4),VI_Debitos!$Q:$Q,RIGHT(G$1,2))</f>
        <v>0</v>
      </c>
      <c r="H125" s="2">
        <f>SUMIFS(VI_Debitos!$V:$V,VI_Debitos!$H:$H,$C125,VI_Debitos!$T:$T,$D125,VI_Debitos!$R:$R,LEFT(PAGADO!H$1,4),VI_Debitos!$Q:$Q,RIGHT(H$1,2))</f>
        <v>0</v>
      </c>
      <c r="I125" s="2">
        <f>SUMIFS(VI_Debitos!$V:$V,VI_Debitos!$H:$H,$C125,VI_Debitos!$T:$T,$D125,VI_Debitos!$R:$R,LEFT(PAGADO!I$1,4),VI_Debitos!$Q:$Q,RIGHT(I$1,2))</f>
        <v>0</v>
      </c>
      <c r="J125" s="2">
        <f>SUMIFS(VI_Debitos!$V:$V,VI_Debitos!$H:$H,$C125,VI_Debitos!$T:$T,$D125,VI_Debitos!$R:$R,LEFT(PAGADO!J$1,4),VI_Debitos!$Q:$Q,RIGHT(J$1,2))</f>
        <v>0</v>
      </c>
      <c r="K125" s="2">
        <f>SUMIFS(VI_Debitos!$V:$V,VI_Debitos!$H:$H,$C125,VI_Debitos!$T:$T,$D125,VI_Debitos!$R:$R,LEFT(PAGADO!K$1,4),VI_Debitos!$Q:$Q,RIGHT(K$1,2))</f>
        <v>0</v>
      </c>
      <c r="L125" s="2">
        <f>SUMIFS(VI_Debitos!$V:$V,VI_Debitos!$H:$H,$C125,VI_Debitos!$T:$T,$D125,VI_Debitos!$R:$R,LEFT(PAGADO!L$1,4),VI_Debitos!$Q:$Q,RIGHT(L$1,2))</f>
        <v>0</v>
      </c>
      <c r="M125" s="2">
        <f>SUMIFS(VI_Debitos!$V:$V,VI_Debitos!$H:$H,$C125,VI_Debitos!$T:$T,$D125,VI_Debitos!$R:$R,LEFT(PAGADO!M$1,4),VI_Debitos!$Q:$Q,RIGHT(M$1,2))</f>
        <v>0</v>
      </c>
      <c r="N125" s="2">
        <f>SUMIFS(VI_Debitos!$V:$V,VI_Debitos!$H:$H,$C125,VI_Debitos!$T:$T,$D125,VI_Debitos!$R:$R,LEFT(PAGADO!N$1,4),VI_Debitos!$Q:$Q,RIGHT(N$1,2))</f>
        <v>0</v>
      </c>
      <c r="O125" s="2">
        <f>SUMIFS(VI_Debitos!$V:$V,VI_Debitos!$H:$H,$C125,VI_Debitos!$T:$T,$D125,VI_Debitos!$R:$R,LEFT(PAGADO!O$1,4),VI_Debitos!$Q:$Q,RIGHT(O$1,2))</f>
        <v>0</v>
      </c>
      <c r="P125" s="2">
        <f>SUMIFS(VI_Debitos!$V:$V,VI_Debitos!$H:$H,$C125,VI_Debitos!$T:$T,$D125,VI_Debitos!$R:$R,LEFT(PAGADO!P$1,4),VI_Debitos!$Q:$Q,RIGHT(P$1,2))</f>
        <v>0</v>
      </c>
      <c r="Q125" s="2">
        <f>SUMIFS(VI_Debitos!$V:$V,VI_Debitos!$H:$H,$C125,VI_Debitos!$T:$T,$D125,VI_Debitos!$R:$R,LEFT(PAGADO!Q$1,4),VI_Debitos!$Q:$Q,RIGHT(Q$1,2))</f>
        <v>0</v>
      </c>
      <c r="R125" s="2">
        <f t="shared" si="1"/>
        <v>0</v>
      </c>
    </row>
    <row r="126" spans="6:18">
      <c r="F126" s="2">
        <f>SUMIFS(VI_Debitos!$V:$V,VI_Debitos!$H:$H,$C126,VI_Debitos!$T:$T,$D126,VI_Debitos!$R:$R,LEFT(PAGADO!F$1,4),VI_Debitos!$Q:$Q,RIGHT(F$1,2))</f>
        <v>0</v>
      </c>
      <c r="G126" s="2">
        <f>SUMIFS(VI_Debitos!$V:$V,VI_Debitos!$H:$H,$C126,VI_Debitos!$T:$T,$D126,VI_Debitos!$R:$R,LEFT(PAGADO!G$1,4),VI_Debitos!$Q:$Q,RIGHT(G$1,2))</f>
        <v>0</v>
      </c>
      <c r="H126" s="2">
        <f>SUMIFS(VI_Debitos!$V:$V,VI_Debitos!$H:$H,$C126,VI_Debitos!$T:$T,$D126,VI_Debitos!$R:$R,LEFT(PAGADO!H$1,4),VI_Debitos!$Q:$Q,RIGHT(H$1,2))</f>
        <v>0</v>
      </c>
      <c r="I126" s="2">
        <f>SUMIFS(VI_Debitos!$V:$V,VI_Debitos!$H:$H,$C126,VI_Debitos!$T:$T,$D126,VI_Debitos!$R:$R,LEFT(PAGADO!I$1,4),VI_Debitos!$Q:$Q,RIGHT(I$1,2))</f>
        <v>0</v>
      </c>
      <c r="J126" s="2">
        <f>SUMIFS(VI_Debitos!$V:$V,VI_Debitos!$H:$H,$C126,VI_Debitos!$T:$T,$D126,VI_Debitos!$R:$R,LEFT(PAGADO!J$1,4),VI_Debitos!$Q:$Q,RIGHT(J$1,2))</f>
        <v>0</v>
      </c>
      <c r="K126" s="2">
        <f>SUMIFS(VI_Debitos!$V:$V,VI_Debitos!$H:$H,$C126,VI_Debitos!$T:$T,$D126,VI_Debitos!$R:$R,LEFT(PAGADO!K$1,4),VI_Debitos!$Q:$Q,RIGHT(K$1,2))</f>
        <v>0</v>
      </c>
      <c r="L126" s="2">
        <f>SUMIFS(VI_Debitos!$V:$V,VI_Debitos!$H:$H,$C126,VI_Debitos!$T:$T,$D126,VI_Debitos!$R:$R,LEFT(PAGADO!L$1,4),VI_Debitos!$Q:$Q,RIGHT(L$1,2))</f>
        <v>0</v>
      </c>
      <c r="M126" s="2">
        <f>SUMIFS(VI_Debitos!$V:$V,VI_Debitos!$H:$H,$C126,VI_Debitos!$T:$T,$D126,VI_Debitos!$R:$R,LEFT(PAGADO!M$1,4),VI_Debitos!$Q:$Q,RIGHT(M$1,2))</f>
        <v>0</v>
      </c>
      <c r="N126" s="2">
        <f>SUMIFS(VI_Debitos!$V:$V,VI_Debitos!$H:$H,$C126,VI_Debitos!$T:$T,$D126,VI_Debitos!$R:$R,LEFT(PAGADO!N$1,4),VI_Debitos!$Q:$Q,RIGHT(N$1,2))</f>
        <v>0</v>
      </c>
      <c r="O126" s="2">
        <f>SUMIFS(VI_Debitos!$V:$V,VI_Debitos!$H:$H,$C126,VI_Debitos!$T:$T,$D126,VI_Debitos!$R:$R,LEFT(PAGADO!O$1,4),VI_Debitos!$Q:$Q,RIGHT(O$1,2))</f>
        <v>0</v>
      </c>
      <c r="P126" s="2">
        <f>SUMIFS(VI_Debitos!$V:$V,VI_Debitos!$H:$H,$C126,VI_Debitos!$T:$T,$D126,VI_Debitos!$R:$R,LEFT(PAGADO!P$1,4),VI_Debitos!$Q:$Q,RIGHT(P$1,2))</f>
        <v>0</v>
      </c>
      <c r="Q126" s="2">
        <f>SUMIFS(VI_Debitos!$V:$V,VI_Debitos!$H:$H,$C126,VI_Debitos!$T:$T,$D126,VI_Debitos!$R:$R,LEFT(PAGADO!Q$1,4),VI_Debitos!$Q:$Q,RIGHT(Q$1,2))</f>
        <v>0</v>
      </c>
      <c r="R126" s="2">
        <f t="shared" si="1"/>
        <v>0</v>
      </c>
    </row>
    <row r="127" spans="6:18">
      <c r="F127" s="2">
        <f>SUMIFS(VI_Debitos!$V:$V,VI_Debitos!$H:$H,$C127,VI_Debitos!$T:$T,$D127,VI_Debitos!$R:$R,LEFT(PAGADO!F$1,4),VI_Debitos!$Q:$Q,RIGHT(F$1,2))</f>
        <v>0</v>
      </c>
      <c r="G127" s="2">
        <f>SUMIFS(VI_Debitos!$V:$V,VI_Debitos!$H:$H,$C127,VI_Debitos!$T:$T,$D127,VI_Debitos!$R:$R,LEFT(PAGADO!G$1,4),VI_Debitos!$Q:$Q,RIGHT(G$1,2))</f>
        <v>0</v>
      </c>
      <c r="H127" s="2">
        <f>SUMIFS(VI_Debitos!$V:$V,VI_Debitos!$H:$H,$C127,VI_Debitos!$T:$T,$D127,VI_Debitos!$R:$R,LEFT(PAGADO!H$1,4),VI_Debitos!$Q:$Q,RIGHT(H$1,2))</f>
        <v>0</v>
      </c>
      <c r="I127" s="2">
        <f>SUMIFS(VI_Debitos!$V:$V,VI_Debitos!$H:$H,$C127,VI_Debitos!$T:$T,$D127,VI_Debitos!$R:$R,LEFT(PAGADO!I$1,4),VI_Debitos!$Q:$Q,RIGHT(I$1,2))</f>
        <v>0</v>
      </c>
      <c r="J127" s="2">
        <f>SUMIFS(VI_Debitos!$V:$V,VI_Debitos!$H:$H,$C127,VI_Debitos!$T:$T,$D127,VI_Debitos!$R:$R,LEFT(PAGADO!J$1,4),VI_Debitos!$Q:$Q,RIGHT(J$1,2))</f>
        <v>0</v>
      </c>
      <c r="K127" s="2">
        <f>SUMIFS(VI_Debitos!$V:$V,VI_Debitos!$H:$H,$C127,VI_Debitos!$T:$T,$D127,VI_Debitos!$R:$R,LEFT(PAGADO!K$1,4),VI_Debitos!$Q:$Q,RIGHT(K$1,2))</f>
        <v>0</v>
      </c>
      <c r="L127" s="2">
        <f>SUMIFS(VI_Debitos!$V:$V,VI_Debitos!$H:$H,$C127,VI_Debitos!$T:$T,$D127,VI_Debitos!$R:$R,LEFT(PAGADO!L$1,4),VI_Debitos!$Q:$Q,RIGHT(L$1,2))</f>
        <v>0</v>
      </c>
      <c r="M127" s="2">
        <f>SUMIFS(VI_Debitos!$V:$V,VI_Debitos!$H:$H,$C127,VI_Debitos!$T:$T,$D127,VI_Debitos!$R:$R,LEFT(PAGADO!M$1,4),VI_Debitos!$Q:$Q,RIGHT(M$1,2))</f>
        <v>0</v>
      </c>
      <c r="N127" s="2">
        <f>SUMIFS(VI_Debitos!$V:$V,VI_Debitos!$H:$H,$C127,VI_Debitos!$T:$T,$D127,VI_Debitos!$R:$R,LEFT(PAGADO!N$1,4),VI_Debitos!$Q:$Q,RIGHT(N$1,2))</f>
        <v>0</v>
      </c>
      <c r="O127" s="2">
        <f>SUMIFS(VI_Debitos!$V:$V,VI_Debitos!$H:$H,$C127,VI_Debitos!$T:$T,$D127,VI_Debitos!$R:$R,LEFT(PAGADO!O$1,4),VI_Debitos!$Q:$Q,RIGHT(O$1,2))</f>
        <v>0</v>
      </c>
      <c r="P127" s="2">
        <f>SUMIFS(VI_Debitos!$V:$V,VI_Debitos!$H:$H,$C127,VI_Debitos!$T:$T,$D127,VI_Debitos!$R:$R,LEFT(PAGADO!P$1,4),VI_Debitos!$Q:$Q,RIGHT(P$1,2))</f>
        <v>0</v>
      </c>
      <c r="Q127" s="2">
        <f>SUMIFS(VI_Debitos!$V:$V,VI_Debitos!$H:$H,$C127,VI_Debitos!$T:$T,$D127,VI_Debitos!$R:$R,LEFT(PAGADO!Q$1,4),VI_Debitos!$Q:$Q,RIGHT(Q$1,2))</f>
        <v>0</v>
      </c>
      <c r="R127" s="2">
        <f t="shared" si="1"/>
        <v>0</v>
      </c>
    </row>
    <row r="128" spans="6:18">
      <c r="F128" s="2">
        <f>SUMIFS(VI_Debitos!$V:$V,VI_Debitos!$H:$H,$C128,VI_Debitos!$T:$T,$D128,VI_Debitos!$R:$R,LEFT(PAGADO!F$1,4),VI_Debitos!$Q:$Q,RIGHT(F$1,2))</f>
        <v>0</v>
      </c>
      <c r="G128" s="2">
        <f>SUMIFS(VI_Debitos!$V:$V,VI_Debitos!$H:$H,$C128,VI_Debitos!$T:$T,$D128,VI_Debitos!$R:$R,LEFT(PAGADO!G$1,4),VI_Debitos!$Q:$Q,RIGHT(G$1,2))</f>
        <v>0</v>
      </c>
      <c r="H128" s="2">
        <f>SUMIFS(VI_Debitos!$V:$V,VI_Debitos!$H:$H,$C128,VI_Debitos!$T:$T,$D128,VI_Debitos!$R:$R,LEFT(PAGADO!H$1,4),VI_Debitos!$Q:$Q,RIGHT(H$1,2))</f>
        <v>0</v>
      </c>
      <c r="I128" s="2">
        <f>SUMIFS(VI_Debitos!$V:$V,VI_Debitos!$H:$H,$C128,VI_Debitos!$T:$T,$D128,VI_Debitos!$R:$R,LEFT(PAGADO!I$1,4),VI_Debitos!$Q:$Q,RIGHT(I$1,2))</f>
        <v>0</v>
      </c>
      <c r="J128" s="2">
        <f>SUMIFS(VI_Debitos!$V:$V,VI_Debitos!$H:$H,$C128,VI_Debitos!$T:$T,$D128,VI_Debitos!$R:$R,LEFT(PAGADO!J$1,4),VI_Debitos!$Q:$Q,RIGHT(J$1,2))</f>
        <v>0</v>
      </c>
      <c r="K128" s="2">
        <f>SUMIFS(VI_Debitos!$V:$V,VI_Debitos!$H:$H,$C128,VI_Debitos!$T:$T,$D128,VI_Debitos!$R:$R,LEFT(PAGADO!K$1,4),VI_Debitos!$Q:$Q,RIGHT(K$1,2))</f>
        <v>0</v>
      </c>
      <c r="L128" s="2">
        <f>SUMIFS(VI_Debitos!$V:$V,VI_Debitos!$H:$H,$C128,VI_Debitos!$T:$T,$D128,VI_Debitos!$R:$R,LEFT(PAGADO!L$1,4),VI_Debitos!$Q:$Q,RIGHT(L$1,2))</f>
        <v>0</v>
      </c>
      <c r="M128" s="2">
        <f>SUMIFS(VI_Debitos!$V:$V,VI_Debitos!$H:$H,$C128,VI_Debitos!$T:$T,$D128,VI_Debitos!$R:$R,LEFT(PAGADO!M$1,4),VI_Debitos!$Q:$Q,RIGHT(M$1,2))</f>
        <v>0</v>
      </c>
      <c r="N128" s="2">
        <f>SUMIFS(VI_Debitos!$V:$V,VI_Debitos!$H:$H,$C128,VI_Debitos!$T:$T,$D128,VI_Debitos!$R:$R,LEFT(PAGADO!N$1,4),VI_Debitos!$Q:$Q,RIGHT(N$1,2))</f>
        <v>0</v>
      </c>
      <c r="O128" s="2">
        <f>SUMIFS(VI_Debitos!$V:$V,VI_Debitos!$H:$H,$C128,VI_Debitos!$T:$T,$D128,VI_Debitos!$R:$R,LEFT(PAGADO!O$1,4),VI_Debitos!$Q:$Q,RIGHT(O$1,2))</f>
        <v>0</v>
      </c>
      <c r="P128" s="2">
        <f>SUMIFS(VI_Debitos!$V:$V,VI_Debitos!$H:$H,$C128,VI_Debitos!$T:$T,$D128,VI_Debitos!$R:$R,LEFT(PAGADO!P$1,4),VI_Debitos!$Q:$Q,RIGHT(P$1,2))</f>
        <v>0</v>
      </c>
      <c r="Q128" s="2">
        <f>SUMIFS(VI_Debitos!$V:$V,VI_Debitos!$H:$H,$C128,VI_Debitos!$T:$T,$D128,VI_Debitos!$R:$R,LEFT(PAGADO!Q$1,4),VI_Debitos!$Q:$Q,RIGHT(Q$1,2))</f>
        <v>0</v>
      </c>
      <c r="R128" s="2">
        <f t="shared" si="1"/>
        <v>0</v>
      </c>
    </row>
    <row r="129" spans="6:18">
      <c r="F129" s="2">
        <f>SUMIFS(VI_Debitos!$V:$V,VI_Debitos!$H:$H,$C129,VI_Debitos!$T:$T,$D129,VI_Debitos!$R:$R,LEFT(PAGADO!F$1,4),VI_Debitos!$Q:$Q,RIGHT(F$1,2))</f>
        <v>0</v>
      </c>
      <c r="G129" s="2">
        <f>SUMIFS(VI_Debitos!$V:$V,VI_Debitos!$H:$H,$C129,VI_Debitos!$T:$T,$D129,VI_Debitos!$R:$R,LEFT(PAGADO!G$1,4),VI_Debitos!$Q:$Q,RIGHT(G$1,2))</f>
        <v>0</v>
      </c>
      <c r="H129" s="2">
        <f>SUMIFS(VI_Debitos!$V:$V,VI_Debitos!$H:$H,$C129,VI_Debitos!$T:$T,$D129,VI_Debitos!$R:$R,LEFT(PAGADO!H$1,4),VI_Debitos!$Q:$Q,RIGHT(H$1,2))</f>
        <v>0</v>
      </c>
      <c r="I129" s="2">
        <f>SUMIFS(VI_Debitos!$V:$V,VI_Debitos!$H:$H,$C129,VI_Debitos!$T:$T,$D129,VI_Debitos!$R:$R,LEFT(PAGADO!I$1,4),VI_Debitos!$Q:$Q,RIGHT(I$1,2))</f>
        <v>0</v>
      </c>
      <c r="J129" s="2">
        <f>SUMIFS(VI_Debitos!$V:$V,VI_Debitos!$H:$H,$C129,VI_Debitos!$T:$T,$D129,VI_Debitos!$R:$R,LEFT(PAGADO!J$1,4),VI_Debitos!$Q:$Q,RIGHT(J$1,2))</f>
        <v>0</v>
      </c>
      <c r="K129" s="2">
        <f>SUMIFS(VI_Debitos!$V:$V,VI_Debitos!$H:$H,$C129,VI_Debitos!$T:$T,$D129,VI_Debitos!$R:$R,LEFT(PAGADO!K$1,4),VI_Debitos!$Q:$Q,RIGHT(K$1,2))</f>
        <v>0</v>
      </c>
      <c r="L129" s="2">
        <f>SUMIFS(VI_Debitos!$V:$V,VI_Debitos!$H:$H,$C129,VI_Debitos!$T:$T,$D129,VI_Debitos!$R:$R,LEFT(PAGADO!L$1,4),VI_Debitos!$Q:$Q,RIGHT(L$1,2))</f>
        <v>0</v>
      </c>
      <c r="M129" s="2">
        <f>SUMIFS(VI_Debitos!$V:$V,VI_Debitos!$H:$H,$C129,VI_Debitos!$T:$T,$D129,VI_Debitos!$R:$R,LEFT(PAGADO!M$1,4),VI_Debitos!$Q:$Q,RIGHT(M$1,2))</f>
        <v>0</v>
      </c>
      <c r="N129" s="2">
        <f>SUMIFS(VI_Debitos!$V:$V,VI_Debitos!$H:$H,$C129,VI_Debitos!$T:$T,$D129,VI_Debitos!$R:$R,LEFT(PAGADO!N$1,4),VI_Debitos!$Q:$Q,RIGHT(N$1,2))</f>
        <v>0</v>
      </c>
      <c r="O129" s="2">
        <f>SUMIFS(VI_Debitos!$V:$V,VI_Debitos!$H:$H,$C129,VI_Debitos!$T:$T,$D129,VI_Debitos!$R:$R,LEFT(PAGADO!O$1,4),VI_Debitos!$Q:$Q,RIGHT(O$1,2))</f>
        <v>0</v>
      </c>
      <c r="P129" s="2">
        <f>SUMIFS(VI_Debitos!$V:$V,VI_Debitos!$H:$H,$C129,VI_Debitos!$T:$T,$D129,VI_Debitos!$R:$R,LEFT(PAGADO!P$1,4),VI_Debitos!$Q:$Q,RIGHT(P$1,2))</f>
        <v>0</v>
      </c>
      <c r="Q129" s="2">
        <f>SUMIFS(VI_Debitos!$V:$V,VI_Debitos!$H:$H,$C129,VI_Debitos!$T:$T,$D129,VI_Debitos!$R:$R,LEFT(PAGADO!Q$1,4),VI_Debitos!$Q:$Q,RIGHT(Q$1,2))</f>
        <v>0</v>
      </c>
      <c r="R129" s="2">
        <f t="shared" si="1"/>
        <v>0</v>
      </c>
    </row>
    <row r="130" spans="6:18">
      <c r="F130" s="2">
        <f>SUMIFS(VI_Debitos!$V:$V,VI_Debitos!$H:$H,$C130,VI_Debitos!$T:$T,$D130,VI_Debitos!$R:$R,LEFT(PAGADO!F$1,4),VI_Debitos!$Q:$Q,RIGHT(F$1,2))</f>
        <v>0</v>
      </c>
      <c r="G130" s="2">
        <f>SUMIFS(VI_Debitos!$V:$V,VI_Debitos!$H:$H,$C130,VI_Debitos!$T:$T,$D130,VI_Debitos!$R:$R,LEFT(PAGADO!G$1,4),VI_Debitos!$Q:$Q,RIGHT(G$1,2))</f>
        <v>0</v>
      </c>
      <c r="H130" s="2">
        <f>SUMIFS(VI_Debitos!$V:$V,VI_Debitos!$H:$H,$C130,VI_Debitos!$T:$T,$D130,VI_Debitos!$R:$R,LEFT(PAGADO!H$1,4),VI_Debitos!$Q:$Q,RIGHT(H$1,2))</f>
        <v>0</v>
      </c>
      <c r="I130" s="2">
        <f>SUMIFS(VI_Debitos!$V:$V,VI_Debitos!$H:$H,$C130,VI_Debitos!$T:$T,$D130,VI_Debitos!$R:$R,LEFT(PAGADO!I$1,4),VI_Debitos!$Q:$Q,RIGHT(I$1,2))</f>
        <v>0</v>
      </c>
      <c r="J130" s="2">
        <f>SUMIFS(VI_Debitos!$V:$V,VI_Debitos!$H:$H,$C130,VI_Debitos!$T:$T,$D130,VI_Debitos!$R:$R,LEFT(PAGADO!J$1,4),VI_Debitos!$Q:$Q,RIGHT(J$1,2))</f>
        <v>0</v>
      </c>
      <c r="K130" s="2">
        <f>SUMIFS(VI_Debitos!$V:$V,VI_Debitos!$H:$H,$C130,VI_Debitos!$T:$T,$D130,VI_Debitos!$R:$R,LEFT(PAGADO!K$1,4),VI_Debitos!$Q:$Q,RIGHT(K$1,2))</f>
        <v>0</v>
      </c>
      <c r="L130" s="2">
        <f>SUMIFS(VI_Debitos!$V:$V,VI_Debitos!$H:$H,$C130,VI_Debitos!$T:$T,$D130,VI_Debitos!$R:$R,LEFT(PAGADO!L$1,4),VI_Debitos!$Q:$Q,RIGHT(L$1,2))</f>
        <v>0</v>
      </c>
      <c r="M130" s="2">
        <f>SUMIFS(VI_Debitos!$V:$V,VI_Debitos!$H:$H,$C130,VI_Debitos!$T:$T,$D130,VI_Debitos!$R:$R,LEFT(PAGADO!M$1,4),VI_Debitos!$Q:$Q,RIGHT(M$1,2))</f>
        <v>0</v>
      </c>
      <c r="N130" s="2">
        <f>SUMIFS(VI_Debitos!$V:$V,VI_Debitos!$H:$H,$C130,VI_Debitos!$T:$T,$D130,VI_Debitos!$R:$R,LEFT(PAGADO!N$1,4),VI_Debitos!$Q:$Q,RIGHT(N$1,2))</f>
        <v>0</v>
      </c>
      <c r="O130" s="2">
        <f>SUMIFS(VI_Debitos!$V:$V,VI_Debitos!$H:$H,$C130,VI_Debitos!$T:$T,$D130,VI_Debitos!$R:$R,LEFT(PAGADO!O$1,4),VI_Debitos!$Q:$Q,RIGHT(O$1,2))</f>
        <v>0</v>
      </c>
      <c r="P130" s="2">
        <f>SUMIFS(VI_Debitos!$V:$V,VI_Debitos!$H:$H,$C130,VI_Debitos!$T:$T,$D130,VI_Debitos!$R:$R,LEFT(PAGADO!P$1,4),VI_Debitos!$Q:$Q,RIGHT(P$1,2))</f>
        <v>0</v>
      </c>
      <c r="Q130" s="2">
        <f>SUMIFS(VI_Debitos!$V:$V,VI_Debitos!$H:$H,$C130,VI_Debitos!$T:$T,$D130,VI_Debitos!$R:$R,LEFT(PAGADO!Q$1,4),VI_Debitos!$Q:$Q,RIGHT(Q$1,2))</f>
        <v>0</v>
      </c>
      <c r="R130" s="2">
        <f t="shared" ref="R130:R193" si="2">SUM(F130:Q130)</f>
        <v>0</v>
      </c>
    </row>
    <row r="131" spans="6:18">
      <c r="F131" s="2">
        <f>SUMIFS(VI_Debitos!$V:$V,VI_Debitos!$H:$H,$C131,VI_Debitos!$T:$T,$D131,VI_Debitos!$R:$R,LEFT(PAGADO!F$1,4),VI_Debitos!$Q:$Q,RIGHT(F$1,2))</f>
        <v>0</v>
      </c>
      <c r="G131" s="2">
        <f>SUMIFS(VI_Debitos!$V:$V,VI_Debitos!$H:$H,$C131,VI_Debitos!$T:$T,$D131,VI_Debitos!$R:$R,LEFT(PAGADO!G$1,4),VI_Debitos!$Q:$Q,RIGHT(G$1,2))</f>
        <v>0</v>
      </c>
      <c r="H131" s="2">
        <f>SUMIFS(VI_Debitos!$V:$V,VI_Debitos!$H:$H,$C131,VI_Debitos!$T:$T,$D131,VI_Debitos!$R:$R,LEFT(PAGADO!H$1,4),VI_Debitos!$Q:$Q,RIGHT(H$1,2))</f>
        <v>0</v>
      </c>
      <c r="I131" s="2">
        <f>SUMIFS(VI_Debitos!$V:$V,VI_Debitos!$H:$H,$C131,VI_Debitos!$T:$T,$D131,VI_Debitos!$R:$R,LEFT(PAGADO!I$1,4),VI_Debitos!$Q:$Q,RIGHT(I$1,2))</f>
        <v>0</v>
      </c>
      <c r="J131" s="2">
        <f>SUMIFS(VI_Debitos!$V:$V,VI_Debitos!$H:$H,$C131,VI_Debitos!$T:$T,$D131,VI_Debitos!$R:$R,LEFT(PAGADO!J$1,4),VI_Debitos!$Q:$Q,RIGHT(J$1,2))</f>
        <v>0</v>
      </c>
      <c r="K131" s="2">
        <f>SUMIFS(VI_Debitos!$V:$V,VI_Debitos!$H:$H,$C131,VI_Debitos!$T:$T,$D131,VI_Debitos!$R:$R,LEFT(PAGADO!K$1,4),VI_Debitos!$Q:$Q,RIGHT(K$1,2))</f>
        <v>0</v>
      </c>
      <c r="L131" s="2">
        <f>SUMIFS(VI_Debitos!$V:$V,VI_Debitos!$H:$H,$C131,VI_Debitos!$T:$T,$D131,VI_Debitos!$R:$R,LEFT(PAGADO!L$1,4),VI_Debitos!$Q:$Q,RIGHT(L$1,2))</f>
        <v>0</v>
      </c>
      <c r="M131" s="2">
        <f>SUMIFS(VI_Debitos!$V:$V,VI_Debitos!$H:$H,$C131,VI_Debitos!$T:$T,$D131,VI_Debitos!$R:$R,LEFT(PAGADO!M$1,4),VI_Debitos!$Q:$Q,RIGHT(M$1,2))</f>
        <v>0</v>
      </c>
      <c r="N131" s="2">
        <f>SUMIFS(VI_Debitos!$V:$V,VI_Debitos!$H:$H,$C131,VI_Debitos!$T:$T,$D131,VI_Debitos!$R:$R,LEFT(PAGADO!N$1,4),VI_Debitos!$Q:$Q,RIGHT(N$1,2))</f>
        <v>0</v>
      </c>
      <c r="O131" s="2">
        <f>SUMIFS(VI_Debitos!$V:$V,VI_Debitos!$H:$H,$C131,VI_Debitos!$T:$T,$D131,VI_Debitos!$R:$R,LEFT(PAGADO!O$1,4),VI_Debitos!$Q:$Q,RIGHT(O$1,2))</f>
        <v>0</v>
      </c>
      <c r="P131" s="2">
        <f>SUMIFS(VI_Debitos!$V:$V,VI_Debitos!$H:$H,$C131,VI_Debitos!$T:$T,$D131,VI_Debitos!$R:$R,LEFT(PAGADO!P$1,4),VI_Debitos!$Q:$Q,RIGHT(P$1,2))</f>
        <v>0</v>
      </c>
      <c r="Q131" s="2">
        <f>SUMIFS(VI_Debitos!$V:$V,VI_Debitos!$H:$H,$C131,VI_Debitos!$T:$T,$D131,VI_Debitos!$R:$R,LEFT(PAGADO!Q$1,4),VI_Debitos!$Q:$Q,RIGHT(Q$1,2))</f>
        <v>0</v>
      </c>
      <c r="R131" s="2">
        <f t="shared" si="2"/>
        <v>0</v>
      </c>
    </row>
    <row r="132" spans="6:18">
      <c r="F132" s="2">
        <f>SUMIFS(VI_Debitos!$V:$V,VI_Debitos!$H:$H,$C132,VI_Debitos!$T:$T,$D132,VI_Debitos!$R:$R,LEFT(PAGADO!F$1,4),VI_Debitos!$Q:$Q,RIGHT(F$1,2))</f>
        <v>0</v>
      </c>
      <c r="G132" s="2">
        <f>SUMIFS(VI_Debitos!$V:$V,VI_Debitos!$H:$H,$C132,VI_Debitos!$T:$T,$D132,VI_Debitos!$R:$R,LEFT(PAGADO!G$1,4),VI_Debitos!$Q:$Q,RIGHT(G$1,2))</f>
        <v>0</v>
      </c>
      <c r="H132" s="2">
        <f>SUMIFS(VI_Debitos!$V:$V,VI_Debitos!$H:$H,$C132,VI_Debitos!$T:$T,$D132,VI_Debitos!$R:$R,LEFT(PAGADO!H$1,4),VI_Debitos!$Q:$Q,RIGHT(H$1,2))</f>
        <v>0</v>
      </c>
      <c r="I132" s="2">
        <f>SUMIFS(VI_Debitos!$V:$V,VI_Debitos!$H:$H,$C132,VI_Debitos!$T:$T,$D132,VI_Debitos!$R:$R,LEFT(PAGADO!I$1,4),VI_Debitos!$Q:$Q,RIGHT(I$1,2))</f>
        <v>0</v>
      </c>
      <c r="J132" s="2">
        <f>SUMIFS(VI_Debitos!$V:$V,VI_Debitos!$H:$H,$C132,VI_Debitos!$T:$T,$D132,VI_Debitos!$R:$R,LEFT(PAGADO!J$1,4),VI_Debitos!$Q:$Q,RIGHT(J$1,2))</f>
        <v>0</v>
      </c>
      <c r="K132" s="2">
        <f>SUMIFS(VI_Debitos!$V:$V,VI_Debitos!$H:$H,$C132,VI_Debitos!$T:$T,$D132,VI_Debitos!$R:$R,LEFT(PAGADO!K$1,4),VI_Debitos!$Q:$Q,RIGHT(K$1,2))</f>
        <v>0</v>
      </c>
      <c r="L132" s="2">
        <f>SUMIFS(VI_Debitos!$V:$V,VI_Debitos!$H:$H,$C132,VI_Debitos!$T:$T,$D132,VI_Debitos!$R:$R,LEFT(PAGADO!L$1,4),VI_Debitos!$Q:$Q,RIGHT(L$1,2))</f>
        <v>0</v>
      </c>
      <c r="M132" s="2">
        <f>SUMIFS(VI_Debitos!$V:$V,VI_Debitos!$H:$H,$C132,VI_Debitos!$T:$T,$D132,VI_Debitos!$R:$R,LEFT(PAGADO!M$1,4),VI_Debitos!$Q:$Q,RIGHT(M$1,2))</f>
        <v>0</v>
      </c>
      <c r="N132" s="2">
        <f>SUMIFS(VI_Debitos!$V:$V,VI_Debitos!$H:$H,$C132,VI_Debitos!$T:$T,$D132,VI_Debitos!$R:$R,LEFT(PAGADO!N$1,4),VI_Debitos!$Q:$Q,RIGHT(N$1,2))</f>
        <v>0</v>
      </c>
      <c r="O132" s="2">
        <f>SUMIFS(VI_Debitos!$V:$V,VI_Debitos!$H:$H,$C132,VI_Debitos!$T:$T,$D132,VI_Debitos!$R:$R,LEFT(PAGADO!O$1,4),VI_Debitos!$Q:$Q,RIGHT(O$1,2))</f>
        <v>0</v>
      </c>
      <c r="P132" s="2">
        <f>SUMIFS(VI_Debitos!$V:$V,VI_Debitos!$H:$H,$C132,VI_Debitos!$T:$T,$D132,VI_Debitos!$R:$R,LEFT(PAGADO!P$1,4),VI_Debitos!$Q:$Q,RIGHT(P$1,2))</f>
        <v>0</v>
      </c>
      <c r="Q132" s="2">
        <f>SUMIFS(VI_Debitos!$V:$V,VI_Debitos!$H:$H,$C132,VI_Debitos!$T:$T,$D132,VI_Debitos!$R:$R,LEFT(PAGADO!Q$1,4),VI_Debitos!$Q:$Q,RIGHT(Q$1,2))</f>
        <v>0</v>
      </c>
      <c r="R132" s="2">
        <f t="shared" si="2"/>
        <v>0</v>
      </c>
    </row>
    <row r="133" spans="6:18">
      <c r="F133" s="2">
        <f>SUMIFS(VI_Debitos!$V:$V,VI_Debitos!$H:$H,$C133,VI_Debitos!$T:$T,$D133,VI_Debitos!$R:$R,LEFT(PAGADO!F$1,4),VI_Debitos!$Q:$Q,RIGHT(F$1,2))</f>
        <v>0</v>
      </c>
      <c r="G133" s="2">
        <f>SUMIFS(VI_Debitos!$V:$V,VI_Debitos!$H:$H,$C133,VI_Debitos!$T:$T,$D133,VI_Debitos!$R:$R,LEFT(PAGADO!G$1,4),VI_Debitos!$Q:$Q,RIGHT(G$1,2))</f>
        <v>0</v>
      </c>
      <c r="H133" s="2">
        <f>SUMIFS(VI_Debitos!$V:$V,VI_Debitos!$H:$H,$C133,VI_Debitos!$T:$T,$D133,VI_Debitos!$R:$R,LEFT(PAGADO!H$1,4),VI_Debitos!$Q:$Q,RIGHT(H$1,2))</f>
        <v>0</v>
      </c>
      <c r="I133" s="2">
        <f>SUMIFS(VI_Debitos!$V:$V,VI_Debitos!$H:$H,$C133,VI_Debitos!$T:$T,$D133,VI_Debitos!$R:$R,LEFT(PAGADO!I$1,4),VI_Debitos!$Q:$Q,RIGHT(I$1,2))</f>
        <v>0</v>
      </c>
      <c r="J133" s="2">
        <f>SUMIFS(VI_Debitos!$V:$V,VI_Debitos!$H:$H,$C133,VI_Debitos!$T:$T,$D133,VI_Debitos!$R:$R,LEFT(PAGADO!J$1,4),VI_Debitos!$Q:$Q,RIGHT(J$1,2))</f>
        <v>0</v>
      </c>
      <c r="K133" s="2">
        <f>SUMIFS(VI_Debitos!$V:$V,VI_Debitos!$H:$H,$C133,VI_Debitos!$T:$T,$D133,VI_Debitos!$R:$R,LEFT(PAGADO!K$1,4),VI_Debitos!$Q:$Q,RIGHT(K$1,2))</f>
        <v>0</v>
      </c>
      <c r="L133" s="2">
        <f>SUMIFS(VI_Debitos!$V:$V,VI_Debitos!$H:$H,$C133,VI_Debitos!$T:$T,$D133,VI_Debitos!$R:$R,LEFT(PAGADO!L$1,4),VI_Debitos!$Q:$Q,RIGHT(L$1,2))</f>
        <v>0</v>
      </c>
      <c r="M133" s="2">
        <f>SUMIFS(VI_Debitos!$V:$V,VI_Debitos!$H:$H,$C133,VI_Debitos!$T:$T,$D133,VI_Debitos!$R:$R,LEFT(PAGADO!M$1,4),VI_Debitos!$Q:$Q,RIGHT(M$1,2))</f>
        <v>0</v>
      </c>
      <c r="N133" s="2">
        <f>SUMIFS(VI_Debitos!$V:$V,VI_Debitos!$H:$H,$C133,VI_Debitos!$T:$T,$D133,VI_Debitos!$R:$R,LEFT(PAGADO!N$1,4),VI_Debitos!$Q:$Q,RIGHT(N$1,2))</f>
        <v>0</v>
      </c>
      <c r="O133" s="2">
        <f>SUMIFS(VI_Debitos!$V:$V,VI_Debitos!$H:$H,$C133,VI_Debitos!$T:$T,$D133,VI_Debitos!$R:$R,LEFT(PAGADO!O$1,4),VI_Debitos!$Q:$Q,RIGHT(O$1,2))</f>
        <v>0</v>
      </c>
      <c r="P133" s="2">
        <f>SUMIFS(VI_Debitos!$V:$V,VI_Debitos!$H:$H,$C133,VI_Debitos!$T:$T,$D133,VI_Debitos!$R:$R,LEFT(PAGADO!P$1,4),VI_Debitos!$Q:$Q,RIGHT(P$1,2))</f>
        <v>0</v>
      </c>
      <c r="Q133" s="2">
        <f>SUMIFS(VI_Debitos!$V:$V,VI_Debitos!$H:$H,$C133,VI_Debitos!$T:$T,$D133,VI_Debitos!$R:$R,LEFT(PAGADO!Q$1,4),VI_Debitos!$Q:$Q,RIGHT(Q$1,2))</f>
        <v>0</v>
      </c>
      <c r="R133" s="2">
        <f t="shared" si="2"/>
        <v>0</v>
      </c>
    </row>
    <row r="134" spans="6:18">
      <c r="F134" s="2">
        <f>SUMIFS(VI_Debitos!$V:$V,VI_Debitos!$H:$H,$C134,VI_Debitos!$T:$T,$D134,VI_Debitos!$R:$R,LEFT(PAGADO!F$1,4),VI_Debitos!$Q:$Q,RIGHT(F$1,2))</f>
        <v>0</v>
      </c>
      <c r="G134" s="2">
        <f>SUMIFS(VI_Debitos!$V:$V,VI_Debitos!$H:$H,$C134,VI_Debitos!$T:$T,$D134,VI_Debitos!$R:$R,LEFT(PAGADO!G$1,4),VI_Debitos!$Q:$Q,RIGHT(G$1,2))</f>
        <v>0</v>
      </c>
      <c r="H134" s="2">
        <f>SUMIFS(VI_Debitos!$V:$V,VI_Debitos!$H:$H,$C134,VI_Debitos!$T:$T,$D134,VI_Debitos!$R:$R,LEFT(PAGADO!H$1,4),VI_Debitos!$Q:$Q,RIGHT(H$1,2))</f>
        <v>0</v>
      </c>
      <c r="I134" s="2">
        <f>SUMIFS(VI_Debitos!$V:$V,VI_Debitos!$H:$H,$C134,VI_Debitos!$T:$T,$D134,VI_Debitos!$R:$R,LEFT(PAGADO!I$1,4),VI_Debitos!$Q:$Q,RIGHT(I$1,2))</f>
        <v>0</v>
      </c>
      <c r="J134" s="2">
        <f>SUMIFS(VI_Debitos!$V:$V,VI_Debitos!$H:$H,$C134,VI_Debitos!$T:$T,$D134,VI_Debitos!$R:$R,LEFT(PAGADO!J$1,4),VI_Debitos!$Q:$Q,RIGHT(J$1,2))</f>
        <v>0</v>
      </c>
      <c r="K134" s="2">
        <f>SUMIFS(VI_Debitos!$V:$V,VI_Debitos!$H:$H,$C134,VI_Debitos!$T:$T,$D134,VI_Debitos!$R:$R,LEFT(PAGADO!K$1,4),VI_Debitos!$Q:$Q,RIGHT(K$1,2))</f>
        <v>0</v>
      </c>
      <c r="L134" s="2">
        <f>SUMIFS(VI_Debitos!$V:$V,VI_Debitos!$H:$H,$C134,VI_Debitos!$T:$T,$D134,VI_Debitos!$R:$R,LEFT(PAGADO!L$1,4),VI_Debitos!$Q:$Q,RIGHT(L$1,2))</f>
        <v>0</v>
      </c>
      <c r="M134" s="2">
        <f>SUMIFS(VI_Debitos!$V:$V,VI_Debitos!$H:$H,$C134,VI_Debitos!$T:$T,$D134,VI_Debitos!$R:$R,LEFT(PAGADO!M$1,4),VI_Debitos!$Q:$Q,RIGHT(M$1,2))</f>
        <v>0</v>
      </c>
      <c r="N134" s="2">
        <f>SUMIFS(VI_Debitos!$V:$V,VI_Debitos!$H:$H,$C134,VI_Debitos!$T:$T,$D134,VI_Debitos!$R:$R,LEFT(PAGADO!N$1,4),VI_Debitos!$Q:$Q,RIGHT(N$1,2))</f>
        <v>0</v>
      </c>
      <c r="O134" s="2">
        <f>SUMIFS(VI_Debitos!$V:$V,VI_Debitos!$H:$H,$C134,VI_Debitos!$T:$T,$D134,VI_Debitos!$R:$R,LEFT(PAGADO!O$1,4),VI_Debitos!$Q:$Q,RIGHT(O$1,2))</f>
        <v>0</v>
      </c>
      <c r="P134" s="2">
        <f>SUMIFS(VI_Debitos!$V:$V,VI_Debitos!$H:$H,$C134,VI_Debitos!$T:$T,$D134,VI_Debitos!$R:$R,LEFT(PAGADO!P$1,4),VI_Debitos!$Q:$Q,RIGHT(P$1,2))</f>
        <v>0</v>
      </c>
      <c r="Q134" s="2">
        <f>SUMIFS(VI_Debitos!$V:$V,VI_Debitos!$H:$H,$C134,VI_Debitos!$T:$T,$D134,VI_Debitos!$R:$R,LEFT(PAGADO!Q$1,4),VI_Debitos!$Q:$Q,RIGHT(Q$1,2))</f>
        <v>0</v>
      </c>
      <c r="R134" s="2">
        <f t="shared" si="2"/>
        <v>0</v>
      </c>
    </row>
    <row r="135" spans="6:18">
      <c r="F135" s="2">
        <f>SUMIFS(VI_Debitos!$V:$V,VI_Debitos!$H:$H,$C135,VI_Debitos!$T:$T,$D135,VI_Debitos!$R:$R,LEFT(PAGADO!F$1,4),VI_Debitos!$Q:$Q,RIGHT(F$1,2))</f>
        <v>0</v>
      </c>
      <c r="G135" s="2">
        <f>SUMIFS(VI_Debitos!$V:$V,VI_Debitos!$H:$H,$C135,VI_Debitos!$T:$T,$D135,VI_Debitos!$R:$R,LEFT(PAGADO!G$1,4),VI_Debitos!$Q:$Q,RIGHT(G$1,2))</f>
        <v>0</v>
      </c>
      <c r="H135" s="2">
        <f>SUMIFS(VI_Debitos!$V:$V,VI_Debitos!$H:$H,$C135,VI_Debitos!$T:$T,$D135,VI_Debitos!$R:$R,LEFT(PAGADO!H$1,4),VI_Debitos!$Q:$Q,RIGHT(H$1,2))</f>
        <v>0</v>
      </c>
      <c r="I135" s="2">
        <f>SUMIFS(VI_Debitos!$V:$V,VI_Debitos!$H:$H,$C135,VI_Debitos!$T:$T,$D135,VI_Debitos!$R:$R,LEFT(PAGADO!I$1,4),VI_Debitos!$Q:$Q,RIGHT(I$1,2))</f>
        <v>0</v>
      </c>
      <c r="J135" s="2">
        <f>SUMIFS(VI_Debitos!$V:$V,VI_Debitos!$H:$H,$C135,VI_Debitos!$T:$T,$D135,VI_Debitos!$R:$R,LEFT(PAGADO!J$1,4),VI_Debitos!$Q:$Q,RIGHT(J$1,2))</f>
        <v>0</v>
      </c>
      <c r="K135" s="2">
        <f>SUMIFS(VI_Debitos!$V:$V,VI_Debitos!$H:$H,$C135,VI_Debitos!$T:$T,$D135,VI_Debitos!$R:$R,LEFT(PAGADO!K$1,4),VI_Debitos!$Q:$Q,RIGHT(K$1,2))</f>
        <v>0</v>
      </c>
      <c r="L135" s="2">
        <f>SUMIFS(VI_Debitos!$V:$V,VI_Debitos!$H:$H,$C135,VI_Debitos!$T:$T,$D135,VI_Debitos!$R:$R,LEFT(PAGADO!L$1,4),VI_Debitos!$Q:$Q,RIGHT(L$1,2))</f>
        <v>0</v>
      </c>
      <c r="M135" s="2">
        <f>SUMIFS(VI_Debitos!$V:$V,VI_Debitos!$H:$H,$C135,VI_Debitos!$T:$T,$D135,VI_Debitos!$R:$R,LEFT(PAGADO!M$1,4),VI_Debitos!$Q:$Q,RIGHT(M$1,2))</f>
        <v>0</v>
      </c>
      <c r="N135" s="2">
        <f>SUMIFS(VI_Debitos!$V:$V,VI_Debitos!$H:$H,$C135,VI_Debitos!$T:$T,$D135,VI_Debitos!$R:$R,LEFT(PAGADO!N$1,4),VI_Debitos!$Q:$Q,RIGHT(N$1,2))</f>
        <v>0</v>
      </c>
      <c r="O135" s="2">
        <f>SUMIFS(VI_Debitos!$V:$V,VI_Debitos!$H:$H,$C135,VI_Debitos!$T:$T,$D135,VI_Debitos!$R:$R,LEFT(PAGADO!O$1,4),VI_Debitos!$Q:$Q,RIGHT(O$1,2))</f>
        <v>0</v>
      </c>
      <c r="P135" s="2">
        <f>SUMIFS(VI_Debitos!$V:$V,VI_Debitos!$H:$H,$C135,VI_Debitos!$T:$T,$D135,VI_Debitos!$R:$R,LEFT(PAGADO!P$1,4),VI_Debitos!$Q:$Q,RIGHT(P$1,2))</f>
        <v>0</v>
      </c>
      <c r="Q135" s="2">
        <f>SUMIFS(VI_Debitos!$V:$V,VI_Debitos!$H:$H,$C135,VI_Debitos!$T:$T,$D135,VI_Debitos!$R:$R,LEFT(PAGADO!Q$1,4),VI_Debitos!$Q:$Q,RIGHT(Q$1,2))</f>
        <v>0</v>
      </c>
      <c r="R135" s="2">
        <f t="shared" si="2"/>
        <v>0</v>
      </c>
    </row>
    <row r="136" spans="6:18">
      <c r="F136" s="2">
        <f>SUMIFS(VI_Debitos!$V:$V,VI_Debitos!$H:$H,$C136,VI_Debitos!$T:$T,$D136,VI_Debitos!$R:$R,LEFT(PAGADO!F$1,4),VI_Debitos!$Q:$Q,RIGHT(F$1,2))</f>
        <v>0</v>
      </c>
      <c r="G136" s="2">
        <f>SUMIFS(VI_Debitos!$V:$V,VI_Debitos!$H:$H,$C136,VI_Debitos!$T:$T,$D136,VI_Debitos!$R:$R,LEFT(PAGADO!G$1,4),VI_Debitos!$Q:$Q,RIGHT(G$1,2))</f>
        <v>0</v>
      </c>
      <c r="H136" s="2">
        <f>SUMIFS(VI_Debitos!$V:$V,VI_Debitos!$H:$H,$C136,VI_Debitos!$T:$T,$D136,VI_Debitos!$R:$R,LEFT(PAGADO!H$1,4),VI_Debitos!$Q:$Q,RIGHT(H$1,2))</f>
        <v>0</v>
      </c>
      <c r="I136" s="2">
        <f>SUMIFS(VI_Debitos!$V:$V,VI_Debitos!$H:$H,$C136,VI_Debitos!$T:$T,$D136,VI_Debitos!$R:$R,LEFT(PAGADO!I$1,4),VI_Debitos!$Q:$Q,RIGHT(I$1,2))</f>
        <v>0</v>
      </c>
      <c r="J136" s="2">
        <f>SUMIFS(VI_Debitos!$V:$V,VI_Debitos!$H:$H,$C136,VI_Debitos!$T:$T,$D136,VI_Debitos!$R:$R,LEFT(PAGADO!J$1,4),VI_Debitos!$Q:$Q,RIGHT(J$1,2))</f>
        <v>0</v>
      </c>
      <c r="K136" s="2">
        <f>SUMIFS(VI_Debitos!$V:$V,VI_Debitos!$H:$H,$C136,VI_Debitos!$T:$T,$D136,VI_Debitos!$R:$R,LEFT(PAGADO!K$1,4),VI_Debitos!$Q:$Q,RIGHT(K$1,2))</f>
        <v>0</v>
      </c>
      <c r="L136" s="2">
        <f>SUMIFS(VI_Debitos!$V:$V,VI_Debitos!$H:$H,$C136,VI_Debitos!$T:$T,$D136,VI_Debitos!$R:$R,LEFT(PAGADO!L$1,4),VI_Debitos!$Q:$Q,RIGHT(L$1,2))</f>
        <v>0</v>
      </c>
      <c r="M136" s="2">
        <f>SUMIFS(VI_Debitos!$V:$V,VI_Debitos!$H:$H,$C136,VI_Debitos!$T:$T,$D136,VI_Debitos!$R:$R,LEFT(PAGADO!M$1,4),VI_Debitos!$Q:$Q,RIGHT(M$1,2))</f>
        <v>0</v>
      </c>
      <c r="N136" s="2">
        <f>SUMIFS(VI_Debitos!$V:$V,VI_Debitos!$H:$H,$C136,VI_Debitos!$T:$T,$D136,VI_Debitos!$R:$R,LEFT(PAGADO!N$1,4),VI_Debitos!$Q:$Q,RIGHT(N$1,2))</f>
        <v>0</v>
      </c>
      <c r="O136" s="2">
        <f>SUMIFS(VI_Debitos!$V:$V,VI_Debitos!$H:$H,$C136,VI_Debitos!$T:$T,$D136,VI_Debitos!$R:$R,LEFT(PAGADO!O$1,4),VI_Debitos!$Q:$Q,RIGHT(O$1,2))</f>
        <v>0</v>
      </c>
      <c r="P136" s="2">
        <f>SUMIFS(VI_Debitos!$V:$V,VI_Debitos!$H:$H,$C136,VI_Debitos!$T:$T,$D136,VI_Debitos!$R:$R,LEFT(PAGADO!P$1,4),VI_Debitos!$Q:$Q,RIGHT(P$1,2))</f>
        <v>0</v>
      </c>
      <c r="Q136" s="2">
        <f>SUMIFS(VI_Debitos!$V:$V,VI_Debitos!$H:$H,$C136,VI_Debitos!$T:$T,$D136,VI_Debitos!$R:$R,LEFT(PAGADO!Q$1,4),VI_Debitos!$Q:$Q,RIGHT(Q$1,2))</f>
        <v>0</v>
      </c>
      <c r="R136" s="2">
        <f t="shared" si="2"/>
        <v>0</v>
      </c>
    </row>
    <row r="137" spans="6:18">
      <c r="F137" s="2">
        <f>SUMIFS(VI_Debitos!$V:$V,VI_Debitos!$H:$H,$C137,VI_Debitos!$T:$T,$D137,VI_Debitos!$R:$R,LEFT(PAGADO!F$1,4),VI_Debitos!$Q:$Q,RIGHT(F$1,2))</f>
        <v>0</v>
      </c>
      <c r="G137" s="2">
        <f>SUMIFS(VI_Debitos!$V:$V,VI_Debitos!$H:$H,$C137,VI_Debitos!$T:$T,$D137,VI_Debitos!$R:$R,LEFT(PAGADO!G$1,4),VI_Debitos!$Q:$Q,RIGHT(G$1,2))</f>
        <v>0</v>
      </c>
      <c r="H137" s="2">
        <f>SUMIFS(VI_Debitos!$V:$V,VI_Debitos!$H:$H,$C137,VI_Debitos!$T:$T,$D137,VI_Debitos!$R:$R,LEFT(PAGADO!H$1,4),VI_Debitos!$Q:$Q,RIGHT(H$1,2))</f>
        <v>0</v>
      </c>
      <c r="I137" s="2">
        <f>SUMIFS(VI_Debitos!$V:$V,VI_Debitos!$H:$H,$C137,VI_Debitos!$T:$T,$D137,VI_Debitos!$R:$R,LEFT(PAGADO!I$1,4),VI_Debitos!$Q:$Q,RIGHT(I$1,2))</f>
        <v>0</v>
      </c>
      <c r="J137" s="2">
        <f>SUMIFS(VI_Debitos!$V:$V,VI_Debitos!$H:$H,$C137,VI_Debitos!$T:$T,$D137,VI_Debitos!$R:$R,LEFT(PAGADO!J$1,4),VI_Debitos!$Q:$Q,RIGHT(J$1,2))</f>
        <v>0</v>
      </c>
      <c r="K137" s="2">
        <f>SUMIFS(VI_Debitos!$V:$V,VI_Debitos!$H:$H,$C137,VI_Debitos!$T:$T,$D137,VI_Debitos!$R:$R,LEFT(PAGADO!K$1,4),VI_Debitos!$Q:$Q,RIGHT(K$1,2))</f>
        <v>0</v>
      </c>
      <c r="L137" s="2">
        <f>SUMIFS(VI_Debitos!$V:$V,VI_Debitos!$H:$H,$C137,VI_Debitos!$T:$T,$D137,VI_Debitos!$R:$R,LEFT(PAGADO!L$1,4),VI_Debitos!$Q:$Q,RIGHT(L$1,2))</f>
        <v>0</v>
      </c>
      <c r="M137" s="2">
        <f>SUMIFS(VI_Debitos!$V:$V,VI_Debitos!$H:$H,$C137,VI_Debitos!$T:$T,$D137,VI_Debitos!$R:$R,LEFT(PAGADO!M$1,4),VI_Debitos!$Q:$Q,RIGHT(M$1,2))</f>
        <v>0</v>
      </c>
      <c r="N137" s="2">
        <f>SUMIFS(VI_Debitos!$V:$V,VI_Debitos!$H:$H,$C137,VI_Debitos!$T:$T,$D137,VI_Debitos!$R:$R,LEFT(PAGADO!N$1,4),VI_Debitos!$Q:$Q,RIGHT(N$1,2))</f>
        <v>0</v>
      </c>
      <c r="O137" s="2">
        <f>SUMIFS(VI_Debitos!$V:$V,VI_Debitos!$H:$H,$C137,VI_Debitos!$T:$T,$D137,VI_Debitos!$R:$R,LEFT(PAGADO!O$1,4),VI_Debitos!$Q:$Q,RIGHT(O$1,2))</f>
        <v>0</v>
      </c>
      <c r="P137" s="2">
        <f>SUMIFS(VI_Debitos!$V:$V,VI_Debitos!$H:$H,$C137,VI_Debitos!$T:$T,$D137,VI_Debitos!$R:$R,LEFT(PAGADO!P$1,4),VI_Debitos!$Q:$Q,RIGHT(P$1,2))</f>
        <v>0</v>
      </c>
      <c r="Q137" s="2">
        <f>SUMIFS(VI_Debitos!$V:$V,VI_Debitos!$H:$H,$C137,VI_Debitos!$T:$T,$D137,VI_Debitos!$R:$R,LEFT(PAGADO!Q$1,4),VI_Debitos!$Q:$Q,RIGHT(Q$1,2))</f>
        <v>0</v>
      </c>
      <c r="R137" s="2">
        <f t="shared" si="2"/>
        <v>0</v>
      </c>
    </row>
    <row r="138" spans="6:18">
      <c r="F138" s="2">
        <f>SUMIFS(VI_Debitos!$V:$V,VI_Debitos!$H:$H,$C138,VI_Debitos!$T:$T,$D138,VI_Debitos!$R:$R,LEFT(PAGADO!F$1,4),VI_Debitos!$Q:$Q,RIGHT(F$1,2))</f>
        <v>0</v>
      </c>
      <c r="G138" s="2">
        <f>SUMIFS(VI_Debitos!$V:$V,VI_Debitos!$H:$H,$C138,VI_Debitos!$T:$T,$D138,VI_Debitos!$R:$R,LEFT(PAGADO!G$1,4),VI_Debitos!$Q:$Q,RIGHT(G$1,2))</f>
        <v>0</v>
      </c>
      <c r="H138" s="2">
        <f>SUMIFS(VI_Debitos!$V:$V,VI_Debitos!$H:$H,$C138,VI_Debitos!$T:$T,$D138,VI_Debitos!$R:$R,LEFT(PAGADO!H$1,4),VI_Debitos!$Q:$Q,RIGHT(H$1,2))</f>
        <v>0</v>
      </c>
      <c r="I138" s="2">
        <f>SUMIFS(VI_Debitos!$V:$V,VI_Debitos!$H:$H,$C138,VI_Debitos!$T:$T,$D138,VI_Debitos!$R:$R,LEFT(PAGADO!I$1,4),VI_Debitos!$Q:$Q,RIGHT(I$1,2))</f>
        <v>0</v>
      </c>
      <c r="J138" s="2">
        <f>SUMIFS(VI_Debitos!$V:$V,VI_Debitos!$H:$H,$C138,VI_Debitos!$T:$T,$D138,VI_Debitos!$R:$R,LEFT(PAGADO!J$1,4),VI_Debitos!$Q:$Q,RIGHT(J$1,2))</f>
        <v>0</v>
      </c>
      <c r="K138" s="2">
        <f>SUMIFS(VI_Debitos!$V:$V,VI_Debitos!$H:$H,$C138,VI_Debitos!$T:$T,$D138,VI_Debitos!$R:$R,LEFT(PAGADO!K$1,4),VI_Debitos!$Q:$Q,RIGHT(K$1,2))</f>
        <v>0</v>
      </c>
      <c r="L138" s="2">
        <f>SUMIFS(VI_Debitos!$V:$V,VI_Debitos!$H:$H,$C138,VI_Debitos!$T:$T,$D138,VI_Debitos!$R:$R,LEFT(PAGADO!L$1,4),VI_Debitos!$Q:$Q,RIGHT(L$1,2))</f>
        <v>0</v>
      </c>
      <c r="M138" s="2">
        <f>SUMIFS(VI_Debitos!$V:$V,VI_Debitos!$H:$H,$C138,VI_Debitos!$T:$T,$D138,VI_Debitos!$R:$R,LEFT(PAGADO!M$1,4),VI_Debitos!$Q:$Q,RIGHT(M$1,2))</f>
        <v>0</v>
      </c>
      <c r="N138" s="2">
        <f>SUMIFS(VI_Debitos!$V:$V,VI_Debitos!$H:$H,$C138,VI_Debitos!$T:$T,$D138,VI_Debitos!$R:$R,LEFT(PAGADO!N$1,4),VI_Debitos!$Q:$Q,RIGHT(N$1,2))</f>
        <v>0</v>
      </c>
      <c r="O138" s="2">
        <f>SUMIFS(VI_Debitos!$V:$V,VI_Debitos!$H:$H,$C138,VI_Debitos!$T:$T,$D138,VI_Debitos!$R:$R,LEFT(PAGADO!O$1,4),VI_Debitos!$Q:$Q,RIGHT(O$1,2))</f>
        <v>0</v>
      </c>
      <c r="P138" s="2">
        <f>SUMIFS(VI_Debitos!$V:$V,VI_Debitos!$H:$H,$C138,VI_Debitos!$T:$T,$D138,VI_Debitos!$R:$R,LEFT(PAGADO!P$1,4),VI_Debitos!$Q:$Q,RIGHT(P$1,2))</f>
        <v>0</v>
      </c>
      <c r="Q138" s="2">
        <f>SUMIFS(VI_Debitos!$V:$V,VI_Debitos!$H:$H,$C138,VI_Debitos!$T:$T,$D138,VI_Debitos!$R:$R,LEFT(PAGADO!Q$1,4),VI_Debitos!$Q:$Q,RIGHT(Q$1,2))</f>
        <v>0</v>
      </c>
      <c r="R138" s="2">
        <f t="shared" si="2"/>
        <v>0</v>
      </c>
    </row>
    <row r="139" spans="6:18">
      <c r="F139" s="2">
        <f>SUMIFS(VI_Debitos!$V:$V,VI_Debitos!$H:$H,$C139,VI_Debitos!$T:$T,$D139,VI_Debitos!$R:$R,LEFT(PAGADO!F$1,4),VI_Debitos!$Q:$Q,RIGHT(F$1,2))</f>
        <v>0</v>
      </c>
      <c r="G139" s="2">
        <f>SUMIFS(VI_Debitos!$V:$V,VI_Debitos!$H:$H,$C139,VI_Debitos!$T:$T,$D139,VI_Debitos!$R:$R,LEFT(PAGADO!G$1,4),VI_Debitos!$Q:$Q,RIGHT(G$1,2))</f>
        <v>0</v>
      </c>
      <c r="H139" s="2">
        <f>SUMIFS(VI_Debitos!$V:$V,VI_Debitos!$H:$H,$C139,VI_Debitos!$T:$T,$D139,VI_Debitos!$R:$R,LEFT(PAGADO!H$1,4),VI_Debitos!$Q:$Q,RIGHT(H$1,2))</f>
        <v>0</v>
      </c>
      <c r="I139" s="2">
        <f>SUMIFS(VI_Debitos!$V:$V,VI_Debitos!$H:$H,$C139,VI_Debitos!$T:$T,$D139,VI_Debitos!$R:$R,LEFT(PAGADO!I$1,4),VI_Debitos!$Q:$Q,RIGHT(I$1,2))</f>
        <v>0</v>
      </c>
      <c r="J139" s="2">
        <f>SUMIFS(VI_Debitos!$V:$V,VI_Debitos!$H:$H,$C139,VI_Debitos!$T:$T,$D139,VI_Debitos!$R:$R,LEFT(PAGADO!J$1,4),VI_Debitos!$Q:$Q,RIGHT(J$1,2))</f>
        <v>0</v>
      </c>
      <c r="K139" s="2">
        <f>SUMIFS(VI_Debitos!$V:$V,VI_Debitos!$H:$H,$C139,VI_Debitos!$T:$T,$D139,VI_Debitos!$R:$R,LEFT(PAGADO!K$1,4),VI_Debitos!$Q:$Q,RIGHT(K$1,2))</f>
        <v>0</v>
      </c>
      <c r="L139" s="2">
        <f>SUMIFS(VI_Debitos!$V:$V,VI_Debitos!$H:$H,$C139,VI_Debitos!$T:$T,$D139,VI_Debitos!$R:$R,LEFT(PAGADO!L$1,4),VI_Debitos!$Q:$Q,RIGHT(L$1,2))</f>
        <v>0</v>
      </c>
      <c r="M139" s="2">
        <f>SUMIFS(VI_Debitos!$V:$V,VI_Debitos!$H:$H,$C139,VI_Debitos!$T:$T,$D139,VI_Debitos!$R:$R,LEFT(PAGADO!M$1,4),VI_Debitos!$Q:$Q,RIGHT(M$1,2))</f>
        <v>0</v>
      </c>
      <c r="N139" s="2">
        <f>SUMIFS(VI_Debitos!$V:$V,VI_Debitos!$H:$H,$C139,VI_Debitos!$T:$T,$D139,VI_Debitos!$R:$R,LEFT(PAGADO!N$1,4),VI_Debitos!$Q:$Q,RIGHT(N$1,2))</f>
        <v>0</v>
      </c>
      <c r="O139" s="2">
        <f>SUMIFS(VI_Debitos!$V:$V,VI_Debitos!$H:$H,$C139,VI_Debitos!$T:$T,$D139,VI_Debitos!$R:$R,LEFT(PAGADO!O$1,4),VI_Debitos!$Q:$Q,RIGHT(O$1,2))</f>
        <v>0</v>
      </c>
      <c r="P139" s="2">
        <f>SUMIFS(VI_Debitos!$V:$V,VI_Debitos!$H:$H,$C139,VI_Debitos!$T:$T,$D139,VI_Debitos!$R:$R,LEFT(PAGADO!P$1,4),VI_Debitos!$Q:$Q,RIGHT(P$1,2))</f>
        <v>0</v>
      </c>
      <c r="Q139" s="2">
        <f>SUMIFS(VI_Debitos!$V:$V,VI_Debitos!$H:$H,$C139,VI_Debitos!$T:$T,$D139,VI_Debitos!$R:$R,LEFT(PAGADO!Q$1,4),VI_Debitos!$Q:$Q,RIGHT(Q$1,2))</f>
        <v>0</v>
      </c>
      <c r="R139" s="2">
        <f t="shared" si="2"/>
        <v>0</v>
      </c>
    </row>
    <row r="140" spans="6:18">
      <c r="F140" s="2">
        <f>SUMIFS(VI_Debitos!$V:$V,VI_Debitos!$H:$H,$C140,VI_Debitos!$T:$T,$D140,VI_Debitos!$R:$R,LEFT(PAGADO!F$1,4),VI_Debitos!$Q:$Q,RIGHT(F$1,2))</f>
        <v>0</v>
      </c>
      <c r="G140" s="2">
        <f>SUMIFS(VI_Debitos!$V:$V,VI_Debitos!$H:$H,$C140,VI_Debitos!$T:$T,$D140,VI_Debitos!$R:$R,LEFT(PAGADO!G$1,4),VI_Debitos!$Q:$Q,RIGHT(G$1,2))</f>
        <v>0</v>
      </c>
      <c r="H140" s="2">
        <f>SUMIFS(VI_Debitos!$V:$V,VI_Debitos!$H:$H,$C140,VI_Debitos!$T:$T,$D140,VI_Debitos!$R:$R,LEFT(PAGADO!H$1,4),VI_Debitos!$Q:$Q,RIGHT(H$1,2))</f>
        <v>0</v>
      </c>
      <c r="I140" s="2">
        <f>SUMIFS(VI_Debitos!$V:$V,VI_Debitos!$H:$H,$C140,VI_Debitos!$T:$T,$D140,VI_Debitos!$R:$R,LEFT(PAGADO!I$1,4),VI_Debitos!$Q:$Q,RIGHT(I$1,2))</f>
        <v>0</v>
      </c>
      <c r="J140" s="2">
        <f>SUMIFS(VI_Debitos!$V:$V,VI_Debitos!$H:$H,$C140,VI_Debitos!$T:$T,$D140,VI_Debitos!$R:$R,LEFT(PAGADO!J$1,4),VI_Debitos!$Q:$Q,RIGHT(J$1,2))</f>
        <v>0</v>
      </c>
      <c r="K140" s="2">
        <f>SUMIFS(VI_Debitos!$V:$V,VI_Debitos!$H:$H,$C140,VI_Debitos!$T:$T,$D140,VI_Debitos!$R:$R,LEFT(PAGADO!K$1,4),VI_Debitos!$Q:$Q,RIGHT(K$1,2))</f>
        <v>0</v>
      </c>
      <c r="L140" s="2">
        <f>SUMIFS(VI_Debitos!$V:$V,VI_Debitos!$H:$H,$C140,VI_Debitos!$T:$T,$D140,VI_Debitos!$R:$R,LEFT(PAGADO!L$1,4),VI_Debitos!$Q:$Q,RIGHT(L$1,2))</f>
        <v>0</v>
      </c>
      <c r="M140" s="2">
        <f>SUMIFS(VI_Debitos!$V:$V,VI_Debitos!$H:$H,$C140,VI_Debitos!$T:$T,$D140,VI_Debitos!$R:$R,LEFT(PAGADO!M$1,4),VI_Debitos!$Q:$Q,RIGHT(M$1,2))</f>
        <v>0</v>
      </c>
      <c r="N140" s="2">
        <f>SUMIFS(VI_Debitos!$V:$V,VI_Debitos!$H:$H,$C140,VI_Debitos!$T:$T,$D140,VI_Debitos!$R:$R,LEFT(PAGADO!N$1,4),VI_Debitos!$Q:$Q,RIGHT(N$1,2))</f>
        <v>0</v>
      </c>
      <c r="O140" s="2">
        <f>SUMIFS(VI_Debitos!$V:$V,VI_Debitos!$H:$H,$C140,VI_Debitos!$T:$T,$D140,VI_Debitos!$R:$R,LEFT(PAGADO!O$1,4),VI_Debitos!$Q:$Q,RIGHT(O$1,2))</f>
        <v>0</v>
      </c>
      <c r="P140" s="2">
        <f>SUMIFS(VI_Debitos!$V:$V,VI_Debitos!$H:$H,$C140,VI_Debitos!$T:$T,$D140,VI_Debitos!$R:$R,LEFT(PAGADO!P$1,4),VI_Debitos!$Q:$Q,RIGHT(P$1,2))</f>
        <v>0</v>
      </c>
      <c r="Q140" s="2">
        <f>SUMIFS(VI_Debitos!$V:$V,VI_Debitos!$H:$H,$C140,VI_Debitos!$T:$T,$D140,VI_Debitos!$R:$R,LEFT(PAGADO!Q$1,4),VI_Debitos!$Q:$Q,RIGHT(Q$1,2))</f>
        <v>0</v>
      </c>
      <c r="R140" s="2">
        <f t="shared" si="2"/>
        <v>0</v>
      </c>
    </row>
    <row r="141" spans="6:18">
      <c r="F141" s="2">
        <f>SUMIFS(VI_Debitos!$V:$V,VI_Debitos!$H:$H,$C141,VI_Debitos!$T:$T,$D141,VI_Debitos!$R:$R,LEFT(PAGADO!F$1,4),VI_Debitos!$Q:$Q,RIGHT(F$1,2))</f>
        <v>0</v>
      </c>
      <c r="G141" s="2">
        <f>SUMIFS(VI_Debitos!$V:$V,VI_Debitos!$H:$H,$C141,VI_Debitos!$T:$T,$D141,VI_Debitos!$R:$R,LEFT(PAGADO!G$1,4),VI_Debitos!$Q:$Q,RIGHT(G$1,2))</f>
        <v>0</v>
      </c>
      <c r="H141" s="2">
        <f>SUMIFS(VI_Debitos!$V:$V,VI_Debitos!$H:$H,$C141,VI_Debitos!$T:$T,$D141,VI_Debitos!$R:$R,LEFT(PAGADO!H$1,4),VI_Debitos!$Q:$Q,RIGHT(H$1,2))</f>
        <v>0</v>
      </c>
      <c r="I141" s="2">
        <f>SUMIFS(VI_Debitos!$V:$V,VI_Debitos!$H:$H,$C141,VI_Debitos!$T:$T,$D141,VI_Debitos!$R:$R,LEFT(PAGADO!I$1,4),VI_Debitos!$Q:$Q,RIGHT(I$1,2))</f>
        <v>0</v>
      </c>
      <c r="J141" s="2">
        <f>SUMIFS(VI_Debitos!$V:$V,VI_Debitos!$H:$H,$C141,VI_Debitos!$T:$T,$D141,VI_Debitos!$R:$R,LEFT(PAGADO!J$1,4),VI_Debitos!$Q:$Q,RIGHT(J$1,2))</f>
        <v>0</v>
      </c>
      <c r="K141" s="2">
        <f>SUMIFS(VI_Debitos!$V:$V,VI_Debitos!$H:$H,$C141,VI_Debitos!$T:$T,$D141,VI_Debitos!$R:$R,LEFT(PAGADO!K$1,4),VI_Debitos!$Q:$Q,RIGHT(K$1,2))</f>
        <v>0</v>
      </c>
      <c r="L141" s="2">
        <f>SUMIFS(VI_Debitos!$V:$V,VI_Debitos!$H:$H,$C141,VI_Debitos!$T:$T,$D141,VI_Debitos!$R:$R,LEFT(PAGADO!L$1,4),VI_Debitos!$Q:$Q,RIGHT(L$1,2))</f>
        <v>0</v>
      </c>
      <c r="M141" s="2">
        <f>SUMIFS(VI_Debitos!$V:$V,VI_Debitos!$H:$H,$C141,VI_Debitos!$T:$T,$D141,VI_Debitos!$R:$R,LEFT(PAGADO!M$1,4),VI_Debitos!$Q:$Q,RIGHT(M$1,2))</f>
        <v>0</v>
      </c>
      <c r="N141" s="2">
        <f>SUMIFS(VI_Debitos!$V:$V,VI_Debitos!$H:$H,$C141,VI_Debitos!$T:$T,$D141,VI_Debitos!$R:$R,LEFT(PAGADO!N$1,4),VI_Debitos!$Q:$Q,RIGHT(N$1,2))</f>
        <v>0</v>
      </c>
      <c r="O141" s="2">
        <f>SUMIFS(VI_Debitos!$V:$V,VI_Debitos!$H:$H,$C141,VI_Debitos!$T:$T,$D141,VI_Debitos!$R:$R,LEFT(PAGADO!O$1,4),VI_Debitos!$Q:$Q,RIGHT(O$1,2))</f>
        <v>0</v>
      </c>
      <c r="P141" s="2">
        <f>SUMIFS(VI_Debitos!$V:$V,VI_Debitos!$H:$H,$C141,VI_Debitos!$T:$T,$D141,VI_Debitos!$R:$R,LEFT(PAGADO!P$1,4),VI_Debitos!$Q:$Q,RIGHT(P$1,2))</f>
        <v>0</v>
      </c>
      <c r="Q141" s="2">
        <f>SUMIFS(VI_Debitos!$V:$V,VI_Debitos!$H:$H,$C141,VI_Debitos!$T:$T,$D141,VI_Debitos!$R:$R,LEFT(PAGADO!Q$1,4),VI_Debitos!$Q:$Q,RIGHT(Q$1,2))</f>
        <v>0</v>
      </c>
      <c r="R141" s="2">
        <f t="shared" si="2"/>
        <v>0</v>
      </c>
    </row>
    <row r="142" spans="6:18">
      <c r="F142" s="2">
        <f>SUMIFS(VI_Debitos!$V:$V,VI_Debitos!$H:$H,$C142,VI_Debitos!$T:$T,$D142,VI_Debitos!$R:$R,LEFT(PAGADO!F$1,4),VI_Debitos!$Q:$Q,RIGHT(F$1,2))</f>
        <v>0</v>
      </c>
      <c r="G142" s="2">
        <f>SUMIFS(VI_Debitos!$V:$V,VI_Debitos!$H:$H,$C142,VI_Debitos!$T:$T,$D142,VI_Debitos!$R:$R,LEFT(PAGADO!G$1,4),VI_Debitos!$Q:$Q,RIGHT(G$1,2))</f>
        <v>0</v>
      </c>
      <c r="H142" s="2">
        <f>SUMIFS(VI_Debitos!$V:$V,VI_Debitos!$H:$H,$C142,VI_Debitos!$T:$T,$D142,VI_Debitos!$R:$R,LEFT(PAGADO!H$1,4),VI_Debitos!$Q:$Q,RIGHT(H$1,2))</f>
        <v>0</v>
      </c>
      <c r="I142" s="2">
        <f>SUMIFS(VI_Debitos!$V:$V,VI_Debitos!$H:$H,$C142,VI_Debitos!$T:$T,$D142,VI_Debitos!$R:$R,LEFT(PAGADO!I$1,4),VI_Debitos!$Q:$Q,RIGHT(I$1,2))</f>
        <v>0</v>
      </c>
      <c r="J142" s="2">
        <f>SUMIFS(VI_Debitos!$V:$V,VI_Debitos!$H:$H,$C142,VI_Debitos!$T:$T,$D142,VI_Debitos!$R:$R,LEFT(PAGADO!J$1,4),VI_Debitos!$Q:$Q,RIGHT(J$1,2))</f>
        <v>0</v>
      </c>
      <c r="K142" s="2">
        <f>SUMIFS(VI_Debitos!$V:$V,VI_Debitos!$H:$H,$C142,VI_Debitos!$T:$T,$D142,VI_Debitos!$R:$R,LEFT(PAGADO!K$1,4),VI_Debitos!$Q:$Q,RIGHT(K$1,2))</f>
        <v>0</v>
      </c>
      <c r="L142" s="2">
        <f>SUMIFS(VI_Debitos!$V:$V,VI_Debitos!$H:$H,$C142,VI_Debitos!$T:$T,$D142,VI_Debitos!$R:$R,LEFT(PAGADO!L$1,4),VI_Debitos!$Q:$Q,RIGHT(L$1,2))</f>
        <v>0</v>
      </c>
      <c r="M142" s="2">
        <f>SUMIFS(VI_Debitos!$V:$V,VI_Debitos!$H:$H,$C142,VI_Debitos!$T:$T,$D142,VI_Debitos!$R:$R,LEFT(PAGADO!M$1,4),VI_Debitos!$Q:$Q,RIGHT(M$1,2))</f>
        <v>0</v>
      </c>
      <c r="N142" s="2">
        <f>SUMIFS(VI_Debitos!$V:$V,VI_Debitos!$H:$H,$C142,VI_Debitos!$T:$T,$D142,VI_Debitos!$R:$R,LEFT(PAGADO!N$1,4),VI_Debitos!$Q:$Q,RIGHT(N$1,2))</f>
        <v>0</v>
      </c>
      <c r="O142" s="2">
        <f>SUMIFS(VI_Debitos!$V:$V,VI_Debitos!$H:$H,$C142,VI_Debitos!$T:$T,$D142,VI_Debitos!$R:$R,LEFT(PAGADO!O$1,4),VI_Debitos!$Q:$Q,RIGHT(O$1,2))</f>
        <v>0</v>
      </c>
      <c r="P142" s="2">
        <f>SUMIFS(VI_Debitos!$V:$V,VI_Debitos!$H:$H,$C142,VI_Debitos!$T:$T,$D142,VI_Debitos!$R:$R,LEFT(PAGADO!P$1,4),VI_Debitos!$Q:$Q,RIGHT(P$1,2))</f>
        <v>0</v>
      </c>
      <c r="Q142" s="2">
        <f>SUMIFS(VI_Debitos!$V:$V,VI_Debitos!$H:$H,$C142,VI_Debitos!$T:$T,$D142,VI_Debitos!$R:$R,LEFT(PAGADO!Q$1,4),VI_Debitos!$Q:$Q,RIGHT(Q$1,2))</f>
        <v>0</v>
      </c>
      <c r="R142" s="2">
        <f t="shared" si="2"/>
        <v>0</v>
      </c>
    </row>
    <row r="143" spans="6:18">
      <c r="F143" s="2">
        <f>SUMIFS(VI_Debitos!$V:$V,VI_Debitos!$H:$H,$C143,VI_Debitos!$T:$T,$D143,VI_Debitos!$R:$R,LEFT(PAGADO!F$1,4),VI_Debitos!$Q:$Q,RIGHT(F$1,2))</f>
        <v>0</v>
      </c>
      <c r="G143" s="2">
        <f>SUMIFS(VI_Debitos!$V:$V,VI_Debitos!$H:$H,$C143,VI_Debitos!$T:$T,$D143,VI_Debitos!$R:$R,LEFT(PAGADO!G$1,4),VI_Debitos!$Q:$Q,RIGHT(G$1,2))</f>
        <v>0</v>
      </c>
      <c r="H143" s="2">
        <f>SUMIFS(VI_Debitos!$V:$V,VI_Debitos!$H:$H,$C143,VI_Debitos!$T:$T,$D143,VI_Debitos!$R:$R,LEFT(PAGADO!H$1,4),VI_Debitos!$Q:$Q,RIGHT(H$1,2))</f>
        <v>0</v>
      </c>
      <c r="I143" s="2">
        <f>SUMIFS(VI_Debitos!$V:$V,VI_Debitos!$H:$H,$C143,VI_Debitos!$T:$T,$D143,VI_Debitos!$R:$R,LEFT(PAGADO!I$1,4),VI_Debitos!$Q:$Q,RIGHT(I$1,2))</f>
        <v>0</v>
      </c>
      <c r="J143" s="2">
        <f>SUMIFS(VI_Debitos!$V:$V,VI_Debitos!$H:$H,$C143,VI_Debitos!$T:$T,$D143,VI_Debitos!$R:$R,LEFT(PAGADO!J$1,4),VI_Debitos!$Q:$Q,RIGHT(J$1,2))</f>
        <v>0</v>
      </c>
      <c r="K143" s="2">
        <f>SUMIFS(VI_Debitos!$V:$V,VI_Debitos!$H:$H,$C143,VI_Debitos!$T:$T,$D143,VI_Debitos!$R:$R,LEFT(PAGADO!K$1,4),VI_Debitos!$Q:$Q,RIGHT(K$1,2))</f>
        <v>0</v>
      </c>
      <c r="L143" s="2">
        <f>SUMIFS(VI_Debitos!$V:$V,VI_Debitos!$H:$H,$C143,VI_Debitos!$T:$T,$D143,VI_Debitos!$R:$R,LEFT(PAGADO!L$1,4),VI_Debitos!$Q:$Q,RIGHT(L$1,2))</f>
        <v>0</v>
      </c>
      <c r="M143" s="2">
        <f>SUMIFS(VI_Debitos!$V:$V,VI_Debitos!$H:$H,$C143,VI_Debitos!$T:$T,$D143,VI_Debitos!$R:$R,LEFT(PAGADO!M$1,4),VI_Debitos!$Q:$Q,RIGHT(M$1,2))</f>
        <v>0</v>
      </c>
      <c r="N143" s="2">
        <f>SUMIFS(VI_Debitos!$V:$V,VI_Debitos!$H:$H,$C143,VI_Debitos!$T:$T,$D143,VI_Debitos!$R:$R,LEFT(PAGADO!N$1,4),VI_Debitos!$Q:$Q,RIGHT(N$1,2))</f>
        <v>0</v>
      </c>
      <c r="O143" s="2">
        <f>SUMIFS(VI_Debitos!$V:$V,VI_Debitos!$H:$H,$C143,VI_Debitos!$T:$T,$D143,VI_Debitos!$R:$R,LEFT(PAGADO!O$1,4),VI_Debitos!$Q:$Q,RIGHT(O$1,2))</f>
        <v>0</v>
      </c>
      <c r="P143" s="2">
        <f>SUMIFS(VI_Debitos!$V:$V,VI_Debitos!$H:$H,$C143,VI_Debitos!$T:$T,$D143,VI_Debitos!$R:$R,LEFT(PAGADO!P$1,4),VI_Debitos!$Q:$Q,RIGHT(P$1,2))</f>
        <v>0</v>
      </c>
      <c r="Q143" s="2">
        <f>SUMIFS(VI_Debitos!$V:$V,VI_Debitos!$H:$H,$C143,VI_Debitos!$T:$T,$D143,VI_Debitos!$R:$R,LEFT(PAGADO!Q$1,4),VI_Debitos!$Q:$Q,RIGHT(Q$1,2))</f>
        <v>0</v>
      </c>
      <c r="R143" s="2">
        <f t="shared" si="2"/>
        <v>0</v>
      </c>
    </row>
    <row r="144" spans="6:18">
      <c r="F144" s="2">
        <f>SUMIFS(VI_Debitos!$V:$V,VI_Debitos!$H:$H,$C144,VI_Debitos!$T:$T,$D144,VI_Debitos!$R:$R,LEFT(PAGADO!F$1,4),VI_Debitos!$Q:$Q,RIGHT(F$1,2))</f>
        <v>0</v>
      </c>
      <c r="G144" s="2">
        <f>SUMIFS(VI_Debitos!$V:$V,VI_Debitos!$H:$H,$C144,VI_Debitos!$T:$T,$D144,VI_Debitos!$R:$R,LEFT(PAGADO!G$1,4),VI_Debitos!$Q:$Q,RIGHT(G$1,2))</f>
        <v>0</v>
      </c>
      <c r="H144" s="2">
        <f>SUMIFS(VI_Debitos!$V:$V,VI_Debitos!$H:$H,$C144,VI_Debitos!$T:$T,$D144,VI_Debitos!$R:$R,LEFT(PAGADO!H$1,4),VI_Debitos!$Q:$Q,RIGHT(H$1,2))</f>
        <v>0</v>
      </c>
      <c r="I144" s="2">
        <f>SUMIFS(VI_Debitos!$V:$V,VI_Debitos!$H:$H,$C144,VI_Debitos!$T:$T,$D144,VI_Debitos!$R:$R,LEFT(PAGADO!I$1,4),VI_Debitos!$Q:$Q,RIGHT(I$1,2))</f>
        <v>0</v>
      </c>
      <c r="J144" s="2">
        <f>SUMIFS(VI_Debitos!$V:$V,VI_Debitos!$H:$H,$C144,VI_Debitos!$T:$T,$D144,VI_Debitos!$R:$R,LEFT(PAGADO!J$1,4),VI_Debitos!$Q:$Q,RIGHT(J$1,2))</f>
        <v>0</v>
      </c>
      <c r="K144" s="2">
        <f>SUMIFS(VI_Debitos!$V:$V,VI_Debitos!$H:$H,$C144,VI_Debitos!$T:$T,$D144,VI_Debitos!$R:$R,LEFT(PAGADO!K$1,4),VI_Debitos!$Q:$Q,RIGHT(K$1,2))</f>
        <v>0</v>
      </c>
      <c r="L144" s="2">
        <f>SUMIFS(VI_Debitos!$V:$V,VI_Debitos!$H:$H,$C144,VI_Debitos!$T:$T,$D144,VI_Debitos!$R:$R,LEFT(PAGADO!L$1,4),VI_Debitos!$Q:$Q,RIGHT(L$1,2))</f>
        <v>0</v>
      </c>
      <c r="M144" s="2">
        <f>SUMIFS(VI_Debitos!$V:$V,VI_Debitos!$H:$H,$C144,VI_Debitos!$T:$T,$D144,VI_Debitos!$R:$R,LEFT(PAGADO!M$1,4),VI_Debitos!$Q:$Q,RIGHT(M$1,2))</f>
        <v>0</v>
      </c>
      <c r="N144" s="2">
        <f>SUMIFS(VI_Debitos!$V:$V,VI_Debitos!$H:$H,$C144,VI_Debitos!$T:$T,$D144,VI_Debitos!$R:$R,LEFT(PAGADO!N$1,4),VI_Debitos!$Q:$Q,RIGHT(N$1,2))</f>
        <v>0</v>
      </c>
      <c r="O144" s="2">
        <f>SUMIFS(VI_Debitos!$V:$V,VI_Debitos!$H:$H,$C144,VI_Debitos!$T:$T,$D144,VI_Debitos!$R:$R,LEFT(PAGADO!O$1,4),VI_Debitos!$Q:$Q,RIGHT(O$1,2))</f>
        <v>0</v>
      </c>
      <c r="P144" s="2">
        <f>SUMIFS(VI_Debitos!$V:$V,VI_Debitos!$H:$H,$C144,VI_Debitos!$T:$T,$D144,VI_Debitos!$R:$R,LEFT(PAGADO!P$1,4),VI_Debitos!$Q:$Q,RIGHT(P$1,2))</f>
        <v>0</v>
      </c>
      <c r="Q144" s="2">
        <f>SUMIFS(VI_Debitos!$V:$V,VI_Debitos!$H:$H,$C144,VI_Debitos!$T:$T,$D144,VI_Debitos!$R:$R,LEFT(PAGADO!Q$1,4),VI_Debitos!$Q:$Q,RIGHT(Q$1,2))</f>
        <v>0</v>
      </c>
      <c r="R144" s="2">
        <f t="shared" si="2"/>
        <v>0</v>
      </c>
    </row>
    <row r="145" spans="6:18">
      <c r="F145" s="2">
        <f>SUMIFS(VI_Debitos!$V:$V,VI_Debitos!$H:$H,$C145,VI_Debitos!$T:$T,$D145,VI_Debitos!$R:$R,LEFT(PAGADO!F$1,4),VI_Debitos!$Q:$Q,RIGHT(F$1,2))</f>
        <v>0</v>
      </c>
      <c r="G145" s="2">
        <f>SUMIFS(VI_Debitos!$V:$V,VI_Debitos!$H:$H,$C145,VI_Debitos!$T:$T,$D145,VI_Debitos!$R:$R,LEFT(PAGADO!G$1,4),VI_Debitos!$Q:$Q,RIGHT(G$1,2))</f>
        <v>0</v>
      </c>
      <c r="H145" s="2">
        <f>SUMIFS(VI_Debitos!$V:$V,VI_Debitos!$H:$H,$C145,VI_Debitos!$T:$T,$D145,VI_Debitos!$R:$R,LEFT(PAGADO!H$1,4),VI_Debitos!$Q:$Q,RIGHT(H$1,2))</f>
        <v>0</v>
      </c>
      <c r="I145" s="2">
        <f>SUMIFS(VI_Debitos!$V:$V,VI_Debitos!$H:$H,$C145,VI_Debitos!$T:$T,$D145,VI_Debitos!$R:$R,LEFT(PAGADO!I$1,4),VI_Debitos!$Q:$Q,RIGHT(I$1,2))</f>
        <v>0</v>
      </c>
      <c r="J145" s="2">
        <f>SUMIFS(VI_Debitos!$V:$V,VI_Debitos!$H:$H,$C145,VI_Debitos!$T:$T,$D145,VI_Debitos!$R:$R,LEFT(PAGADO!J$1,4),VI_Debitos!$Q:$Q,RIGHT(J$1,2))</f>
        <v>0</v>
      </c>
      <c r="K145" s="2">
        <f>SUMIFS(VI_Debitos!$V:$V,VI_Debitos!$H:$H,$C145,VI_Debitos!$T:$T,$D145,VI_Debitos!$R:$R,LEFT(PAGADO!K$1,4),VI_Debitos!$Q:$Q,RIGHT(K$1,2))</f>
        <v>0</v>
      </c>
      <c r="L145" s="2">
        <f>SUMIFS(VI_Debitos!$V:$V,VI_Debitos!$H:$H,$C145,VI_Debitos!$T:$T,$D145,VI_Debitos!$R:$R,LEFT(PAGADO!L$1,4),VI_Debitos!$Q:$Q,RIGHT(L$1,2))</f>
        <v>0</v>
      </c>
      <c r="M145" s="2">
        <f>SUMIFS(VI_Debitos!$V:$V,VI_Debitos!$H:$H,$C145,VI_Debitos!$T:$T,$D145,VI_Debitos!$R:$R,LEFT(PAGADO!M$1,4),VI_Debitos!$Q:$Q,RIGHT(M$1,2))</f>
        <v>0</v>
      </c>
      <c r="N145" s="2">
        <f>SUMIFS(VI_Debitos!$V:$V,VI_Debitos!$H:$H,$C145,VI_Debitos!$T:$T,$D145,VI_Debitos!$R:$R,LEFT(PAGADO!N$1,4),VI_Debitos!$Q:$Q,RIGHT(N$1,2))</f>
        <v>0</v>
      </c>
      <c r="O145" s="2">
        <f>SUMIFS(VI_Debitos!$V:$V,VI_Debitos!$H:$H,$C145,VI_Debitos!$T:$T,$D145,VI_Debitos!$R:$R,LEFT(PAGADO!O$1,4),VI_Debitos!$Q:$Q,RIGHT(O$1,2))</f>
        <v>0</v>
      </c>
      <c r="P145" s="2">
        <f>SUMIFS(VI_Debitos!$V:$V,VI_Debitos!$H:$H,$C145,VI_Debitos!$T:$T,$D145,VI_Debitos!$R:$R,LEFT(PAGADO!P$1,4),VI_Debitos!$Q:$Q,RIGHT(P$1,2))</f>
        <v>0</v>
      </c>
      <c r="Q145" s="2">
        <f>SUMIFS(VI_Debitos!$V:$V,VI_Debitos!$H:$H,$C145,VI_Debitos!$T:$T,$D145,VI_Debitos!$R:$R,LEFT(PAGADO!Q$1,4),VI_Debitos!$Q:$Q,RIGHT(Q$1,2))</f>
        <v>0</v>
      </c>
      <c r="R145" s="2">
        <f t="shared" si="2"/>
        <v>0</v>
      </c>
    </row>
    <row r="146" spans="6:18">
      <c r="F146" s="2">
        <f>SUMIFS(VI_Debitos!$V:$V,VI_Debitos!$H:$H,$C146,VI_Debitos!$T:$T,$D146,VI_Debitos!$R:$R,LEFT(PAGADO!F$1,4),VI_Debitos!$Q:$Q,RIGHT(F$1,2))</f>
        <v>0</v>
      </c>
      <c r="G146" s="2">
        <f>SUMIFS(VI_Debitos!$V:$V,VI_Debitos!$H:$H,$C146,VI_Debitos!$T:$T,$D146,VI_Debitos!$R:$R,LEFT(PAGADO!G$1,4),VI_Debitos!$Q:$Q,RIGHT(G$1,2))</f>
        <v>0</v>
      </c>
      <c r="H146" s="2">
        <f>SUMIFS(VI_Debitos!$V:$V,VI_Debitos!$H:$H,$C146,VI_Debitos!$T:$T,$D146,VI_Debitos!$R:$R,LEFT(PAGADO!H$1,4),VI_Debitos!$Q:$Q,RIGHT(H$1,2))</f>
        <v>0</v>
      </c>
      <c r="I146" s="2">
        <f>SUMIFS(VI_Debitos!$V:$V,VI_Debitos!$H:$H,$C146,VI_Debitos!$T:$T,$D146,VI_Debitos!$R:$R,LEFT(PAGADO!I$1,4),VI_Debitos!$Q:$Q,RIGHT(I$1,2))</f>
        <v>0</v>
      </c>
      <c r="J146" s="2">
        <f>SUMIFS(VI_Debitos!$V:$V,VI_Debitos!$H:$H,$C146,VI_Debitos!$T:$T,$D146,VI_Debitos!$R:$R,LEFT(PAGADO!J$1,4),VI_Debitos!$Q:$Q,RIGHT(J$1,2))</f>
        <v>0</v>
      </c>
      <c r="K146" s="2">
        <f>SUMIFS(VI_Debitos!$V:$V,VI_Debitos!$H:$H,$C146,VI_Debitos!$T:$T,$D146,VI_Debitos!$R:$R,LEFT(PAGADO!K$1,4),VI_Debitos!$Q:$Q,RIGHT(K$1,2))</f>
        <v>0</v>
      </c>
      <c r="L146" s="2">
        <f>SUMIFS(VI_Debitos!$V:$V,VI_Debitos!$H:$H,$C146,VI_Debitos!$T:$T,$D146,VI_Debitos!$R:$R,LEFT(PAGADO!L$1,4),VI_Debitos!$Q:$Q,RIGHT(L$1,2))</f>
        <v>0</v>
      </c>
      <c r="M146" s="2">
        <f>SUMIFS(VI_Debitos!$V:$V,VI_Debitos!$H:$H,$C146,VI_Debitos!$T:$T,$D146,VI_Debitos!$R:$R,LEFT(PAGADO!M$1,4),VI_Debitos!$Q:$Q,RIGHT(M$1,2))</f>
        <v>0</v>
      </c>
      <c r="N146" s="2">
        <f>SUMIFS(VI_Debitos!$V:$V,VI_Debitos!$H:$H,$C146,VI_Debitos!$T:$T,$D146,VI_Debitos!$R:$R,LEFT(PAGADO!N$1,4),VI_Debitos!$Q:$Q,RIGHT(N$1,2))</f>
        <v>0</v>
      </c>
      <c r="O146" s="2">
        <f>SUMIFS(VI_Debitos!$V:$V,VI_Debitos!$H:$H,$C146,VI_Debitos!$T:$T,$D146,VI_Debitos!$R:$R,LEFT(PAGADO!O$1,4),VI_Debitos!$Q:$Q,RIGHT(O$1,2))</f>
        <v>0</v>
      </c>
      <c r="P146" s="2">
        <f>SUMIFS(VI_Debitos!$V:$V,VI_Debitos!$H:$H,$C146,VI_Debitos!$T:$T,$D146,VI_Debitos!$R:$R,LEFT(PAGADO!P$1,4),VI_Debitos!$Q:$Q,RIGHT(P$1,2))</f>
        <v>0</v>
      </c>
      <c r="Q146" s="2">
        <f>SUMIFS(VI_Debitos!$V:$V,VI_Debitos!$H:$H,$C146,VI_Debitos!$T:$T,$D146,VI_Debitos!$R:$R,LEFT(PAGADO!Q$1,4),VI_Debitos!$Q:$Q,RIGHT(Q$1,2))</f>
        <v>0</v>
      </c>
      <c r="R146" s="2">
        <f t="shared" si="2"/>
        <v>0</v>
      </c>
    </row>
    <row r="147" spans="6:18">
      <c r="F147" s="2">
        <f>SUMIFS(VI_Debitos!$V:$V,VI_Debitos!$H:$H,$C147,VI_Debitos!$T:$T,$D147,VI_Debitos!$R:$R,LEFT(PAGADO!F$1,4),VI_Debitos!$Q:$Q,RIGHT(F$1,2))</f>
        <v>0</v>
      </c>
      <c r="G147" s="2">
        <f>SUMIFS(VI_Debitos!$V:$V,VI_Debitos!$H:$H,$C147,VI_Debitos!$T:$T,$D147,VI_Debitos!$R:$R,LEFT(PAGADO!G$1,4),VI_Debitos!$Q:$Q,RIGHT(G$1,2))</f>
        <v>0</v>
      </c>
      <c r="H147" s="2">
        <f>SUMIFS(VI_Debitos!$V:$V,VI_Debitos!$H:$H,$C147,VI_Debitos!$T:$T,$D147,VI_Debitos!$R:$R,LEFT(PAGADO!H$1,4),VI_Debitos!$Q:$Q,RIGHT(H$1,2))</f>
        <v>0</v>
      </c>
      <c r="I147" s="2">
        <f>SUMIFS(VI_Debitos!$V:$V,VI_Debitos!$H:$H,$C147,VI_Debitos!$T:$T,$D147,VI_Debitos!$R:$R,LEFT(PAGADO!I$1,4),VI_Debitos!$Q:$Q,RIGHT(I$1,2))</f>
        <v>0</v>
      </c>
      <c r="J147" s="2">
        <f>SUMIFS(VI_Debitos!$V:$V,VI_Debitos!$H:$H,$C147,VI_Debitos!$T:$T,$D147,VI_Debitos!$R:$R,LEFT(PAGADO!J$1,4),VI_Debitos!$Q:$Q,RIGHT(J$1,2))</f>
        <v>0</v>
      </c>
      <c r="K147" s="2">
        <f>SUMIFS(VI_Debitos!$V:$V,VI_Debitos!$H:$H,$C147,VI_Debitos!$T:$T,$D147,VI_Debitos!$R:$R,LEFT(PAGADO!K$1,4),VI_Debitos!$Q:$Q,RIGHT(K$1,2))</f>
        <v>0</v>
      </c>
      <c r="L147" s="2">
        <f>SUMIFS(VI_Debitos!$V:$V,VI_Debitos!$H:$H,$C147,VI_Debitos!$T:$T,$D147,VI_Debitos!$R:$R,LEFT(PAGADO!L$1,4),VI_Debitos!$Q:$Q,RIGHT(L$1,2))</f>
        <v>0</v>
      </c>
      <c r="M147" s="2">
        <f>SUMIFS(VI_Debitos!$V:$V,VI_Debitos!$H:$H,$C147,VI_Debitos!$T:$T,$D147,VI_Debitos!$R:$R,LEFT(PAGADO!M$1,4),VI_Debitos!$Q:$Q,RIGHT(M$1,2))</f>
        <v>0</v>
      </c>
      <c r="N147" s="2">
        <f>SUMIFS(VI_Debitos!$V:$V,VI_Debitos!$H:$H,$C147,VI_Debitos!$T:$T,$D147,VI_Debitos!$R:$R,LEFT(PAGADO!N$1,4),VI_Debitos!$Q:$Q,RIGHT(N$1,2))</f>
        <v>0</v>
      </c>
      <c r="O147" s="2">
        <f>SUMIFS(VI_Debitos!$V:$V,VI_Debitos!$H:$H,$C147,VI_Debitos!$T:$T,$D147,VI_Debitos!$R:$R,LEFT(PAGADO!O$1,4),VI_Debitos!$Q:$Q,RIGHT(O$1,2))</f>
        <v>0</v>
      </c>
      <c r="P147" s="2">
        <f>SUMIFS(VI_Debitos!$V:$V,VI_Debitos!$H:$H,$C147,VI_Debitos!$T:$T,$D147,VI_Debitos!$R:$R,LEFT(PAGADO!P$1,4),VI_Debitos!$Q:$Q,RIGHT(P$1,2))</f>
        <v>0</v>
      </c>
      <c r="Q147" s="2">
        <f>SUMIFS(VI_Debitos!$V:$V,VI_Debitos!$H:$H,$C147,VI_Debitos!$T:$T,$D147,VI_Debitos!$R:$R,LEFT(PAGADO!Q$1,4),VI_Debitos!$Q:$Q,RIGHT(Q$1,2))</f>
        <v>0</v>
      </c>
      <c r="R147" s="2">
        <f t="shared" si="2"/>
        <v>0</v>
      </c>
    </row>
    <row r="148" spans="6:18">
      <c r="F148" s="2">
        <f>SUMIFS(VI_Debitos!$V:$V,VI_Debitos!$H:$H,$C148,VI_Debitos!$T:$T,$D148,VI_Debitos!$R:$R,LEFT(PAGADO!F$1,4),VI_Debitos!$Q:$Q,RIGHT(F$1,2))</f>
        <v>0</v>
      </c>
      <c r="G148" s="2">
        <f>SUMIFS(VI_Debitos!$V:$V,VI_Debitos!$H:$H,$C148,VI_Debitos!$T:$T,$D148,VI_Debitos!$R:$R,LEFT(PAGADO!G$1,4),VI_Debitos!$Q:$Q,RIGHT(G$1,2))</f>
        <v>0</v>
      </c>
      <c r="H148" s="2">
        <f>SUMIFS(VI_Debitos!$V:$V,VI_Debitos!$H:$H,$C148,VI_Debitos!$T:$T,$D148,VI_Debitos!$R:$R,LEFT(PAGADO!H$1,4),VI_Debitos!$Q:$Q,RIGHT(H$1,2))</f>
        <v>0</v>
      </c>
      <c r="I148" s="2">
        <f>SUMIFS(VI_Debitos!$V:$V,VI_Debitos!$H:$H,$C148,VI_Debitos!$T:$T,$D148,VI_Debitos!$R:$R,LEFT(PAGADO!I$1,4),VI_Debitos!$Q:$Q,RIGHT(I$1,2))</f>
        <v>0</v>
      </c>
      <c r="J148" s="2">
        <f>SUMIFS(VI_Debitos!$V:$V,VI_Debitos!$H:$H,$C148,VI_Debitos!$T:$T,$D148,VI_Debitos!$R:$R,LEFT(PAGADO!J$1,4),VI_Debitos!$Q:$Q,RIGHT(J$1,2))</f>
        <v>0</v>
      </c>
      <c r="K148" s="2">
        <f>SUMIFS(VI_Debitos!$V:$V,VI_Debitos!$H:$H,$C148,VI_Debitos!$T:$T,$D148,VI_Debitos!$R:$R,LEFT(PAGADO!K$1,4),VI_Debitos!$Q:$Q,RIGHT(K$1,2))</f>
        <v>0</v>
      </c>
      <c r="L148" s="2">
        <f>SUMIFS(VI_Debitos!$V:$V,VI_Debitos!$H:$H,$C148,VI_Debitos!$T:$T,$D148,VI_Debitos!$R:$R,LEFT(PAGADO!L$1,4),VI_Debitos!$Q:$Q,RIGHT(L$1,2))</f>
        <v>0</v>
      </c>
      <c r="M148" s="2">
        <f>SUMIFS(VI_Debitos!$V:$V,VI_Debitos!$H:$H,$C148,VI_Debitos!$T:$T,$D148,VI_Debitos!$R:$R,LEFT(PAGADO!M$1,4),VI_Debitos!$Q:$Q,RIGHT(M$1,2))</f>
        <v>0</v>
      </c>
      <c r="N148" s="2">
        <f>SUMIFS(VI_Debitos!$V:$V,VI_Debitos!$H:$H,$C148,VI_Debitos!$T:$T,$D148,VI_Debitos!$R:$R,LEFT(PAGADO!N$1,4),VI_Debitos!$Q:$Q,RIGHT(N$1,2))</f>
        <v>0</v>
      </c>
      <c r="O148" s="2">
        <f>SUMIFS(VI_Debitos!$V:$V,VI_Debitos!$H:$H,$C148,VI_Debitos!$T:$T,$D148,VI_Debitos!$R:$R,LEFT(PAGADO!O$1,4),VI_Debitos!$Q:$Q,RIGHT(O$1,2))</f>
        <v>0</v>
      </c>
      <c r="P148" s="2">
        <f>SUMIFS(VI_Debitos!$V:$V,VI_Debitos!$H:$H,$C148,VI_Debitos!$T:$T,$D148,VI_Debitos!$R:$R,LEFT(PAGADO!P$1,4),VI_Debitos!$Q:$Q,RIGHT(P$1,2))</f>
        <v>0</v>
      </c>
      <c r="Q148" s="2">
        <f>SUMIFS(VI_Debitos!$V:$V,VI_Debitos!$H:$H,$C148,VI_Debitos!$T:$T,$D148,VI_Debitos!$R:$R,LEFT(PAGADO!Q$1,4),VI_Debitos!$Q:$Q,RIGHT(Q$1,2))</f>
        <v>0</v>
      </c>
      <c r="R148" s="2">
        <f t="shared" si="2"/>
        <v>0</v>
      </c>
    </row>
    <row r="149" spans="6:18">
      <c r="F149" s="2">
        <f>SUMIFS(VI_Debitos!$V:$V,VI_Debitos!$H:$H,$C149,VI_Debitos!$T:$T,$D149,VI_Debitos!$R:$R,LEFT(PAGADO!F$1,4),VI_Debitos!$Q:$Q,RIGHT(F$1,2))</f>
        <v>0</v>
      </c>
      <c r="G149" s="2">
        <f>SUMIFS(VI_Debitos!$V:$V,VI_Debitos!$H:$H,$C149,VI_Debitos!$T:$T,$D149,VI_Debitos!$R:$R,LEFT(PAGADO!G$1,4),VI_Debitos!$Q:$Q,RIGHT(G$1,2))</f>
        <v>0</v>
      </c>
      <c r="H149" s="2">
        <f>SUMIFS(VI_Debitos!$V:$V,VI_Debitos!$H:$H,$C149,VI_Debitos!$T:$T,$D149,VI_Debitos!$R:$R,LEFT(PAGADO!H$1,4),VI_Debitos!$Q:$Q,RIGHT(H$1,2))</f>
        <v>0</v>
      </c>
      <c r="I149" s="2">
        <f>SUMIFS(VI_Debitos!$V:$V,VI_Debitos!$H:$H,$C149,VI_Debitos!$T:$T,$D149,VI_Debitos!$R:$R,LEFT(PAGADO!I$1,4),VI_Debitos!$Q:$Q,RIGHT(I$1,2))</f>
        <v>0</v>
      </c>
      <c r="J149" s="2">
        <f>SUMIFS(VI_Debitos!$V:$V,VI_Debitos!$H:$H,$C149,VI_Debitos!$T:$T,$D149,VI_Debitos!$R:$R,LEFT(PAGADO!J$1,4),VI_Debitos!$Q:$Q,RIGHT(J$1,2))</f>
        <v>0</v>
      </c>
      <c r="K149" s="2">
        <f>SUMIFS(VI_Debitos!$V:$V,VI_Debitos!$H:$H,$C149,VI_Debitos!$T:$T,$D149,VI_Debitos!$R:$R,LEFT(PAGADO!K$1,4),VI_Debitos!$Q:$Q,RIGHT(K$1,2))</f>
        <v>0</v>
      </c>
      <c r="L149" s="2">
        <f>SUMIFS(VI_Debitos!$V:$V,VI_Debitos!$H:$H,$C149,VI_Debitos!$T:$T,$D149,VI_Debitos!$R:$R,LEFT(PAGADO!L$1,4),VI_Debitos!$Q:$Q,RIGHT(L$1,2))</f>
        <v>0</v>
      </c>
      <c r="M149" s="2">
        <f>SUMIFS(VI_Debitos!$V:$V,VI_Debitos!$H:$H,$C149,VI_Debitos!$T:$T,$D149,VI_Debitos!$R:$R,LEFT(PAGADO!M$1,4),VI_Debitos!$Q:$Q,RIGHT(M$1,2))</f>
        <v>0</v>
      </c>
      <c r="N149" s="2">
        <f>SUMIFS(VI_Debitos!$V:$V,VI_Debitos!$H:$H,$C149,VI_Debitos!$T:$T,$D149,VI_Debitos!$R:$R,LEFT(PAGADO!N$1,4),VI_Debitos!$Q:$Q,RIGHT(N$1,2))</f>
        <v>0</v>
      </c>
      <c r="O149" s="2">
        <f>SUMIFS(VI_Debitos!$V:$V,VI_Debitos!$H:$H,$C149,VI_Debitos!$T:$T,$D149,VI_Debitos!$R:$R,LEFT(PAGADO!O$1,4),VI_Debitos!$Q:$Q,RIGHT(O$1,2))</f>
        <v>0</v>
      </c>
      <c r="P149" s="2">
        <f>SUMIFS(VI_Debitos!$V:$V,VI_Debitos!$H:$H,$C149,VI_Debitos!$T:$T,$D149,VI_Debitos!$R:$R,LEFT(PAGADO!P$1,4),VI_Debitos!$Q:$Q,RIGHT(P$1,2))</f>
        <v>0</v>
      </c>
      <c r="Q149" s="2">
        <f>SUMIFS(VI_Debitos!$V:$V,VI_Debitos!$H:$H,$C149,VI_Debitos!$T:$T,$D149,VI_Debitos!$R:$R,LEFT(PAGADO!Q$1,4),VI_Debitos!$Q:$Q,RIGHT(Q$1,2))</f>
        <v>0</v>
      </c>
      <c r="R149" s="2">
        <f t="shared" si="2"/>
        <v>0</v>
      </c>
    </row>
    <row r="150" spans="6:18">
      <c r="F150" s="2">
        <f>SUMIFS(VI_Debitos!$V:$V,VI_Debitos!$H:$H,$C150,VI_Debitos!$T:$T,$D150,VI_Debitos!$R:$R,LEFT(PAGADO!F$1,4),VI_Debitos!$Q:$Q,RIGHT(F$1,2))</f>
        <v>0</v>
      </c>
      <c r="G150" s="2">
        <f>SUMIFS(VI_Debitos!$V:$V,VI_Debitos!$H:$H,$C150,VI_Debitos!$T:$T,$D150,VI_Debitos!$R:$R,LEFT(PAGADO!G$1,4),VI_Debitos!$Q:$Q,RIGHT(G$1,2))</f>
        <v>0</v>
      </c>
      <c r="H150" s="2">
        <f>SUMIFS(VI_Debitos!$V:$V,VI_Debitos!$H:$H,$C150,VI_Debitos!$T:$T,$D150,VI_Debitos!$R:$R,LEFT(PAGADO!H$1,4),VI_Debitos!$Q:$Q,RIGHT(H$1,2))</f>
        <v>0</v>
      </c>
      <c r="I150" s="2">
        <f>SUMIFS(VI_Debitos!$V:$V,VI_Debitos!$H:$H,$C150,VI_Debitos!$T:$T,$D150,VI_Debitos!$R:$R,LEFT(PAGADO!I$1,4),VI_Debitos!$Q:$Q,RIGHT(I$1,2))</f>
        <v>0</v>
      </c>
      <c r="J150" s="2">
        <f>SUMIFS(VI_Debitos!$V:$V,VI_Debitos!$H:$H,$C150,VI_Debitos!$T:$T,$D150,VI_Debitos!$R:$R,LEFT(PAGADO!J$1,4),VI_Debitos!$Q:$Q,RIGHT(J$1,2))</f>
        <v>0</v>
      </c>
      <c r="K150" s="2">
        <f>SUMIFS(VI_Debitos!$V:$V,VI_Debitos!$H:$H,$C150,VI_Debitos!$T:$T,$D150,VI_Debitos!$R:$R,LEFT(PAGADO!K$1,4),VI_Debitos!$Q:$Q,RIGHT(K$1,2))</f>
        <v>0</v>
      </c>
      <c r="L150" s="2">
        <f>SUMIFS(VI_Debitos!$V:$V,VI_Debitos!$H:$H,$C150,VI_Debitos!$T:$T,$D150,VI_Debitos!$R:$R,LEFT(PAGADO!L$1,4),VI_Debitos!$Q:$Q,RIGHT(L$1,2))</f>
        <v>0</v>
      </c>
      <c r="M150" s="2">
        <f>SUMIFS(VI_Debitos!$V:$V,VI_Debitos!$H:$H,$C150,VI_Debitos!$T:$T,$D150,VI_Debitos!$R:$R,LEFT(PAGADO!M$1,4),VI_Debitos!$Q:$Q,RIGHT(M$1,2))</f>
        <v>0</v>
      </c>
      <c r="N150" s="2">
        <f>SUMIFS(VI_Debitos!$V:$V,VI_Debitos!$H:$H,$C150,VI_Debitos!$T:$T,$D150,VI_Debitos!$R:$R,LEFT(PAGADO!N$1,4),VI_Debitos!$Q:$Q,RIGHT(N$1,2))</f>
        <v>0</v>
      </c>
      <c r="O150" s="2">
        <f>SUMIFS(VI_Debitos!$V:$V,VI_Debitos!$H:$H,$C150,VI_Debitos!$T:$T,$D150,VI_Debitos!$R:$R,LEFT(PAGADO!O$1,4),VI_Debitos!$Q:$Q,RIGHT(O$1,2))</f>
        <v>0</v>
      </c>
      <c r="P150" s="2">
        <f>SUMIFS(VI_Debitos!$V:$V,VI_Debitos!$H:$H,$C150,VI_Debitos!$T:$T,$D150,VI_Debitos!$R:$R,LEFT(PAGADO!P$1,4),VI_Debitos!$Q:$Q,RIGHT(P$1,2))</f>
        <v>0</v>
      </c>
      <c r="Q150" s="2">
        <f>SUMIFS(VI_Debitos!$V:$V,VI_Debitos!$H:$H,$C150,VI_Debitos!$T:$T,$D150,VI_Debitos!$R:$R,LEFT(PAGADO!Q$1,4),VI_Debitos!$Q:$Q,RIGHT(Q$1,2))</f>
        <v>0</v>
      </c>
      <c r="R150" s="2">
        <f t="shared" si="2"/>
        <v>0</v>
      </c>
    </row>
    <row r="151" spans="6:18">
      <c r="F151" s="2">
        <f>SUMIFS(VI_Debitos!$V:$V,VI_Debitos!$H:$H,$C151,VI_Debitos!$T:$T,$D151,VI_Debitos!$R:$R,LEFT(PAGADO!F$1,4),VI_Debitos!$Q:$Q,RIGHT(F$1,2))</f>
        <v>0</v>
      </c>
      <c r="G151" s="2">
        <f>SUMIFS(VI_Debitos!$V:$V,VI_Debitos!$H:$H,$C151,VI_Debitos!$T:$T,$D151,VI_Debitos!$R:$R,LEFT(PAGADO!G$1,4),VI_Debitos!$Q:$Q,RIGHT(G$1,2))</f>
        <v>0</v>
      </c>
      <c r="H151" s="2">
        <f>SUMIFS(VI_Debitos!$V:$V,VI_Debitos!$H:$H,$C151,VI_Debitos!$T:$T,$D151,VI_Debitos!$R:$R,LEFT(PAGADO!H$1,4),VI_Debitos!$Q:$Q,RIGHT(H$1,2))</f>
        <v>0</v>
      </c>
      <c r="I151" s="2">
        <f>SUMIFS(VI_Debitos!$V:$V,VI_Debitos!$H:$H,$C151,VI_Debitos!$T:$T,$D151,VI_Debitos!$R:$R,LEFT(PAGADO!I$1,4),VI_Debitos!$Q:$Q,RIGHT(I$1,2))</f>
        <v>0</v>
      </c>
      <c r="J151" s="2">
        <f>SUMIFS(VI_Debitos!$V:$V,VI_Debitos!$H:$H,$C151,VI_Debitos!$T:$T,$D151,VI_Debitos!$R:$R,LEFT(PAGADO!J$1,4),VI_Debitos!$Q:$Q,RIGHT(J$1,2))</f>
        <v>0</v>
      </c>
      <c r="K151" s="2">
        <f>SUMIFS(VI_Debitos!$V:$V,VI_Debitos!$H:$H,$C151,VI_Debitos!$T:$T,$D151,VI_Debitos!$R:$R,LEFT(PAGADO!K$1,4),VI_Debitos!$Q:$Q,RIGHT(K$1,2))</f>
        <v>0</v>
      </c>
      <c r="L151" s="2">
        <f>SUMIFS(VI_Debitos!$V:$V,VI_Debitos!$H:$H,$C151,VI_Debitos!$T:$T,$D151,VI_Debitos!$R:$R,LEFT(PAGADO!L$1,4),VI_Debitos!$Q:$Q,RIGHT(L$1,2))</f>
        <v>0</v>
      </c>
      <c r="M151" s="2">
        <f>SUMIFS(VI_Debitos!$V:$V,VI_Debitos!$H:$H,$C151,VI_Debitos!$T:$T,$D151,VI_Debitos!$R:$R,LEFT(PAGADO!M$1,4),VI_Debitos!$Q:$Q,RIGHT(M$1,2))</f>
        <v>0</v>
      </c>
      <c r="N151" s="2">
        <f>SUMIFS(VI_Debitos!$V:$V,VI_Debitos!$H:$H,$C151,VI_Debitos!$T:$T,$D151,VI_Debitos!$R:$R,LEFT(PAGADO!N$1,4),VI_Debitos!$Q:$Q,RIGHT(N$1,2))</f>
        <v>0</v>
      </c>
      <c r="O151" s="2">
        <f>SUMIFS(VI_Debitos!$V:$V,VI_Debitos!$H:$H,$C151,VI_Debitos!$T:$T,$D151,VI_Debitos!$R:$R,LEFT(PAGADO!O$1,4),VI_Debitos!$Q:$Q,RIGHT(O$1,2))</f>
        <v>0</v>
      </c>
      <c r="P151" s="2">
        <f>SUMIFS(VI_Debitos!$V:$V,VI_Debitos!$H:$H,$C151,VI_Debitos!$T:$T,$D151,VI_Debitos!$R:$R,LEFT(PAGADO!P$1,4),VI_Debitos!$Q:$Q,RIGHT(P$1,2))</f>
        <v>0</v>
      </c>
      <c r="Q151" s="2">
        <f>SUMIFS(VI_Debitos!$V:$V,VI_Debitos!$H:$H,$C151,VI_Debitos!$T:$T,$D151,VI_Debitos!$R:$R,LEFT(PAGADO!Q$1,4),VI_Debitos!$Q:$Q,RIGHT(Q$1,2))</f>
        <v>0</v>
      </c>
      <c r="R151" s="2">
        <f t="shared" si="2"/>
        <v>0</v>
      </c>
    </row>
    <row r="152" spans="6:18">
      <c r="F152" s="2">
        <f>SUMIFS(VI_Debitos!$V:$V,VI_Debitos!$H:$H,$C152,VI_Debitos!$T:$T,$D152,VI_Debitos!$R:$R,LEFT(PAGADO!F$1,4),VI_Debitos!$Q:$Q,RIGHT(F$1,2))</f>
        <v>0</v>
      </c>
      <c r="G152" s="2">
        <f>SUMIFS(VI_Debitos!$V:$V,VI_Debitos!$H:$H,$C152,VI_Debitos!$T:$T,$D152,VI_Debitos!$R:$R,LEFT(PAGADO!G$1,4),VI_Debitos!$Q:$Q,RIGHT(G$1,2))</f>
        <v>0</v>
      </c>
      <c r="H152" s="2">
        <f>SUMIFS(VI_Debitos!$V:$V,VI_Debitos!$H:$H,$C152,VI_Debitos!$T:$T,$D152,VI_Debitos!$R:$R,LEFT(PAGADO!H$1,4),VI_Debitos!$Q:$Q,RIGHT(H$1,2))</f>
        <v>0</v>
      </c>
      <c r="I152" s="2">
        <f>SUMIFS(VI_Debitos!$V:$V,VI_Debitos!$H:$H,$C152,VI_Debitos!$T:$T,$D152,VI_Debitos!$R:$R,LEFT(PAGADO!I$1,4),VI_Debitos!$Q:$Q,RIGHT(I$1,2))</f>
        <v>0</v>
      </c>
      <c r="J152" s="2">
        <f>SUMIFS(VI_Debitos!$V:$V,VI_Debitos!$H:$H,$C152,VI_Debitos!$T:$T,$D152,VI_Debitos!$R:$R,LEFT(PAGADO!J$1,4),VI_Debitos!$Q:$Q,RIGHT(J$1,2))</f>
        <v>0</v>
      </c>
      <c r="K152" s="2">
        <f>SUMIFS(VI_Debitos!$V:$V,VI_Debitos!$H:$H,$C152,VI_Debitos!$T:$T,$D152,VI_Debitos!$R:$R,LEFT(PAGADO!K$1,4),VI_Debitos!$Q:$Q,RIGHT(K$1,2))</f>
        <v>0</v>
      </c>
      <c r="L152" s="2">
        <f>SUMIFS(VI_Debitos!$V:$V,VI_Debitos!$H:$H,$C152,VI_Debitos!$T:$T,$D152,VI_Debitos!$R:$R,LEFT(PAGADO!L$1,4),VI_Debitos!$Q:$Q,RIGHT(L$1,2))</f>
        <v>0</v>
      </c>
      <c r="M152" s="2">
        <f>SUMIFS(VI_Debitos!$V:$V,VI_Debitos!$H:$H,$C152,VI_Debitos!$T:$T,$D152,VI_Debitos!$R:$R,LEFT(PAGADO!M$1,4),VI_Debitos!$Q:$Q,RIGHT(M$1,2))</f>
        <v>0</v>
      </c>
      <c r="N152" s="2">
        <f>SUMIFS(VI_Debitos!$V:$V,VI_Debitos!$H:$H,$C152,VI_Debitos!$T:$T,$D152,VI_Debitos!$R:$R,LEFT(PAGADO!N$1,4),VI_Debitos!$Q:$Q,RIGHT(N$1,2))</f>
        <v>0</v>
      </c>
      <c r="O152" s="2">
        <f>SUMIFS(VI_Debitos!$V:$V,VI_Debitos!$H:$H,$C152,VI_Debitos!$T:$T,$D152,VI_Debitos!$R:$R,LEFT(PAGADO!O$1,4),VI_Debitos!$Q:$Q,RIGHT(O$1,2))</f>
        <v>0</v>
      </c>
      <c r="P152" s="2">
        <f>SUMIFS(VI_Debitos!$V:$V,VI_Debitos!$H:$H,$C152,VI_Debitos!$T:$T,$D152,VI_Debitos!$R:$R,LEFT(PAGADO!P$1,4),VI_Debitos!$Q:$Q,RIGHT(P$1,2))</f>
        <v>0</v>
      </c>
      <c r="Q152" s="2">
        <f>SUMIFS(VI_Debitos!$V:$V,VI_Debitos!$H:$H,$C152,VI_Debitos!$T:$T,$D152,VI_Debitos!$R:$R,LEFT(PAGADO!Q$1,4),VI_Debitos!$Q:$Q,RIGHT(Q$1,2))</f>
        <v>0</v>
      </c>
      <c r="R152" s="2">
        <f t="shared" si="2"/>
        <v>0</v>
      </c>
    </row>
    <row r="153" spans="6:18">
      <c r="F153" s="2">
        <f>SUMIFS(VI_Debitos!$V:$V,VI_Debitos!$H:$H,$C153,VI_Debitos!$T:$T,$D153,VI_Debitos!$R:$R,LEFT(PAGADO!F$1,4),VI_Debitos!$Q:$Q,RIGHT(F$1,2))</f>
        <v>0</v>
      </c>
      <c r="G153" s="2">
        <f>SUMIFS(VI_Debitos!$V:$V,VI_Debitos!$H:$H,$C153,VI_Debitos!$T:$T,$D153,VI_Debitos!$R:$R,LEFT(PAGADO!G$1,4),VI_Debitos!$Q:$Q,RIGHT(G$1,2))</f>
        <v>0</v>
      </c>
      <c r="H153" s="2">
        <f>SUMIFS(VI_Debitos!$V:$V,VI_Debitos!$H:$H,$C153,VI_Debitos!$T:$T,$D153,VI_Debitos!$R:$R,LEFT(PAGADO!H$1,4),VI_Debitos!$Q:$Q,RIGHT(H$1,2))</f>
        <v>0</v>
      </c>
      <c r="I153" s="2">
        <f>SUMIFS(VI_Debitos!$V:$V,VI_Debitos!$H:$H,$C153,VI_Debitos!$T:$T,$D153,VI_Debitos!$R:$R,LEFT(PAGADO!I$1,4),VI_Debitos!$Q:$Q,RIGHT(I$1,2))</f>
        <v>0</v>
      </c>
      <c r="J153" s="2">
        <f>SUMIFS(VI_Debitos!$V:$V,VI_Debitos!$H:$H,$C153,VI_Debitos!$T:$T,$D153,VI_Debitos!$R:$R,LEFT(PAGADO!J$1,4),VI_Debitos!$Q:$Q,RIGHT(J$1,2))</f>
        <v>0</v>
      </c>
      <c r="K153" s="2">
        <f>SUMIFS(VI_Debitos!$V:$V,VI_Debitos!$H:$H,$C153,VI_Debitos!$T:$T,$D153,VI_Debitos!$R:$R,LEFT(PAGADO!K$1,4),VI_Debitos!$Q:$Q,RIGHT(K$1,2))</f>
        <v>0</v>
      </c>
      <c r="L153" s="2">
        <f>SUMIFS(VI_Debitos!$V:$V,VI_Debitos!$H:$H,$C153,VI_Debitos!$T:$T,$D153,VI_Debitos!$R:$R,LEFT(PAGADO!L$1,4),VI_Debitos!$Q:$Q,RIGHT(L$1,2))</f>
        <v>0</v>
      </c>
      <c r="M153" s="2">
        <f>SUMIFS(VI_Debitos!$V:$V,VI_Debitos!$H:$H,$C153,VI_Debitos!$T:$T,$D153,VI_Debitos!$R:$R,LEFT(PAGADO!M$1,4),VI_Debitos!$Q:$Q,RIGHT(M$1,2))</f>
        <v>0</v>
      </c>
      <c r="N153" s="2">
        <f>SUMIFS(VI_Debitos!$V:$V,VI_Debitos!$H:$H,$C153,VI_Debitos!$T:$T,$D153,VI_Debitos!$R:$R,LEFT(PAGADO!N$1,4),VI_Debitos!$Q:$Q,RIGHT(N$1,2))</f>
        <v>0</v>
      </c>
      <c r="O153" s="2">
        <f>SUMIFS(VI_Debitos!$V:$V,VI_Debitos!$H:$H,$C153,VI_Debitos!$T:$T,$D153,VI_Debitos!$R:$R,LEFT(PAGADO!O$1,4),VI_Debitos!$Q:$Q,RIGHT(O$1,2))</f>
        <v>0</v>
      </c>
      <c r="P153" s="2">
        <f>SUMIFS(VI_Debitos!$V:$V,VI_Debitos!$H:$H,$C153,VI_Debitos!$T:$T,$D153,VI_Debitos!$R:$R,LEFT(PAGADO!P$1,4),VI_Debitos!$Q:$Q,RIGHT(P$1,2))</f>
        <v>0</v>
      </c>
      <c r="Q153" s="2">
        <f>SUMIFS(VI_Debitos!$V:$V,VI_Debitos!$H:$H,$C153,VI_Debitos!$T:$T,$D153,VI_Debitos!$R:$R,LEFT(PAGADO!Q$1,4),VI_Debitos!$Q:$Q,RIGHT(Q$1,2))</f>
        <v>0</v>
      </c>
      <c r="R153" s="2">
        <f t="shared" si="2"/>
        <v>0</v>
      </c>
    </row>
    <row r="154" spans="6:18">
      <c r="F154" s="2">
        <f>SUMIFS(VI_Debitos!$V:$V,VI_Debitos!$H:$H,$C154,VI_Debitos!$T:$T,$D154,VI_Debitos!$R:$R,LEFT(PAGADO!F$1,4),VI_Debitos!$Q:$Q,RIGHT(F$1,2))</f>
        <v>0</v>
      </c>
      <c r="G154" s="2">
        <f>SUMIFS(VI_Debitos!$V:$V,VI_Debitos!$H:$H,$C154,VI_Debitos!$T:$T,$D154,VI_Debitos!$R:$R,LEFT(PAGADO!G$1,4),VI_Debitos!$Q:$Q,RIGHT(G$1,2))</f>
        <v>0</v>
      </c>
      <c r="H154" s="2">
        <f>SUMIFS(VI_Debitos!$V:$V,VI_Debitos!$H:$H,$C154,VI_Debitos!$T:$T,$D154,VI_Debitos!$R:$R,LEFT(PAGADO!H$1,4),VI_Debitos!$Q:$Q,RIGHT(H$1,2))</f>
        <v>0</v>
      </c>
      <c r="I154" s="2">
        <f>SUMIFS(VI_Debitos!$V:$V,VI_Debitos!$H:$H,$C154,VI_Debitos!$T:$T,$D154,VI_Debitos!$R:$R,LEFT(PAGADO!I$1,4),VI_Debitos!$Q:$Q,RIGHT(I$1,2))</f>
        <v>0</v>
      </c>
      <c r="J154" s="2">
        <f>SUMIFS(VI_Debitos!$V:$V,VI_Debitos!$H:$H,$C154,VI_Debitos!$T:$T,$D154,VI_Debitos!$R:$R,LEFT(PAGADO!J$1,4),VI_Debitos!$Q:$Q,RIGHT(J$1,2))</f>
        <v>0</v>
      </c>
      <c r="K154" s="2">
        <f>SUMIFS(VI_Debitos!$V:$V,VI_Debitos!$H:$H,$C154,VI_Debitos!$T:$T,$D154,VI_Debitos!$R:$R,LEFT(PAGADO!K$1,4),VI_Debitos!$Q:$Q,RIGHT(K$1,2))</f>
        <v>0</v>
      </c>
      <c r="L154" s="2">
        <f>SUMIFS(VI_Debitos!$V:$V,VI_Debitos!$H:$H,$C154,VI_Debitos!$T:$T,$D154,VI_Debitos!$R:$R,LEFT(PAGADO!L$1,4),VI_Debitos!$Q:$Q,RIGHT(L$1,2))</f>
        <v>0</v>
      </c>
      <c r="M154" s="2">
        <f>SUMIFS(VI_Debitos!$V:$V,VI_Debitos!$H:$H,$C154,VI_Debitos!$T:$T,$D154,VI_Debitos!$R:$R,LEFT(PAGADO!M$1,4),VI_Debitos!$Q:$Q,RIGHT(M$1,2))</f>
        <v>0</v>
      </c>
      <c r="N154" s="2">
        <f>SUMIFS(VI_Debitos!$V:$V,VI_Debitos!$H:$H,$C154,VI_Debitos!$T:$T,$D154,VI_Debitos!$R:$R,LEFT(PAGADO!N$1,4),VI_Debitos!$Q:$Q,RIGHT(N$1,2))</f>
        <v>0</v>
      </c>
      <c r="O154" s="2">
        <f>SUMIFS(VI_Debitos!$V:$V,VI_Debitos!$H:$H,$C154,VI_Debitos!$T:$T,$D154,VI_Debitos!$R:$R,LEFT(PAGADO!O$1,4),VI_Debitos!$Q:$Q,RIGHT(O$1,2))</f>
        <v>0</v>
      </c>
      <c r="P154" s="2">
        <f>SUMIFS(VI_Debitos!$V:$V,VI_Debitos!$H:$H,$C154,VI_Debitos!$T:$T,$D154,VI_Debitos!$R:$R,LEFT(PAGADO!P$1,4),VI_Debitos!$Q:$Q,RIGHT(P$1,2))</f>
        <v>0</v>
      </c>
      <c r="Q154" s="2">
        <f>SUMIFS(VI_Debitos!$V:$V,VI_Debitos!$H:$H,$C154,VI_Debitos!$T:$T,$D154,VI_Debitos!$R:$R,LEFT(PAGADO!Q$1,4),VI_Debitos!$Q:$Q,RIGHT(Q$1,2))</f>
        <v>0</v>
      </c>
      <c r="R154" s="2">
        <f t="shared" si="2"/>
        <v>0</v>
      </c>
    </row>
    <row r="155" spans="6:18">
      <c r="F155" s="2">
        <f>SUMIFS(VI_Debitos!$V:$V,VI_Debitos!$H:$H,$C155,VI_Debitos!$T:$T,$D155,VI_Debitos!$R:$R,LEFT(PAGADO!F$1,4),VI_Debitos!$Q:$Q,RIGHT(F$1,2))</f>
        <v>0</v>
      </c>
      <c r="G155" s="2">
        <f>SUMIFS(VI_Debitos!$V:$V,VI_Debitos!$H:$H,$C155,VI_Debitos!$T:$T,$D155,VI_Debitos!$R:$R,LEFT(PAGADO!G$1,4),VI_Debitos!$Q:$Q,RIGHT(G$1,2))</f>
        <v>0</v>
      </c>
      <c r="H155" s="2">
        <f>SUMIFS(VI_Debitos!$V:$V,VI_Debitos!$H:$H,$C155,VI_Debitos!$T:$T,$D155,VI_Debitos!$R:$R,LEFT(PAGADO!H$1,4),VI_Debitos!$Q:$Q,RIGHT(H$1,2))</f>
        <v>0</v>
      </c>
      <c r="I155" s="2">
        <f>SUMIFS(VI_Debitos!$V:$V,VI_Debitos!$H:$H,$C155,VI_Debitos!$T:$T,$D155,VI_Debitos!$R:$R,LEFT(PAGADO!I$1,4),VI_Debitos!$Q:$Q,RIGHT(I$1,2))</f>
        <v>0</v>
      </c>
      <c r="J155" s="2">
        <f>SUMIFS(VI_Debitos!$V:$V,VI_Debitos!$H:$H,$C155,VI_Debitos!$T:$T,$D155,VI_Debitos!$R:$R,LEFT(PAGADO!J$1,4),VI_Debitos!$Q:$Q,RIGHT(J$1,2))</f>
        <v>0</v>
      </c>
      <c r="K155" s="2">
        <f>SUMIFS(VI_Debitos!$V:$V,VI_Debitos!$H:$H,$C155,VI_Debitos!$T:$T,$D155,VI_Debitos!$R:$R,LEFT(PAGADO!K$1,4),VI_Debitos!$Q:$Q,RIGHT(K$1,2))</f>
        <v>0</v>
      </c>
      <c r="L155" s="2">
        <f>SUMIFS(VI_Debitos!$V:$V,VI_Debitos!$H:$H,$C155,VI_Debitos!$T:$T,$D155,VI_Debitos!$R:$R,LEFT(PAGADO!L$1,4),VI_Debitos!$Q:$Q,RIGHT(L$1,2))</f>
        <v>0</v>
      </c>
      <c r="M155" s="2">
        <f>SUMIFS(VI_Debitos!$V:$V,VI_Debitos!$H:$H,$C155,VI_Debitos!$T:$T,$D155,VI_Debitos!$R:$R,LEFT(PAGADO!M$1,4),VI_Debitos!$Q:$Q,RIGHT(M$1,2))</f>
        <v>0</v>
      </c>
      <c r="N155" s="2">
        <f>SUMIFS(VI_Debitos!$V:$V,VI_Debitos!$H:$H,$C155,VI_Debitos!$T:$T,$D155,VI_Debitos!$R:$R,LEFT(PAGADO!N$1,4),VI_Debitos!$Q:$Q,RIGHT(N$1,2))</f>
        <v>0</v>
      </c>
      <c r="O155" s="2">
        <f>SUMIFS(VI_Debitos!$V:$V,VI_Debitos!$H:$H,$C155,VI_Debitos!$T:$T,$D155,VI_Debitos!$R:$R,LEFT(PAGADO!O$1,4),VI_Debitos!$Q:$Q,RIGHT(O$1,2))</f>
        <v>0</v>
      </c>
      <c r="P155" s="2">
        <f>SUMIFS(VI_Debitos!$V:$V,VI_Debitos!$H:$H,$C155,VI_Debitos!$T:$T,$D155,VI_Debitos!$R:$R,LEFT(PAGADO!P$1,4),VI_Debitos!$Q:$Q,RIGHT(P$1,2))</f>
        <v>0</v>
      </c>
      <c r="Q155" s="2">
        <f>SUMIFS(VI_Debitos!$V:$V,VI_Debitos!$H:$H,$C155,VI_Debitos!$T:$T,$D155,VI_Debitos!$R:$R,LEFT(PAGADO!Q$1,4),VI_Debitos!$Q:$Q,RIGHT(Q$1,2))</f>
        <v>0</v>
      </c>
      <c r="R155" s="2">
        <f t="shared" si="2"/>
        <v>0</v>
      </c>
    </row>
    <row r="156" spans="6:18">
      <c r="F156" s="2">
        <f>SUMIFS(VI_Debitos!$V:$V,VI_Debitos!$H:$H,$C156,VI_Debitos!$T:$T,$D156,VI_Debitos!$R:$R,LEFT(PAGADO!F$1,4),VI_Debitos!$Q:$Q,RIGHT(F$1,2))</f>
        <v>0</v>
      </c>
      <c r="G156" s="2">
        <f>SUMIFS(VI_Debitos!$V:$V,VI_Debitos!$H:$H,$C156,VI_Debitos!$T:$T,$D156,VI_Debitos!$R:$R,LEFT(PAGADO!G$1,4),VI_Debitos!$Q:$Q,RIGHT(G$1,2))</f>
        <v>0</v>
      </c>
      <c r="H156" s="2">
        <f>SUMIFS(VI_Debitos!$V:$V,VI_Debitos!$H:$H,$C156,VI_Debitos!$T:$T,$D156,VI_Debitos!$R:$R,LEFT(PAGADO!H$1,4),VI_Debitos!$Q:$Q,RIGHT(H$1,2))</f>
        <v>0</v>
      </c>
      <c r="I156" s="2">
        <f>SUMIFS(VI_Debitos!$V:$V,VI_Debitos!$H:$H,$C156,VI_Debitos!$T:$T,$D156,VI_Debitos!$R:$R,LEFT(PAGADO!I$1,4),VI_Debitos!$Q:$Q,RIGHT(I$1,2))</f>
        <v>0</v>
      </c>
      <c r="J156" s="2">
        <f>SUMIFS(VI_Debitos!$V:$V,VI_Debitos!$H:$H,$C156,VI_Debitos!$T:$T,$D156,VI_Debitos!$R:$R,LEFT(PAGADO!J$1,4),VI_Debitos!$Q:$Q,RIGHT(J$1,2))</f>
        <v>0</v>
      </c>
      <c r="K156" s="2">
        <f>SUMIFS(VI_Debitos!$V:$V,VI_Debitos!$H:$H,$C156,VI_Debitos!$T:$T,$D156,VI_Debitos!$R:$R,LEFT(PAGADO!K$1,4),VI_Debitos!$Q:$Q,RIGHT(K$1,2))</f>
        <v>0</v>
      </c>
      <c r="L156" s="2">
        <f>SUMIFS(VI_Debitos!$V:$V,VI_Debitos!$H:$H,$C156,VI_Debitos!$T:$T,$D156,VI_Debitos!$R:$R,LEFT(PAGADO!L$1,4),VI_Debitos!$Q:$Q,RIGHT(L$1,2))</f>
        <v>0</v>
      </c>
      <c r="M156" s="2">
        <f>SUMIFS(VI_Debitos!$V:$V,VI_Debitos!$H:$H,$C156,VI_Debitos!$T:$T,$D156,VI_Debitos!$R:$R,LEFT(PAGADO!M$1,4),VI_Debitos!$Q:$Q,RIGHT(M$1,2))</f>
        <v>0</v>
      </c>
      <c r="N156" s="2">
        <f>SUMIFS(VI_Debitos!$V:$V,VI_Debitos!$H:$H,$C156,VI_Debitos!$T:$T,$D156,VI_Debitos!$R:$R,LEFT(PAGADO!N$1,4),VI_Debitos!$Q:$Q,RIGHT(N$1,2))</f>
        <v>0</v>
      </c>
      <c r="O156" s="2">
        <f>SUMIFS(VI_Debitos!$V:$V,VI_Debitos!$H:$H,$C156,VI_Debitos!$T:$T,$D156,VI_Debitos!$R:$R,LEFT(PAGADO!O$1,4),VI_Debitos!$Q:$Q,RIGHT(O$1,2))</f>
        <v>0</v>
      </c>
      <c r="P156" s="2">
        <f>SUMIFS(VI_Debitos!$V:$V,VI_Debitos!$H:$H,$C156,VI_Debitos!$T:$T,$D156,VI_Debitos!$R:$R,LEFT(PAGADO!P$1,4),VI_Debitos!$Q:$Q,RIGHT(P$1,2))</f>
        <v>0</v>
      </c>
      <c r="Q156" s="2">
        <f>SUMIFS(VI_Debitos!$V:$V,VI_Debitos!$H:$H,$C156,VI_Debitos!$T:$T,$D156,VI_Debitos!$R:$R,LEFT(PAGADO!Q$1,4),VI_Debitos!$Q:$Q,RIGHT(Q$1,2))</f>
        <v>0</v>
      </c>
      <c r="R156" s="2">
        <f t="shared" si="2"/>
        <v>0</v>
      </c>
    </row>
    <row r="157" spans="6:18">
      <c r="F157" s="2">
        <f>SUMIFS(VI_Debitos!$V:$V,VI_Debitos!$H:$H,$C157,VI_Debitos!$T:$T,$D157,VI_Debitos!$R:$R,LEFT(PAGADO!F$1,4),VI_Debitos!$Q:$Q,RIGHT(F$1,2))</f>
        <v>0</v>
      </c>
      <c r="G157" s="2">
        <f>SUMIFS(VI_Debitos!$V:$V,VI_Debitos!$H:$H,$C157,VI_Debitos!$T:$T,$D157,VI_Debitos!$R:$R,LEFT(PAGADO!G$1,4),VI_Debitos!$Q:$Q,RIGHT(G$1,2))</f>
        <v>0</v>
      </c>
      <c r="H157" s="2">
        <f>SUMIFS(VI_Debitos!$V:$V,VI_Debitos!$H:$H,$C157,VI_Debitos!$T:$T,$D157,VI_Debitos!$R:$R,LEFT(PAGADO!H$1,4),VI_Debitos!$Q:$Q,RIGHT(H$1,2))</f>
        <v>0</v>
      </c>
      <c r="I157" s="2">
        <f>SUMIFS(VI_Debitos!$V:$V,VI_Debitos!$H:$H,$C157,VI_Debitos!$T:$T,$D157,VI_Debitos!$R:$R,LEFT(PAGADO!I$1,4),VI_Debitos!$Q:$Q,RIGHT(I$1,2))</f>
        <v>0</v>
      </c>
      <c r="J157" s="2">
        <f>SUMIFS(VI_Debitos!$V:$V,VI_Debitos!$H:$H,$C157,VI_Debitos!$T:$T,$D157,VI_Debitos!$R:$R,LEFT(PAGADO!J$1,4),VI_Debitos!$Q:$Q,RIGHT(J$1,2))</f>
        <v>0</v>
      </c>
      <c r="K157" s="2">
        <f>SUMIFS(VI_Debitos!$V:$V,VI_Debitos!$H:$H,$C157,VI_Debitos!$T:$T,$D157,VI_Debitos!$R:$R,LEFT(PAGADO!K$1,4),VI_Debitos!$Q:$Q,RIGHT(K$1,2))</f>
        <v>0</v>
      </c>
      <c r="L157" s="2">
        <f>SUMIFS(VI_Debitos!$V:$V,VI_Debitos!$H:$H,$C157,VI_Debitos!$T:$T,$D157,VI_Debitos!$R:$R,LEFT(PAGADO!L$1,4),VI_Debitos!$Q:$Q,RIGHT(L$1,2))</f>
        <v>0</v>
      </c>
      <c r="M157" s="2">
        <f>SUMIFS(VI_Debitos!$V:$V,VI_Debitos!$H:$H,$C157,VI_Debitos!$T:$T,$D157,VI_Debitos!$R:$R,LEFT(PAGADO!M$1,4),VI_Debitos!$Q:$Q,RIGHT(M$1,2))</f>
        <v>0</v>
      </c>
      <c r="N157" s="2">
        <f>SUMIFS(VI_Debitos!$V:$V,VI_Debitos!$H:$H,$C157,VI_Debitos!$T:$T,$D157,VI_Debitos!$R:$R,LEFT(PAGADO!N$1,4),VI_Debitos!$Q:$Q,RIGHT(N$1,2))</f>
        <v>0</v>
      </c>
      <c r="O157" s="2">
        <f>SUMIFS(VI_Debitos!$V:$V,VI_Debitos!$H:$H,$C157,VI_Debitos!$T:$T,$D157,VI_Debitos!$R:$R,LEFT(PAGADO!O$1,4),VI_Debitos!$Q:$Q,RIGHT(O$1,2))</f>
        <v>0</v>
      </c>
      <c r="P157" s="2">
        <f>SUMIFS(VI_Debitos!$V:$V,VI_Debitos!$H:$H,$C157,VI_Debitos!$T:$T,$D157,VI_Debitos!$R:$R,LEFT(PAGADO!P$1,4),VI_Debitos!$Q:$Q,RIGHT(P$1,2))</f>
        <v>0</v>
      </c>
      <c r="Q157" s="2">
        <f>SUMIFS(VI_Debitos!$V:$V,VI_Debitos!$H:$H,$C157,VI_Debitos!$T:$T,$D157,VI_Debitos!$R:$R,LEFT(PAGADO!Q$1,4),VI_Debitos!$Q:$Q,RIGHT(Q$1,2))</f>
        <v>0</v>
      </c>
      <c r="R157" s="2">
        <f t="shared" si="2"/>
        <v>0</v>
      </c>
    </row>
    <row r="158" spans="6:18">
      <c r="F158" s="2">
        <f>SUMIFS(VI_Debitos!$V:$V,VI_Debitos!$H:$H,$C158,VI_Debitos!$T:$T,$D158,VI_Debitos!$R:$R,LEFT(PAGADO!F$1,4),VI_Debitos!$Q:$Q,RIGHT(F$1,2))</f>
        <v>0</v>
      </c>
      <c r="G158" s="2">
        <f>SUMIFS(VI_Debitos!$V:$V,VI_Debitos!$H:$H,$C158,VI_Debitos!$T:$T,$D158,VI_Debitos!$R:$R,LEFT(PAGADO!G$1,4),VI_Debitos!$Q:$Q,RIGHT(G$1,2))</f>
        <v>0</v>
      </c>
      <c r="H158" s="2">
        <f>SUMIFS(VI_Debitos!$V:$V,VI_Debitos!$H:$H,$C158,VI_Debitos!$T:$T,$D158,VI_Debitos!$R:$R,LEFT(PAGADO!H$1,4),VI_Debitos!$Q:$Q,RIGHT(H$1,2))</f>
        <v>0</v>
      </c>
      <c r="I158" s="2">
        <f>SUMIFS(VI_Debitos!$V:$V,VI_Debitos!$H:$H,$C158,VI_Debitos!$T:$T,$D158,VI_Debitos!$R:$R,LEFT(PAGADO!I$1,4),VI_Debitos!$Q:$Q,RIGHT(I$1,2))</f>
        <v>0</v>
      </c>
      <c r="J158" s="2">
        <f>SUMIFS(VI_Debitos!$V:$V,VI_Debitos!$H:$H,$C158,VI_Debitos!$T:$T,$D158,VI_Debitos!$R:$R,LEFT(PAGADO!J$1,4),VI_Debitos!$Q:$Q,RIGHT(J$1,2))</f>
        <v>0</v>
      </c>
      <c r="K158" s="2">
        <f>SUMIFS(VI_Debitos!$V:$V,VI_Debitos!$H:$H,$C158,VI_Debitos!$T:$T,$D158,VI_Debitos!$R:$R,LEFT(PAGADO!K$1,4),VI_Debitos!$Q:$Q,RIGHT(K$1,2))</f>
        <v>0</v>
      </c>
      <c r="L158" s="2">
        <f>SUMIFS(VI_Debitos!$V:$V,VI_Debitos!$H:$H,$C158,VI_Debitos!$T:$T,$D158,VI_Debitos!$R:$R,LEFT(PAGADO!L$1,4),VI_Debitos!$Q:$Q,RIGHT(L$1,2))</f>
        <v>0</v>
      </c>
      <c r="M158" s="2">
        <f>SUMIFS(VI_Debitos!$V:$V,VI_Debitos!$H:$H,$C158,VI_Debitos!$T:$T,$D158,VI_Debitos!$R:$R,LEFT(PAGADO!M$1,4),VI_Debitos!$Q:$Q,RIGHT(M$1,2))</f>
        <v>0</v>
      </c>
      <c r="N158" s="2">
        <f>SUMIFS(VI_Debitos!$V:$V,VI_Debitos!$H:$H,$C158,VI_Debitos!$T:$T,$D158,VI_Debitos!$R:$R,LEFT(PAGADO!N$1,4),VI_Debitos!$Q:$Q,RIGHT(N$1,2))</f>
        <v>0</v>
      </c>
      <c r="O158" s="2">
        <f>SUMIFS(VI_Debitos!$V:$V,VI_Debitos!$H:$H,$C158,VI_Debitos!$T:$T,$D158,VI_Debitos!$R:$R,LEFT(PAGADO!O$1,4),VI_Debitos!$Q:$Q,RIGHT(O$1,2))</f>
        <v>0</v>
      </c>
      <c r="P158" s="2">
        <f>SUMIFS(VI_Debitos!$V:$V,VI_Debitos!$H:$H,$C158,VI_Debitos!$T:$T,$D158,VI_Debitos!$R:$R,LEFT(PAGADO!P$1,4),VI_Debitos!$Q:$Q,RIGHT(P$1,2))</f>
        <v>0</v>
      </c>
      <c r="Q158" s="2">
        <f>SUMIFS(VI_Debitos!$V:$V,VI_Debitos!$H:$H,$C158,VI_Debitos!$T:$T,$D158,VI_Debitos!$R:$R,LEFT(PAGADO!Q$1,4),VI_Debitos!$Q:$Q,RIGHT(Q$1,2))</f>
        <v>0</v>
      </c>
      <c r="R158" s="2">
        <f t="shared" si="2"/>
        <v>0</v>
      </c>
    </row>
    <row r="159" spans="6:18">
      <c r="F159" s="2">
        <f>SUMIFS(VI_Debitos!$V:$V,VI_Debitos!$H:$H,$C159,VI_Debitos!$T:$T,$D159,VI_Debitos!$R:$R,LEFT(PAGADO!F$1,4),VI_Debitos!$Q:$Q,RIGHT(F$1,2))</f>
        <v>0</v>
      </c>
      <c r="G159" s="2">
        <f>SUMIFS(VI_Debitos!$V:$V,VI_Debitos!$H:$H,$C159,VI_Debitos!$T:$T,$D159,VI_Debitos!$R:$R,LEFT(PAGADO!G$1,4),VI_Debitos!$Q:$Q,RIGHT(G$1,2))</f>
        <v>0</v>
      </c>
      <c r="H159" s="2">
        <f>SUMIFS(VI_Debitos!$V:$V,VI_Debitos!$H:$H,$C159,VI_Debitos!$T:$T,$D159,VI_Debitos!$R:$R,LEFT(PAGADO!H$1,4),VI_Debitos!$Q:$Q,RIGHT(H$1,2))</f>
        <v>0</v>
      </c>
      <c r="I159" s="2">
        <f>SUMIFS(VI_Debitos!$V:$V,VI_Debitos!$H:$H,$C159,VI_Debitos!$T:$T,$D159,VI_Debitos!$R:$R,LEFT(PAGADO!I$1,4),VI_Debitos!$Q:$Q,RIGHT(I$1,2))</f>
        <v>0</v>
      </c>
      <c r="J159" s="2">
        <f>SUMIFS(VI_Debitos!$V:$V,VI_Debitos!$H:$H,$C159,VI_Debitos!$T:$T,$D159,VI_Debitos!$R:$R,LEFT(PAGADO!J$1,4),VI_Debitos!$Q:$Q,RIGHT(J$1,2))</f>
        <v>0</v>
      </c>
      <c r="K159" s="2">
        <f>SUMIFS(VI_Debitos!$V:$V,VI_Debitos!$H:$H,$C159,VI_Debitos!$T:$T,$D159,VI_Debitos!$R:$R,LEFT(PAGADO!K$1,4),VI_Debitos!$Q:$Q,RIGHT(K$1,2))</f>
        <v>0</v>
      </c>
      <c r="L159" s="2">
        <f>SUMIFS(VI_Debitos!$V:$V,VI_Debitos!$H:$H,$C159,VI_Debitos!$T:$T,$D159,VI_Debitos!$R:$R,LEFT(PAGADO!L$1,4),VI_Debitos!$Q:$Q,RIGHT(L$1,2))</f>
        <v>0</v>
      </c>
      <c r="M159" s="2">
        <f>SUMIFS(VI_Debitos!$V:$V,VI_Debitos!$H:$H,$C159,VI_Debitos!$T:$T,$D159,VI_Debitos!$R:$R,LEFT(PAGADO!M$1,4),VI_Debitos!$Q:$Q,RIGHT(M$1,2))</f>
        <v>0</v>
      </c>
      <c r="N159" s="2">
        <f>SUMIFS(VI_Debitos!$V:$V,VI_Debitos!$H:$H,$C159,VI_Debitos!$T:$T,$D159,VI_Debitos!$R:$R,LEFT(PAGADO!N$1,4),VI_Debitos!$Q:$Q,RIGHT(N$1,2))</f>
        <v>0</v>
      </c>
      <c r="O159" s="2">
        <f>SUMIFS(VI_Debitos!$V:$V,VI_Debitos!$H:$H,$C159,VI_Debitos!$T:$T,$D159,VI_Debitos!$R:$R,LEFT(PAGADO!O$1,4),VI_Debitos!$Q:$Q,RIGHT(O$1,2))</f>
        <v>0</v>
      </c>
      <c r="P159" s="2">
        <f>SUMIFS(VI_Debitos!$V:$V,VI_Debitos!$H:$H,$C159,VI_Debitos!$T:$T,$D159,VI_Debitos!$R:$R,LEFT(PAGADO!P$1,4),VI_Debitos!$Q:$Q,RIGHT(P$1,2))</f>
        <v>0</v>
      </c>
      <c r="Q159" s="2">
        <f>SUMIFS(VI_Debitos!$V:$V,VI_Debitos!$H:$H,$C159,VI_Debitos!$T:$T,$D159,VI_Debitos!$R:$R,LEFT(PAGADO!Q$1,4),VI_Debitos!$Q:$Q,RIGHT(Q$1,2))</f>
        <v>0</v>
      </c>
      <c r="R159" s="2">
        <f t="shared" si="2"/>
        <v>0</v>
      </c>
    </row>
    <row r="160" spans="6:18">
      <c r="F160" s="2">
        <f>SUMIFS(VI_Debitos!$V:$V,VI_Debitos!$H:$H,$C160,VI_Debitos!$T:$T,$D160,VI_Debitos!$R:$R,LEFT(PAGADO!F$1,4),VI_Debitos!$Q:$Q,RIGHT(F$1,2))</f>
        <v>0</v>
      </c>
      <c r="G160" s="2">
        <f>SUMIFS(VI_Debitos!$V:$V,VI_Debitos!$H:$H,$C160,VI_Debitos!$T:$T,$D160,VI_Debitos!$R:$R,LEFT(PAGADO!G$1,4),VI_Debitos!$Q:$Q,RIGHT(G$1,2))</f>
        <v>0</v>
      </c>
      <c r="H160" s="2">
        <f>SUMIFS(VI_Debitos!$V:$V,VI_Debitos!$H:$H,$C160,VI_Debitos!$T:$T,$D160,VI_Debitos!$R:$R,LEFT(PAGADO!H$1,4),VI_Debitos!$Q:$Q,RIGHT(H$1,2))</f>
        <v>0</v>
      </c>
      <c r="I160" s="2">
        <f>SUMIFS(VI_Debitos!$V:$V,VI_Debitos!$H:$H,$C160,VI_Debitos!$T:$T,$D160,VI_Debitos!$R:$R,LEFT(PAGADO!I$1,4),VI_Debitos!$Q:$Q,RIGHT(I$1,2))</f>
        <v>0</v>
      </c>
      <c r="J160" s="2">
        <f>SUMIFS(VI_Debitos!$V:$V,VI_Debitos!$H:$H,$C160,VI_Debitos!$T:$T,$D160,VI_Debitos!$R:$R,LEFT(PAGADO!J$1,4),VI_Debitos!$Q:$Q,RIGHT(J$1,2))</f>
        <v>0</v>
      </c>
      <c r="K160" s="2">
        <f>SUMIFS(VI_Debitos!$V:$V,VI_Debitos!$H:$H,$C160,VI_Debitos!$T:$T,$D160,VI_Debitos!$R:$R,LEFT(PAGADO!K$1,4),VI_Debitos!$Q:$Q,RIGHT(K$1,2))</f>
        <v>0</v>
      </c>
      <c r="L160" s="2">
        <f>SUMIFS(VI_Debitos!$V:$V,VI_Debitos!$H:$H,$C160,VI_Debitos!$T:$T,$D160,VI_Debitos!$R:$R,LEFT(PAGADO!L$1,4),VI_Debitos!$Q:$Q,RIGHT(L$1,2))</f>
        <v>0</v>
      </c>
      <c r="M160" s="2">
        <f>SUMIFS(VI_Debitos!$V:$V,VI_Debitos!$H:$H,$C160,VI_Debitos!$T:$T,$D160,VI_Debitos!$R:$R,LEFT(PAGADO!M$1,4),VI_Debitos!$Q:$Q,RIGHT(M$1,2))</f>
        <v>0</v>
      </c>
      <c r="N160" s="2">
        <f>SUMIFS(VI_Debitos!$V:$V,VI_Debitos!$H:$H,$C160,VI_Debitos!$T:$T,$D160,VI_Debitos!$R:$R,LEFT(PAGADO!N$1,4),VI_Debitos!$Q:$Q,RIGHT(N$1,2))</f>
        <v>0</v>
      </c>
      <c r="O160" s="2">
        <f>SUMIFS(VI_Debitos!$V:$V,VI_Debitos!$H:$H,$C160,VI_Debitos!$T:$T,$D160,VI_Debitos!$R:$R,LEFT(PAGADO!O$1,4),VI_Debitos!$Q:$Q,RIGHT(O$1,2))</f>
        <v>0</v>
      </c>
      <c r="P160" s="2">
        <f>SUMIFS(VI_Debitos!$V:$V,VI_Debitos!$H:$H,$C160,VI_Debitos!$T:$T,$D160,VI_Debitos!$R:$R,LEFT(PAGADO!P$1,4),VI_Debitos!$Q:$Q,RIGHT(P$1,2))</f>
        <v>0</v>
      </c>
      <c r="Q160" s="2">
        <f>SUMIFS(VI_Debitos!$V:$V,VI_Debitos!$H:$H,$C160,VI_Debitos!$T:$T,$D160,VI_Debitos!$R:$R,LEFT(PAGADO!Q$1,4),VI_Debitos!$Q:$Q,RIGHT(Q$1,2))</f>
        <v>0</v>
      </c>
      <c r="R160" s="2">
        <f t="shared" si="2"/>
        <v>0</v>
      </c>
    </row>
    <row r="161" spans="6:18">
      <c r="F161" s="2">
        <f>SUMIFS(VI_Debitos!$V:$V,VI_Debitos!$H:$H,$C161,VI_Debitos!$T:$T,$D161,VI_Debitos!$R:$R,LEFT(PAGADO!F$1,4),VI_Debitos!$Q:$Q,RIGHT(F$1,2))</f>
        <v>0</v>
      </c>
      <c r="G161" s="2">
        <f>SUMIFS(VI_Debitos!$V:$V,VI_Debitos!$H:$H,$C161,VI_Debitos!$T:$T,$D161,VI_Debitos!$R:$R,LEFT(PAGADO!G$1,4),VI_Debitos!$Q:$Q,RIGHT(G$1,2))</f>
        <v>0</v>
      </c>
      <c r="H161" s="2">
        <f>SUMIFS(VI_Debitos!$V:$V,VI_Debitos!$H:$H,$C161,VI_Debitos!$T:$T,$D161,VI_Debitos!$R:$R,LEFT(PAGADO!H$1,4),VI_Debitos!$Q:$Q,RIGHT(H$1,2))</f>
        <v>0</v>
      </c>
      <c r="I161" s="2">
        <f>SUMIFS(VI_Debitos!$V:$V,VI_Debitos!$H:$H,$C161,VI_Debitos!$T:$T,$D161,VI_Debitos!$R:$R,LEFT(PAGADO!I$1,4),VI_Debitos!$Q:$Q,RIGHT(I$1,2))</f>
        <v>0</v>
      </c>
      <c r="J161" s="2">
        <f>SUMIFS(VI_Debitos!$V:$V,VI_Debitos!$H:$H,$C161,VI_Debitos!$T:$T,$D161,VI_Debitos!$R:$R,LEFT(PAGADO!J$1,4),VI_Debitos!$Q:$Q,RIGHT(J$1,2))</f>
        <v>0</v>
      </c>
      <c r="K161" s="2">
        <f>SUMIFS(VI_Debitos!$V:$V,VI_Debitos!$H:$H,$C161,VI_Debitos!$T:$T,$D161,VI_Debitos!$R:$R,LEFT(PAGADO!K$1,4),VI_Debitos!$Q:$Q,RIGHT(K$1,2))</f>
        <v>0</v>
      </c>
      <c r="L161" s="2">
        <f>SUMIFS(VI_Debitos!$V:$V,VI_Debitos!$H:$H,$C161,VI_Debitos!$T:$T,$D161,VI_Debitos!$R:$R,LEFT(PAGADO!L$1,4),VI_Debitos!$Q:$Q,RIGHT(L$1,2))</f>
        <v>0</v>
      </c>
      <c r="M161" s="2">
        <f>SUMIFS(VI_Debitos!$V:$V,VI_Debitos!$H:$H,$C161,VI_Debitos!$T:$T,$D161,VI_Debitos!$R:$R,LEFT(PAGADO!M$1,4),VI_Debitos!$Q:$Q,RIGHT(M$1,2))</f>
        <v>0</v>
      </c>
      <c r="N161" s="2">
        <f>SUMIFS(VI_Debitos!$V:$V,VI_Debitos!$H:$H,$C161,VI_Debitos!$T:$T,$D161,VI_Debitos!$R:$R,LEFT(PAGADO!N$1,4),VI_Debitos!$Q:$Q,RIGHT(N$1,2))</f>
        <v>0</v>
      </c>
      <c r="O161" s="2">
        <f>SUMIFS(VI_Debitos!$V:$V,VI_Debitos!$H:$H,$C161,VI_Debitos!$T:$T,$D161,VI_Debitos!$R:$R,LEFT(PAGADO!O$1,4),VI_Debitos!$Q:$Q,RIGHT(O$1,2))</f>
        <v>0</v>
      </c>
      <c r="P161" s="2">
        <f>SUMIFS(VI_Debitos!$V:$V,VI_Debitos!$H:$H,$C161,VI_Debitos!$T:$T,$D161,VI_Debitos!$R:$R,LEFT(PAGADO!P$1,4),VI_Debitos!$Q:$Q,RIGHT(P$1,2))</f>
        <v>0</v>
      </c>
      <c r="Q161" s="2">
        <f>SUMIFS(VI_Debitos!$V:$V,VI_Debitos!$H:$H,$C161,VI_Debitos!$T:$T,$D161,VI_Debitos!$R:$R,LEFT(PAGADO!Q$1,4),VI_Debitos!$Q:$Q,RIGHT(Q$1,2))</f>
        <v>0</v>
      </c>
      <c r="R161" s="2">
        <f t="shared" si="2"/>
        <v>0</v>
      </c>
    </row>
    <row r="162" spans="6:18">
      <c r="F162" s="2">
        <f>SUMIFS(VI_Debitos!$V:$V,VI_Debitos!$H:$H,$C162,VI_Debitos!$T:$T,$D162,VI_Debitos!$R:$R,LEFT(PAGADO!F$1,4),VI_Debitos!$Q:$Q,RIGHT(F$1,2))</f>
        <v>0</v>
      </c>
      <c r="G162" s="2">
        <f>SUMIFS(VI_Debitos!$V:$V,VI_Debitos!$H:$H,$C162,VI_Debitos!$T:$T,$D162,VI_Debitos!$R:$R,LEFT(PAGADO!G$1,4),VI_Debitos!$Q:$Q,RIGHT(G$1,2))</f>
        <v>0</v>
      </c>
      <c r="H162" s="2">
        <f>SUMIFS(VI_Debitos!$V:$V,VI_Debitos!$H:$H,$C162,VI_Debitos!$T:$T,$D162,VI_Debitos!$R:$R,LEFT(PAGADO!H$1,4),VI_Debitos!$Q:$Q,RIGHT(H$1,2))</f>
        <v>0</v>
      </c>
      <c r="I162" s="2">
        <f>SUMIFS(VI_Debitos!$V:$V,VI_Debitos!$H:$H,$C162,VI_Debitos!$T:$T,$D162,VI_Debitos!$R:$R,LEFT(PAGADO!I$1,4),VI_Debitos!$Q:$Q,RIGHT(I$1,2))</f>
        <v>0</v>
      </c>
      <c r="J162" s="2">
        <f>SUMIFS(VI_Debitos!$V:$V,VI_Debitos!$H:$H,$C162,VI_Debitos!$T:$T,$D162,VI_Debitos!$R:$R,LEFT(PAGADO!J$1,4),VI_Debitos!$Q:$Q,RIGHT(J$1,2))</f>
        <v>0</v>
      </c>
      <c r="K162" s="2">
        <f>SUMIFS(VI_Debitos!$V:$V,VI_Debitos!$H:$H,$C162,VI_Debitos!$T:$T,$D162,VI_Debitos!$R:$R,LEFT(PAGADO!K$1,4),VI_Debitos!$Q:$Q,RIGHT(K$1,2))</f>
        <v>0</v>
      </c>
      <c r="L162" s="2">
        <f>SUMIFS(VI_Debitos!$V:$V,VI_Debitos!$H:$H,$C162,VI_Debitos!$T:$T,$D162,VI_Debitos!$R:$R,LEFT(PAGADO!L$1,4),VI_Debitos!$Q:$Q,RIGHT(L$1,2))</f>
        <v>0</v>
      </c>
      <c r="M162" s="2">
        <f>SUMIFS(VI_Debitos!$V:$V,VI_Debitos!$H:$H,$C162,VI_Debitos!$T:$T,$D162,VI_Debitos!$R:$R,LEFT(PAGADO!M$1,4),VI_Debitos!$Q:$Q,RIGHT(M$1,2))</f>
        <v>0</v>
      </c>
      <c r="N162" s="2">
        <f>SUMIFS(VI_Debitos!$V:$V,VI_Debitos!$H:$H,$C162,VI_Debitos!$T:$T,$D162,VI_Debitos!$R:$R,LEFT(PAGADO!N$1,4),VI_Debitos!$Q:$Q,RIGHT(N$1,2))</f>
        <v>0</v>
      </c>
      <c r="O162" s="2">
        <f>SUMIFS(VI_Debitos!$V:$V,VI_Debitos!$H:$H,$C162,VI_Debitos!$T:$T,$D162,VI_Debitos!$R:$R,LEFT(PAGADO!O$1,4),VI_Debitos!$Q:$Q,RIGHT(O$1,2))</f>
        <v>0</v>
      </c>
      <c r="P162" s="2">
        <f>SUMIFS(VI_Debitos!$V:$V,VI_Debitos!$H:$H,$C162,VI_Debitos!$T:$T,$D162,VI_Debitos!$R:$R,LEFT(PAGADO!P$1,4),VI_Debitos!$Q:$Q,RIGHT(P$1,2))</f>
        <v>0</v>
      </c>
      <c r="Q162" s="2">
        <f>SUMIFS(VI_Debitos!$V:$V,VI_Debitos!$H:$H,$C162,VI_Debitos!$T:$T,$D162,VI_Debitos!$R:$R,LEFT(PAGADO!Q$1,4),VI_Debitos!$Q:$Q,RIGHT(Q$1,2))</f>
        <v>0</v>
      </c>
      <c r="R162" s="2">
        <f t="shared" si="2"/>
        <v>0</v>
      </c>
    </row>
    <row r="163" spans="6:18">
      <c r="F163" s="2">
        <f>SUMIFS(VI_Debitos!$V:$V,VI_Debitos!$H:$H,$C163,VI_Debitos!$T:$T,$D163,VI_Debitos!$R:$R,LEFT(PAGADO!F$1,4),VI_Debitos!$Q:$Q,RIGHT(F$1,2))</f>
        <v>0</v>
      </c>
      <c r="G163" s="2">
        <f>SUMIFS(VI_Debitos!$V:$V,VI_Debitos!$H:$H,$C163,VI_Debitos!$T:$T,$D163,VI_Debitos!$R:$R,LEFT(PAGADO!G$1,4),VI_Debitos!$Q:$Q,RIGHT(G$1,2))</f>
        <v>0</v>
      </c>
      <c r="H163" s="2">
        <f>SUMIFS(VI_Debitos!$V:$V,VI_Debitos!$H:$H,$C163,VI_Debitos!$T:$T,$D163,VI_Debitos!$R:$R,LEFT(PAGADO!H$1,4),VI_Debitos!$Q:$Q,RIGHT(H$1,2))</f>
        <v>0</v>
      </c>
      <c r="I163" s="2">
        <f>SUMIFS(VI_Debitos!$V:$V,VI_Debitos!$H:$H,$C163,VI_Debitos!$T:$T,$D163,VI_Debitos!$R:$R,LEFT(PAGADO!I$1,4),VI_Debitos!$Q:$Q,RIGHT(I$1,2))</f>
        <v>0</v>
      </c>
      <c r="J163" s="2">
        <f>SUMIFS(VI_Debitos!$V:$V,VI_Debitos!$H:$H,$C163,VI_Debitos!$T:$T,$D163,VI_Debitos!$R:$R,LEFT(PAGADO!J$1,4),VI_Debitos!$Q:$Q,RIGHT(J$1,2))</f>
        <v>0</v>
      </c>
      <c r="K163" s="2">
        <f>SUMIFS(VI_Debitos!$V:$V,VI_Debitos!$H:$H,$C163,VI_Debitos!$T:$T,$D163,VI_Debitos!$R:$R,LEFT(PAGADO!K$1,4),VI_Debitos!$Q:$Q,RIGHT(K$1,2))</f>
        <v>0</v>
      </c>
      <c r="L163" s="2">
        <f>SUMIFS(VI_Debitos!$V:$V,VI_Debitos!$H:$H,$C163,VI_Debitos!$T:$T,$D163,VI_Debitos!$R:$R,LEFT(PAGADO!L$1,4),VI_Debitos!$Q:$Q,RIGHT(L$1,2))</f>
        <v>0</v>
      </c>
      <c r="M163" s="2">
        <f>SUMIFS(VI_Debitos!$V:$V,VI_Debitos!$H:$H,$C163,VI_Debitos!$T:$T,$D163,VI_Debitos!$R:$R,LEFT(PAGADO!M$1,4),VI_Debitos!$Q:$Q,RIGHT(M$1,2))</f>
        <v>0</v>
      </c>
      <c r="N163" s="2">
        <f>SUMIFS(VI_Debitos!$V:$V,VI_Debitos!$H:$H,$C163,VI_Debitos!$T:$T,$D163,VI_Debitos!$R:$R,LEFT(PAGADO!N$1,4),VI_Debitos!$Q:$Q,RIGHT(N$1,2))</f>
        <v>0</v>
      </c>
      <c r="O163" s="2">
        <f>SUMIFS(VI_Debitos!$V:$V,VI_Debitos!$H:$H,$C163,VI_Debitos!$T:$T,$D163,VI_Debitos!$R:$R,LEFT(PAGADO!O$1,4),VI_Debitos!$Q:$Q,RIGHT(O$1,2))</f>
        <v>0</v>
      </c>
      <c r="P163" s="2">
        <f>SUMIFS(VI_Debitos!$V:$V,VI_Debitos!$H:$H,$C163,VI_Debitos!$T:$T,$D163,VI_Debitos!$R:$R,LEFT(PAGADO!P$1,4),VI_Debitos!$Q:$Q,RIGHT(P$1,2))</f>
        <v>0</v>
      </c>
      <c r="Q163" s="2">
        <f>SUMIFS(VI_Debitos!$V:$V,VI_Debitos!$H:$H,$C163,VI_Debitos!$T:$T,$D163,VI_Debitos!$R:$R,LEFT(PAGADO!Q$1,4),VI_Debitos!$Q:$Q,RIGHT(Q$1,2))</f>
        <v>0</v>
      </c>
      <c r="R163" s="2">
        <f t="shared" si="2"/>
        <v>0</v>
      </c>
    </row>
    <row r="164" spans="6:18">
      <c r="F164" s="2">
        <f>SUMIFS(VI_Debitos!$V:$V,VI_Debitos!$H:$H,$C164,VI_Debitos!$T:$T,$D164,VI_Debitos!$R:$R,LEFT(PAGADO!F$1,4),VI_Debitos!$Q:$Q,RIGHT(F$1,2))</f>
        <v>0</v>
      </c>
      <c r="G164" s="2">
        <f>SUMIFS(VI_Debitos!$V:$V,VI_Debitos!$H:$H,$C164,VI_Debitos!$T:$T,$D164,VI_Debitos!$R:$R,LEFT(PAGADO!G$1,4),VI_Debitos!$Q:$Q,RIGHT(G$1,2))</f>
        <v>0</v>
      </c>
      <c r="H164" s="2">
        <f>SUMIFS(VI_Debitos!$V:$V,VI_Debitos!$H:$H,$C164,VI_Debitos!$T:$T,$D164,VI_Debitos!$R:$R,LEFT(PAGADO!H$1,4),VI_Debitos!$Q:$Q,RIGHT(H$1,2))</f>
        <v>0</v>
      </c>
      <c r="I164" s="2">
        <f>SUMIFS(VI_Debitos!$V:$V,VI_Debitos!$H:$H,$C164,VI_Debitos!$T:$T,$D164,VI_Debitos!$R:$R,LEFT(PAGADO!I$1,4),VI_Debitos!$Q:$Q,RIGHT(I$1,2))</f>
        <v>0</v>
      </c>
      <c r="J164" s="2">
        <f>SUMIFS(VI_Debitos!$V:$V,VI_Debitos!$H:$H,$C164,VI_Debitos!$T:$T,$D164,VI_Debitos!$R:$R,LEFT(PAGADO!J$1,4),VI_Debitos!$Q:$Q,RIGHT(J$1,2))</f>
        <v>0</v>
      </c>
      <c r="K164" s="2">
        <f>SUMIFS(VI_Debitos!$V:$V,VI_Debitos!$H:$H,$C164,VI_Debitos!$T:$T,$D164,VI_Debitos!$R:$R,LEFT(PAGADO!K$1,4),VI_Debitos!$Q:$Q,RIGHT(K$1,2))</f>
        <v>0</v>
      </c>
      <c r="L164" s="2">
        <f>SUMIFS(VI_Debitos!$V:$V,VI_Debitos!$H:$H,$C164,VI_Debitos!$T:$T,$D164,VI_Debitos!$R:$R,LEFT(PAGADO!L$1,4),VI_Debitos!$Q:$Q,RIGHT(L$1,2))</f>
        <v>0</v>
      </c>
      <c r="M164" s="2">
        <f>SUMIFS(VI_Debitos!$V:$V,VI_Debitos!$H:$H,$C164,VI_Debitos!$T:$T,$D164,VI_Debitos!$R:$R,LEFT(PAGADO!M$1,4),VI_Debitos!$Q:$Q,RIGHT(M$1,2))</f>
        <v>0</v>
      </c>
      <c r="N164" s="2">
        <f>SUMIFS(VI_Debitos!$V:$V,VI_Debitos!$H:$H,$C164,VI_Debitos!$T:$T,$D164,VI_Debitos!$R:$R,LEFT(PAGADO!N$1,4),VI_Debitos!$Q:$Q,RIGHT(N$1,2))</f>
        <v>0</v>
      </c>
      <c r="O164" s="2">
        <f>SUMIFS(VI_Debitos!$V:$V,VI_Debitos!$H:$H,$C164,VI_Debitos!$T:$T,$D164,VI_Debitos!$R:$R,LEFT(PAGADO!O$1,4),VI_Debitos!$Q:$Q,RIGHT(O$1,2))</f>
        <v>0</v>
      </c>
      <c r="P164" s="2">
        <f>SUMIFS(VI_Debitos!$V:$V,VI_Debitos!$H:$H,$C164,VI_Debitos!$T:$T,$D164,VI_Debitos!$R:$R,LEFT(PAGADO!P$1,4),VI_Debitos!$Q:$Q,RIGHT(P$1,2))</f>
        <v>0</v>
      </c>
      <c r="Q164" s="2">
        <f>SUMIFS(VI_Debitos!$V:$V,VI_Debitos!$H:$H,$C164,VI_Debitos!$T:$T,$D164,VI_Debitos!$R:$R,LEFT(PAGADO!Q$1,4),VI_Debitos!$Q:$Q,RIGHT(Q$1,2))</f>
        <v>0</v>
      </c>
      <c r="R164" s="2">
        <f t="shared" si="2"/>
        <v>0</v>
      </c>
    </row>
    <row r="165" spans="6:18">
      <c r="F165" s="2">
        <f>SUMIFS(VI_Debitos!$V:$V,VI_Debitos!$H:$H,$C165,VI_Debitos!$T:$T,$D165,VI_Debitos!$R:$R,LEFT(PAGADO!F$1,4),VI_Debitos!$Q:$Q,RIGHT(F$1,2))</f>
        <v>0</v>
      </c>
      <c r="G165" s="2">
        <f>SUMIFS(VI_Debitos!$V:$V,VI_Debitos!$H:$H,$C165,VI_Debitos!$T:$T,$D165,VI_Debitos!$R:$R,LEFT(PAGADO!G$1,4),VI_Debitos!$Q:$Q,RIGHT(G$1,2))</f>
        <v>0</v>
      </c>
      <c r="H165" s="2">
        <f>SUMIFS(VI_Debitos!$V:$V,VI_Debitos!$H:$H,$C165,VI_Debitos!$T:$T,$D165,VI_Debitos!$R:$R,LEFT(PAGADO!H$1,4),VI_Debitos!$Q:$Q,RIGHT(H$1,2))</f>
        <v>0</v>
      </c>
      <c r="I165" s="2">
        <f>SUMIFS(VI_Debitos!$V:$V,VI_Debitos!$H:$H,$C165,VI_Debitos!$T:$T,$D165,VI_Debitos!$R:$R,LEFT(PAGADO!I$1,4),VI_Debitos!$Q:$Q,RIGHT(I$1,2))</f>
        <v>0</v>
      </c>
      <c r="J165" s="2">
        <f>SUMIFS(VI_Debitos!$V:$V,VI_Debitos!$H:$H,$C165,VI_Debitos!$T:$T,$D165,VI_Debitos!$R:$R,LEFT(PAGADO!J$1,4),VI_Debitos!$Q:$Q,RIGHT(J$1,2))</f>
        <v>0</v>
      </c>
      <c r="K165" s="2">
        <f>SUMIFS(VI_Debitos!$V:$V,VI_Debitos!$H:$H,$C165,VI_Debitos!$T:$T,$D165,VI_Debitos!$R:$R,LEFT(PAGADO!K$1,4),VI_Debitos!$Q:$Q,RIGHT(K$1,2))</f>
        <v>0</v>
      </c>
      <c r="L165" s="2">
        <f>SUMIFS(VI_Debitos!$V:$V,VI_Debitos!$H:$H,$C165,VI_Debitos!$T:$T,$D165,VI_Debitos!$R:$R,LEFT(PAGADO!L$1,4),VI_Debitos!$Q:$Q,RIGHT(L$1,2))</f>
        <v>0</v>
      </c>
      <c r="M165" s="2">
        <f>SUMIFS(VI_Debitos!$V:$V,VI_Debitos!$H:$H,$C165,VI_Debitos!$T:$T,$D165,VI_Debitos!$R:$R,LEFT(PAGADO!M$1,4),VI_Debitos!$Q:$Q,RIGHT(M$1,2))</f>
        <v>0</v>
      </c>
      <c r="N165" s="2">
        <f>SUMIFS(VI_Debitos!$V:$V,VI_Debitos!$H:$H,$C165,VI_Debitos!$T:$T,$D165,VI_Debitos!$R:$R,LEFT(PAGADO!N$1,4),VI_Debitos!$Q:$Q,RIGHT(N$1,2))</f>
        <v>0</v>
      </c>
      <c r="O165" s="2">
        <f>SUMIFS(VI_Debitos!$V:$V,VI_Debitos!$H:$H,$C165,VI_Debitos!$T:$T,$D165,VI_Debitos!$R:$R,LEFT(PAGADO!O$1,4),VI_Debitos!$Q:$Q,RIGHT(O$1,2))</f>
        <v>0</v>
      </c>
      <c r="P165" s="2">
        <f>SUMIFS(VI_Debitos!$V:$V,VI_Debitos!$H:$H,$C165,VI_Debitos!$T:$T,$D165,VI_Debitos!$R:$R,LEFT(PAGADO!P$1,4),VI_Debitos!$Q:$Q,RIGHT(P$1,2))</f>
        <v>0</v>
      </c>
      <c r="Q165" s="2">
        <f>SUMIFS(VI_Debitos!$V:$V,VI_Debitos!$H:$H,$C165,VI_Debitos!$T:$T,$D165,VI_Debitos!$R:$R,LEFT(PAGADO!Q$1,4),VI_Debitos!$Q:$Q,RIGHT(Q$1,2))</f>
        <v>0</v>
      </c>
      <c r="R165" s="2">
        <f t="shared" si="2"/>
        <v>0</v>
      </c>
    </row>
    <row r="166" spans="6:18">
      <c r="F166" s="2">
        <f>SUMIFS(VI_Debitos!$V:$V,VI_Debitos!$H:$H,$C166,VI_Debitos!$T:$T,$D166,VI_Debitos!$R:$R,LEFT(PAGADO!F$1,4),VI_Debitos!$Q:$Q,RIGHT(F$1,2))</f>
        <v>0</v>
      </c>
      <c r="G166" s="2">
        <f>SUMIFS(VI_Debitos!$V:$V,VI_Debitos!$H:$H,$C166,VI_Debitos!$T:$T,$D166,VI_Debitos!$R:$R,LEFT(PAGADO!G$1,4),VI_Debitos!$Q:$Q,RIGHT(G$1,2))</f>
        <v>0</v>
      </c>
      <c r="H166" s="2">
        <f>SUMIFS(VI_Debitos!$V:$V,VI_Debitos!$H:$H,$C166,VI_Debitos!$T:$T,$D166,VI_Debitos!$R:$R,LEFT(PAGADO!H$1,4),VI_Debitos!$Q:$Q,RIGHT(H$1,2))</f>
        <v>0</v>
      </c>
      <c r="I166" s="2">
        <f>SUMIFS(VI_Debitos!$V:$V,VI_Debitos!$H:$H,$C166,VI_Debitos!$T:$T,$D166,VI_Debitos!$R:$R,LEFT(PAGADO!I$1,4),VI_Debitos!$Q:$Q,RIGHT(I$1,2))</f>
        <v>0</v>
      </c>
      <c r="J166" s="2">
        <f>SUMIFS(VI_Debitos!$V:$V,VI_Debitos!$H:$H,$C166,VI_Debitos!$T:$T,$D166,VI_Debitos!$R:$R,LEFT(PAGADO!J$1,4),VI_Debitos!$Q:$Q,RIGHT(J$1,2))</f>
        <v>0</v>
      </c>
      <c r="K166" s="2">
        <f>SUMIFS(VI_Debitos!$V:$V,VI_Debitos!$H:$H,$C166,VI_Debitos!$T:$T,$D166,VI_Debitos!$R:$R,LEFT(PAGADO!K$1,4),VI_Debitos!$Q:$Q,RIGHT(K$1,2))</f>
        <v>0</v>
      </c>
      <c r="L166" s="2">
        <f>SUMIFS(VI_Debitos!$V:$V,VI_Debitos!$H:$H,$C166,VI_Debitos!$T:$T,$D166,VI_Debitos!$R:$R,LEFT(PAGADO!L$1,4),VI_Debitos!$Q:$Q,RIGHT(L$1,2))</f>
        <v>0</v>
      </c>
      <c r="M166" s="2">
        <f>SUMIFS(VI_Debitos!$V:$V,VI_Debitos!$H:$H,$C166,VI_Debitos!$T:$T,$D166,VI_Debitos!$R:$R,LEFT(PAGADO!M$1,4),VI_Debitos!$Q:$Q,RIGHT(M$1,2))</f>
        <v>0</v>
      </c>
      <c r="N166" s="2">
        <f>SUMIFS(VI_Debitos!$V:$V,VI_Debitos!$H:$H,$C166,VI_Debitos!$T:$T,$D166,VI_Debitos!$R:$R,LEFT(PAGADO!N$1,4),VI_Debitos!$Q:$Q,RIGHT(N$1,2))</f>
        <v>0</v>
      </c>
      <c r="O166" s="2">
        <f>SUMIFS(VI_Debitos!$V:$V,VI_Debitos!$H:$H,$C166,VI_Debitos!$T:$T,$D166,VI_Debitos!$R:$R,LEFT(PAGADO!O$1,4),VI_Debitos!$Q:$Q,RIGHT(O$1,2))</f>
        <v>0</v>
      </c>
      <c r="P166" s="2">
        <f>SUMIFS(VI_Debitos!$V:$V,VI_Debitos!$H:$H,$C166,VI_Debitos!$T:$T,$D166,VI_Debitos!$R:$R,LEFT(PAGADO!P$1,4),VI_Debitos!$Q:$Q,RIGHT(P$1,2))</f>
        <v>0</v>
      </c>
      <c r="Q166" s="2">
        <f>SUMIFS(VI_Debitos!$V:$V,VI_Debitos!$H:$H,$C166,VI_Debitos!$T:$T,$D166,VI_Debitos!$R:$R,LEFT(PAGADO!Q$1,4),VI_Debitos!$Q:$Q,RIGHT(Q$1,2))</f>
        <v>0</v>
      </c>
      <c r="R166" s="2">
        <f t="shared" si="2"/>
        <v>0</v>
      </c>
    </row>
    <row r="167" spans="6:18">
      <c r="F167" s="2">
        <f>SUMIFS(VI_Debitos!$V:$V,VI_Debitos!$H:$H,$C167,VI_Debitos!$T:$T,$D167,VI_Debitos!$R:$R,LEFT(PAGADO!F$1,4),VI_Debitos!$Q:$Q,RIGHT(F$1,2))</f>
        <v>0</v>
      </c>
      <c r="G167" s="2">
        <f>SUMIFS(VI_Debitos!$V:$V,VI_Debitos!$H:$H,$C167,VI_Debitos!$T:$T,$D167,VI_Debitos!$R:$R,LEFT(PAGADO!G$1,4),VI_Debitos!$Q:$Q,RIGHT(G$1,2))</f>
        <v>0</v>
      </c>
      <c r="H167" s="2">
        <f>SUMIFS(VI_Debitos!$V:$V,VI_Debitos!$H:$H,$C167,VI_Debitos!$T:$T,$D167,VI_Debitos!$R:$R,LEFT(PAGADO!H$1,4),VI_Debitos!$Q:$Q,RIGHT(H$1,2))</f>
        <v>0</v>
      </c>
      <c r="I167" s="2">
        <f>SUMIFS(VI_Debitos!$V:$V,VI_Debitos!$H:$H,$C167,VI_Debitos!$T:$T,$D167,VI_Debitos!$R:$R,LEFT(PAGADO!I$1,4),VI_Debitos!$Q:$Q,RIGHT(I$1,2))</f>
        <v>0</v>
      </c>
      <c r="J167" s="2">
        <f>SUMIFS(VI_Debitos!$V:$V,VI_Debitos!$H:$H,$C167,VI_Debitos!$T:$T,$D167,VI_Debitos!$R:$R,LEFT(PAGADO!J$1,4),VI_Debitos!$Q:$Q,RIGHT(J$1,2))</f>
        <v>0</v>
      </c>
      <c r="K167" s="2">
        <f>SUMIFS(VI_Debitos!$V:$V,VI_Debitos!$H:$H,$C167,VI_Debitos!$T:$T,$D167,VI_Debitos!$R:$R,LEFT(PAGADO!K$1,4),VI_Debitos!$Q:$Q,RIGHT(K$1,2))</f>
        <v>0</v>
      </c>
      <c r="L167" s="2">
        <f>SUMIFS(VI_Debitos!$V:$V,VI_Debitos!$H:$H,$C167,VI_Debitos!$T:$T,$D167,VI_Debitos!$R:$R,LEFT(PAGADO!L$1,4),VI_Debitos!$Q:$Q,RIGHT(L$1,2))</f>
        <v>0</v>
      </c>
      <c r="M167" s="2">
        <f>SUMIFS(VI_Debitos!$V:$V,VI_Debitos!$H:$H,$C167,VI_Debitos!$T:$T,$D167,VI_Debitos!$R:$R,LEFT(PAGADO!M$1,4),VI_Debitos!$Q:$Q,RIGHT(M$1,2))</f>
        <v>0</v>
      </c>
      <c r="N167" s="2">
        <f>SUMIFS(VI_Debitos!$V:$V,VI_Debitos!$H:$H,$C167,VI_Debitos!$T:$T,$D167,VI_Debitos!$R:$R,LEFT(PAGADO!N$1,4),VI_Debitos!$Q:$Q,RIGHT(N$1,2))</f>
        <v>0</v>
      </c>
      <c r="O167" s="2">
        <f>SUMIFS(VI_Debitos!$V:$V,VI_Debitos!$H:$H,$C167,VI_Debitos!$T:$T,$D167,VI_Debitos!$R:$R,LEFT(PAGADO!O$1,4),VI_Debitos!$Q:$Q,RIGHT(O$1,2))</f>
        <v>0</v>
      </c>
      <c r="P167" s="2">
        <f>SUMIFS(VI_Debitos!$V:$V,VI_Debitos!$H:$H,$C167,VI_Debitos!$T:$T,$D167,VI_Debitos!$R:$R,LEFT(PAGADO!P$1,4),VI_Debitos!$Q:$Q,RIGHT(P$1,2))</f>
        <v>0</v>
      </c>
      <c r="Q167" s="2">
        <f>SUMIFS(VI_Debitos!$V:$V,VI_Debitos!$H:$H,$C167,VI_Debitos!$T:$T,$D167,VI_Debitos!$R:$R,LEFT(PAGADO!Q$1,4),VI_Debitos!$Q:$Q,RIGHT(Q$1,2))</f>
        <v>0</v>
      </c>
      <c r="R167" s="2">
        <f t="shared" si="2"/>
        <v>0</v>
      </c>
    </row>
    <row r="168" spans="6:18">
      <c r="F168" s="2">
        <f>SUMIFS(VI_Debitos!$V:$V,VI_Debitos!$H:$H,$C168,VI_Debitos!$T:$T,$D168,VI_Debitos!$R:$R,LEFT(PAGADO!F$1,4),VI_Debitos!$Q:$Q,RIGHT(F$1,2))</f>
        <v>0</v>
      </c>
      <c r="G168" s="2">
        <f>SUMIFS(VI_Debitos!$V:$V,VI_Debitos!$H:$H,$C168,VI_Debitos!$T:$T,$D168,VI_Debitos!$R:$R,LEFT(PAGADO!G$1,4),VI_Debitos!$Q:$Q,RIGHT(G$1,2))</f>
        <v>0</v>
      </c>
      <c r="H168" s="2">
        <f>SUMIFS(VI_Debitos!$V:$V,VI_Debitos!$H:$H,$C168,VI_Debitos!$T:$T,$D168,VI_Debitos!$R:$R,LEFT(PAGADO!H$1,4),VI_Debitos!$Q:$Q,RIGHT(H$1,2))</f>
        <v>0</v>
      </c>
      <c r="I168" s="2">
        <f>SUMIFS(VI_Debitos!$V:$V,VI_Debitos!$H:$H,$C168,VI_Debitos!$T:$T,$D168,VI_Debitos!$R:$R,LEFT(PAGADO!I$1,4),VI_Debitos!$Q:$Q,RIGHT(I$1,2))</f>
        <v>0</v>
      </c>
      <c r="J168" s="2">
        <f>SUMIFS(VI_Debitos!$V:$V,VI_Debitos!$H:$H,$C168,VI_Debitos!$T:$T,$D168,VI_Debitos!$R:$R,LEFT(PAGADO!J$1,4),VI_Debitos!$Q:$Q,RIGHT(J$1,2))</f>
        <v>0</v>
      </c>
      <c r="K168" s="2">
        <f>SUMIFS(VI_Debitos!$V:$V,VI_Debitos!$H:$H,$C168,VI_Debitos!$T:$T,$D168,VI_Debitos!$R:$R,LEFT(PAGADO!K$1,4),VI_Debitos!$Q:$Q,RIGHT(K$1,2))</f>
        <v>0</v>
      </c>
      <c r="L168" s="2">
        <f>SUMIFS(VI_Debitos!$V:$V,VI_Debitos!$H:$H,$C168,VI_Debitos!$T:$T,$D168,VI_Debitos!$R:$R,LEFT(PAGADO!L$1,4),VI_Debitos!$Q:$Q,RIGHT(L$1,2))</f>
        <v>0</v>
      </c>
      <c r="M168" s="2">
        <f>SUMIFS(VI_Debitos!$V:$V,VI_Debitos!$H:$H,$C168,VI_Debitos!$T:$T,$D168,VI_Debitos!$R:$R,LEFT(PAGADO!M$1,4),VI_Debitos!$Q:$Q,RIGHT(M$1,2))</f>
        <v>0</v>
      </c>
      <c r="N168" s="2">
        <f>SUMIFS(VI_Debitos!$V:$V,VI_Debitos!$H:$H,$C168,VI_Debitos!$T:$T,$D168,VI_Debitos!$R:$R,LEFT(PAGADO!N$1,4),VI_Debitos!$Q:$Q,RIGHT(N$1,2))</f>
        <v>0</v>
      </c>
      <c r="O168" s="2">
        <f>SUMIFS(VI_Debitos!$V:$V,VI_Debitos!$H:$H,$C168,VI_Debitos!$T:$T,$D168,VI_Debitos!$R:$R,LEFT(PAGADO!O$1,4),VI_Debitos!$Q:$Q,RIGHT(O$1,2))</f>
        <v>0</v>
      </c>
      <c r="P168" s="2">
        <f>SUMIFS(VI_Debitos!$V:$V,VI_Debitos!$H:$H,$C168,VI_Debitos!$T:$T,$D168,VI_Debitos!$R:$R,LEFT(PAGADO!P$1,4),VI_Debitos!$Q:$Q,RIGHT(P$1,2))</f>
        <v>0</v>
      </c>
      <c r="Q168" s="2">
        <f>SUMIFS(VI_Debitos!$V:$V,VI_Debitos!$H:$H,$C168,VI_Debitos!$T:$T,$D168,VI_Debitos!$R:$R,LEFT(PAGADO!Q$1,4),VI_Debitos!$Q:$Q,RIGHT(Q$1,2))</f>
        <v>0</v>
      </c>
      <c r="R168" s="2">
        <f t="shared" si="2"/>
        <v>0</v>
      </c>
    </row>
    <row r="169" spans="6:18">
      <c r="F169" s="2">
        <f>SUMIFS(VI_Debitos!$V:$V,VI_Debitos!$H:$H,$C169,VI_Debitos!$T:$T,$D169,VI_Debitos!$R:$R,LEFT(PAGADO!F$1,4),VI_Debitos!$Q:$Q,RIGHT(F$1,2))</f>
        <v>0</v>
      </c>
      <c r="G169" s="2">
        <f>SUMIFS(VI_Debitos!$V:$V,VI_Debitos!$H:$H,$C169,VI_Debitos!$T:$T,$D169,VI_Debitos!$R:$R,LEFT(PAGADO!G$1,4),VI_Debitos!$Q:$Q,RIGHT(G$1,2))</f>
        <v>0</v>
      </c>
      <c r="H169" s="2">
        <f>SUMIFS(VI_Debitos!$V:$V,VI_Debitos!$H:$H,$C169,VI_Debitos!$T:$T,$D169,VI_Debitos!$R:$R,LEFT(PAGADO!H$1,4),VI_Debitos!$Q:$Q,RIGHT(H$1,2))</f>
        <v>0</v>
      </c>
      <c r="I169" s="2">
        <f>SUMIFS(VI_Debitos!$V:$V,VI_Debitos!$H:$H,$C169,VI_Debitos!$T:$T,$D169,VI_Debitos!$R:$R,LEFT(PAGADO!I$1,4),VI_Debitos!$Q:$Q,RIGHT(I$1,2))</f>
        <v>0</v>
      </c>
      <c r="J169" s="2">
        <f>SUMIFS(VI_Debitos!$V:$V,VI_Debitos!$H:$H,$C169,VI_Debitos!$T:$T,$D169,VI_Debitos!$R:$R,LEFT(PAGADO!J$1,4),VI_Debitos!$Q:$Q,RIGHT(J$1,2))</f>
        <v>0</v>
      </c>
      <c r="K169" s="2">
        <f>SUMIFS(VI_Debitos!$V:$V,VI_Debitos!$H:$H,$C169,VI_Debitos!$T:$T,$D169,VI_Debitos!$R:$R,LEFT(PAGADO!K$1,4),VI_Debitos!$Q:$Q,RIGHT(K$1,2))</f>
        <v>0</v>
      </c>
      <c r="L169" s="2">
        <f>SUMIFS(VI_Debitos!$V:$V,VI_Debitos!$H:$H,$C169,VI_Debitos!$T:$T,$D169,VI_Debitos!$R:$R,LEFT(PAGADO!L$1,4),VI_Debitos!$Q:$Q,RIGHT(L$1,2))</f>
        <v>0</v>
      </c>
      <c r="M169" s="2">
        <f>SUMIFS(VI_Debitos!$V:$V,VI_Debitos!$H:$H,$C169,VI_Debitos!$T:$T,$D169,VI_Debitos!$R:$R,LEFT(PAGADO!M$1,4),VI_Debitos!$Q:$Q,RIGHT(M$1,2))</f>
        <v>0</v>
      </c>
      <c r="N169" s="2">
        <f>SUMIFS(VI_Debitos!$V:$V,VI_Debitos!$H:$H,$C169,VI_Debitos!$T:$T,$D169,VI_Debitos!$R:$R,LEFT(PAGADO!N$1,4),VI_Debitos!$Q:$Q,RIGHT(N$1,2))</f>
        <v>0</v>
      </c>
      <c r="O169" s="2">
        <f>SUMIFS(VI_Debitos!$V:$V,VI_Debitos!$H:$H,$C169,VI_Debitos!$T:$T,$D169,VI_Debitos!$R:$R,LEFT(PAGADO!O$1,4),VI_Debitos!$Q:$Q,RIGHT(O$1,2))</f>
        <v>0</v>
      </c>
      <c r="P169" s="2">
        <f>SUMIFS(VI_Debitos!$V:$V,VI_Debitos!$H:$H,$C169,VI_Debitos!$T:$T,$D169,VI_Debitos!$R:$R,LEFT(PAGADO!P$1,4),VI_Debitos!$Q:$Q,RIGHT(P$1,2))</f>
        <v>0</v>
      </c>
      <c r="Q169" s="2">
        <f>SUMIFS(VI_Debitos!$V:$V,VI_Debitos!$H:$H,$C169,VI_Debitos!$T:$T,$D169,VI_Debitos!$R:$R,LEFT(PAGADO!Q$1,4),VI_Debitos!$Q:$Q,RIGHT(Q$1,2))</f>
        <v>0</v>
      </c>
      <c r="R169" s="2">
        <f t="shared" si="2"/>
        <v>0</v>
      </c>
    </row>
    <row r="170" spans="6:18">
      <c r="F170" s="2">
        <f>SUMIFS(VI_Debitos!$V:$V,VI_Debitos!$H:$H,$C170,VI_Debitos!$T:$T,$D170,VI_Debitos!$R:$R,LEFT(PAGADO!F$1,4),VI_Debitos!$Q:$Q,RIGHT(F$1,2))</f>
        <v>0</v>
      </c>
      <c r="G170" s="2">
        <f>SUMIFS(VI_Debitos!$V:$V,VI_Debitos!$H:$H,$C170,VI_Debitos!$T:$T,$D170,VI_Debitos!$R:$R,LEFT(PAGADO!G$1,4),VI_Debitos!$Q:$Q,RIGHT(G$1,2))</f>
        <v>0</v>
      </c>
      <c r="H170" s="2">
        <f>SUMIFS(VI_Debitos!$V:$V,VI_Debitos!$H:$H,$C170,VI_Debitos!$T:$T,$D170,VI_Debitos!$R:$R,LEFT(PAGADO!H$1,4),VI_Debitos!$Q:$Q,RIGHT(H$1,2))</f>
        <v>0</v>
      </c>
      <c r="I170" s="2">
        <f>SUMIFS(VI_Debitos!$V:$V,VI_Debitos!$H:$H,$C170,VI_Debitos!$T:$T,$D170,VI_Debitos!$R:$R,LEFT(PAGADO!I$1,4),VI_Debitos!$Q:$Q,RIGHT(I$1,2))</f>
        <v>0</v>
      </c>
      <c r="J170" s="2">
        <f>SUMIFS(VI_Debitos!$V:$V,VI_Debitos!$H:$H,$C170,VI_Debitos!$T:$T,$D170,VI_Debitos!$R:$R,LEFT(PAGADO!J$1,4),VI_Debitos!$Q:$Q,RIGHT(J$1,2))</f>
        <v>0</v>
      </c>
      <c r="K170" s="2">
        <f>SUMIFS(VI_Debitos!$V:$V,VI_Debitos!$H:$H,$C170,VI_Debitos!$T:$T,$D170,VI_Debitos!$R:$R,LEFT(PAGADO!K$1,4),VI_Debitos!$Q:$Q,RIGHT(K$1,2))</f>
        <v>0</v>
      </c>
      <c r="L170" s="2">
        <f>SUMIFS(VI_Debitos!$V:$V,VI_Debitos!$H:$H,$C170,VI_Debitos!$T:$T,$D170,VI_Debitos!$R:$R,LEFT(PAGADO!L$1,4),VI_Debitos!$Q:$Q,RIGHT(L$1,2))</f>
        <v>0</v>
      </c>
      <c r="M170" s="2">
        <f>SUMIFS(VI_Debitos!$V:$V,VI_Debitos!$H:$H,$C170,VI_Debitos!$T:$T,$D170,VI_Debitos!$R:$R,LEFT(PAGADO!M$1,4),VI_Debitos!$Q:$Q,RIGHT(M$1,2))</f>
        <v>0</v>
      </c>
      <c r="N170" s="2">
        <f>SUMIFS(VI_Debitos!$V:$V,VI_Debitos!$H:$H,$C170,VI_Debitos!$T:$T,$D170,VI_Debitos!$R:$R,LEFT(PAGADO!N$1,4),VI_Debitos!$Q:$Q,RIGHT(N$1,2))</f>
        <v>0</v>
      </c>
      <c r="O170" s="2">
        <f>SUMIFS(VI_Debitos!$V:$V,VI_Debitos!$H:$H,$C170,VI_Debitos!$T:$T,$D170,VI_Debitos!$R:$R,LEFT(PAGADO!O$1,4),VI_Debitos!$Q:$Q,RIGHT(O$1,2))</f>
        <v>0</v>
      </c>
      <c r="P170" s="2">
        <f>SUMIFS(VI_Debitos!$V:$V,VI_Debitos!$H:$H,$C170,VI_Debitos!$T:$T,$D170,VI_Debitos!$R:$R,LEFT(PAGADO!P$1,4),VI_Debitos!$Q:$Q,RIGHT(P$1,2))</f>
        <v>0</v>
      </c>
      <c r="Q170" s="2">
        <f>SUMIFS(VI_Debitos!$V:$V,VI_Debitos!$H:$H,$C170,VI_Debitos!$T:$T,$D170,VI_Debitos!$R:$R,LEFT(PAGADO!Q$1,4),VI_Debitos!$Q:$Q,RIGHT(Q$1,2))</f>
        <v>0</v>
      </c>
      <c r="R170" s="2">
        <f t="shared" si="2"/>
        <v>0</v>
      </c>
    </row>
    <row r="171" spans="6:18">
      <c r="F171" s="2">
        <f>SUMIFS(VI_Debitos!$V:$V,VI_Debitos!$H:$H,$C171,VI_Debitos!$T:$T,$D171,VI_Debitos!$R:$R,LEFT(PAGADO!F$1,4),VI_Debitos!$Q:$Q,RIGHT(F$1,2))</f>
        <v>0</v>
      </c>
      <c r="G171" s="2">
        <f>SUMIFS(VI_Debitos!$V:$V,VI_Debitos!$H:$H,$C171,VI_Debitos!$T:$T,$D171,VI_Debitos!$R:$R,LEFT(PAGADO!G$1,4),VI_Debitos!$Q:$Q,RIGHT(G$1,2))</f>
        <v>0</v>
      </c>
      <c r="H171" s="2">
        <f>SUMIFS(VI_Debitos!$V:$V,VI_Debitos!$H:$H,$C171,VI_Debitos!$T:$T,$D171,VI_Debitos!$R:$R,LEFT(PAGADO!H$1,4),VI_Debitos!$Q:$Q,RIGHT(H$1,2))</f>
        <v>0</v>
      </c>
      <c r="I171" s="2">
        <f>SUMIFS(VI_Debitos!$V:$V,VI_Debitos!$H:$H,$C171,VI_Debitos!$T:$T,$D171,VI_Debitos!$R:$R,LEFT(PAGADO!I$1,4),VI_Debitos!$Q:$Q,RIGHT(I$1,2))</f>
        <v>0</v>
      </c>
      <c r="J171" s="2">
        <f>SUMIFS(VI_Debitos!$V:$V,VI_Debitos!$H:$H,$C171,VI_Debitos!$T:$T,$D171,VI_Debitos!$R:$R,LEFT(PAGADO!J$1,4),VI_Debitos!$Q:$Q,RIGHT(J$1,2))</f>
        <v>0</v>
      </c>
      <c r="K171" s="2">
        <f>SUMIFS(VI_Debitos!$V:$V,VI_Debitos!$H:$H,$C171,VI_Debitos!$T:$T,$D171,VI_Debitos!$R:$R,LEFT(PAGADO!K$1,4),VI_Debitos!$Q:$Q,RIGHT(K$1,2))</f>
        <v>0</v>
      </c>
      <c r="L171" s="2">
        <f>SUMIFS(VI_Debitos!$V:$V,VI_Debitos!$H:$H,$C171,VI_Debitos!$T:$T,$D171,VI_Debitos!$R:$R,LEFT(PAGADO!L$1,4),VI_Debitos!$Q:$Q,RIGHT(L$1,2))</f>
        <v>0</v>
      </c>
      <c r="M171" s="2">
        <f>SUMIFS(VI_Debitos!$V:$V,VI_Debitos!$H:$H,$C171,VI_Debitos!$T:$T,$D171,VI_Debitos!$R:$R,LEFT(PAGADO!M$1,4),VI_Debitos!$Q:$Q,RIGHT(M$1,2))</f>
        <v>0</v>
      </c>
      <c r="N171" s="2">
        <f>SUMIFS(VI_Debitos!$V:$V,VI_Debitos!$H:$H,$C171,VI_Debitos!$T:$T,$D171,VI_Debitos!$R:$R,LEFT(PAGADO!N$1,4),VI_Debitos!$Q:$Q,RIGHT(N$1,2))</f>
        <v>0</v>
      </c>
      <c r="O171" s="2">
        <f>SUMIFS(VI_Debitos!$V:$V,VI_Debitos!$H:$H,$C171,VI_Debitos!$T:$T,$D171,VI_Debitos!$R:$R,LEFT(PAGADO!O$1,4),VI_Debitos!$Q:$Q,RIGHT(O$1,2))</f>
        <v>0</v>
      </c>
      <c r="P171" s="2">
        <f>SUMIFS(VI_Debitos!$V:$V,VI_Debitos!$H:$H,$C171,VI_Debitos!$T:$T,$D171,VI_Debitos!$R:$R,LEFT(PAGADO!P$1,4),VI_Debitos!$Q:$Q,RIGHT(P$1,2))</f>
        <v>0</v>
      </c>
      <c r="Q171" s="2">
        <f>SUMIFS(VI_Debitos!$V:$V,VI_Debitos!$H:$H,$C171,VI_Debitos!$T:$T,$D171,VI_Debitos!$R:$R,LEFT(PAGADO!Q$1,4),VI_Debitos!$Q:$Q,RIGHT(Q$1,2))</f>
        <v>0</v>
      </c>
      <c r="R171" s="2">
        <f t="shared" si="2"/>
        <v>0</v>
      </c>
    </row>
    <row r="172" spans="6:18">
      <c r="F172" s="2">
        <f>SUMIFS(VI_Debitos!$V:$V,VI_Debitos!$H:$H,$C172,VI_Debitos!$T:$T,$D172,VI_Debitos!$R:$R,LEFT(PAGADO!F$1,4),VI_Debitos!$Q:$Q,RIGHT(F$1,2))</f>
        <v>0</v>
      </c>
      <c r="G172" s="2">
        <f>SUMIFS(VI_Debitos!$V:$V,VI_Debitos!$H:$H,$C172,VI_Debitos!$T:$T,$D172,VI_Debitos!$R:$R,LEFT(PAGADO!G$1,4),VI_Debitos!$Q:$Q,RIGHT(G$1,2))</f>
        <v>0</v>
      </c>
      <c r="H172" s="2">
        <f>SUMIFS(VI_Debitos!$V:$V,VI_Debitos!$H:$H,$C172,VI_Debitos!$T:$T,$D172,VI_Debitos!$R:$R,LEFT(PAGADO!H$1,4),VI_Debitos!$Q:$Q,RIGHT(H$1,2))</f>
        <v>0</v>
      </c>
      <c r="I172" s="2">
        <f>SUMIFS(VI_Debitos!$V:$V,VI_Debitos!$H:$H,$C172,VI_Debitos!$T:$T,$D172,VI_Debitos!$R:$R,LEFT(PAGADO!I$1,4),VI_Debitos!$Q:$Q,RIGHT(I$1,2))</f>
        <v>0</v>
      </c>
      <c r="J172" s="2">
        <f>SUMIFS(VI_Debitos!$V:$V,VI_Debitos!$H:$H,$C172,VI_Debitos!$T:$T,$D172,VI_Debitos!$R:$R,LEFT(PAGADO!J$1,4),VI_Debitos!$Q:$Q,RIGHT(J$1,2))</f>
        <v>0</v>
      </c>
      <c r="K172" s="2">
        <f>SUMIFS(VI_Debitos!$V:$V,VI_Debitos!$H:$H,$C172,VI_Debitos!$T:$T,$D172,VI_Debitos!$R:$R,LEFT(PAGADO!K$1,4),VI_Debitos!$Q:$Q,RIGHT(K$1,2))</f>
        <v>0</v>
      </c>
      <c r="L172" s="2">
        <f>SUMIFS(VI_Debitos!$V:$V,VI_Debitos!$H:$H,$C172,VI_Debitos!$T:$T,$D172,VI_Debitos!$R:$R,LEFT(PAGADO!L$1,4),VI_Debitos!$Q:$Q,RIGHT(L$1,2))</f>
        <v>0</v>
      </c>
      <c r="M172" s="2">
        <f>SUMIFS(VI_Debitos!$V:$V,VI_Debitos!$H:$H,$C172,VI_Debitos!$T:$T,$D172,VI_Debitos!$R:$R,LEFT(PAGADO!M$1,4),VI_Debitos!$Q:$Q,RIGHT(M$1,2))</f>
        <v>0</v>
      </c>
      <c r="N172" s="2">
        <f>SUMIFS(VI_Debitos!$V:$V,VI_Debitos!$H:$H,$C172,VI_Debitos!$T:$T,$D172,VI_Debitos!$R:$R,LEFT(PAGADO!N$1,4),VI_Debitos!$Q:$Q,RIGHT(N$1,2))</f>
        <v>0</v>
      </c>
      <c r="O172" s="2">
        <f>SUMIFS(VI_Debitos!$V:$V,VI_Debitos!$H:$H,$C172,VI_Debitos!$T:$T,$D172,VI_Debitos!$R:$R,LEFT(PAGADO!O$1,4),VI_Debitos!$Q:$Q,RIGHT(O$1,2))</f>
        <v>0</v>
      </c>
      <c r="P172" s="2">
        <f>SUMIFS(VI_Debitos!$V:$V,VI_Debitos!$H:$H,$C172,VI_Debitos!$T:$T,$D172,VI_Debitos!$R:$R,LEFT(PAGADO!P$1,4),VI_Debitos!$Q:$Q,RIGHT(P$1,2))</f>
        <v>0</v>
      </c>
      <c r="Q172" s="2">
        <f>SUMIFS(VI_Debitos!$V:$V,VI_Debitos!$H:$H,$C172,VI_Debitos!$T:$T,$D172,VI_Debitos!$R:$R,LEFT(PAGADO!Q$1,4),VI_Debitos!$Q:$Q,RIGHT(Q$1,2))</f>
        <v>0</v>
      </c>
      <c r="R172" s="2">
        <f t="shared" si="2"/>
        <v>0</v>
      </c>
    </row>
    <row r="173" spans="6:18">
      <c r="F173" s="2">
        <f>SUMIFS(VI_Debitos!$V:$V,VI_Debitos!$H:$H,$C173,VI_Debitos!$T:$T,$D173,VI_Debitos!$R:$R,LEFT(PAGADO!F$1,4),VI_Debitos!$Q:$Q,RIGHT(F$1,2))</f>
        <v>0</v>
      </c>
      <c r="G173" s="2">
        <f>SUMIFS(VI_Debitos!$V:$V,VI_Debitos!$H:$H,$C173,VI_Debitos!$T:$T,$D173,VI_Debitos!$R:$R,LEFT(PAGADO!G$1,4),VI_Debitos!$Q:$Q,RIGHT(G$1,2))</f>
        <v>0</v>
      </c>
      <c r="H173" s="2">
        <f>SUMIFS(VI_Debitos!$V:$V,VI_Debitos!$H:$H,$C173,VI_Debitos!$T:$T,$D173,VI_Debitos!$R:$R,LEFT(PAGADO!H$1,4),VI_Debitos!$Q:$Q,RIGHT(H$1,2))</f>
        <v>0</v>
      </c>
      <c r="I173" s="2">
        <f>SUMIFS(VI_Debitos!$V:$V,VI_Debitos!$H:$H,$C173,VI_Debitos!$T:$T,$D173,VI_Debitos!$R:$R,LEFT(PAGADO!I$1,4),VI_Debitos!$Q:$Q,RIGHT(I$1,2))</f>
        <v>0</v>
      </c>
      <c r="J173" s="2">
        <f>SUMIFS(VI_Debitos!$V:$V,VI_Debitos!$H:$H,$C173,VI_Debitos!$T:$T,$D173,VI_Debitos!$R:$R,LEFT(PAGADO!J$1,4),VI_Debitos!$Q:$Q,RIGHT(J$1,2))</f>
        <v>0</v>
      </c>
      <c r="K173" s="2">
        <f>SUMIFS(VI_Debitos!$V:$V,VI_Debitos!$H:$H,$C173,VI_Debitos!$T:$T,$D173,VI_Debitos!$R:$R,LEFT(PAGADO!K$1,4),VI_Debitos!$Q:$Q,RIGHT(K$1,2))</f>
        <v>0</v>
      </c>
      <c r="L173" s="2">
        <f>SUMIFS(VI_Debitos!$V:$V,VI_Debitos!$H:$H,$C173,VI_Debitos!$T:$T,$D173,VI_Debitos!$R:$R,LEFT(PAGADO!L$1,4),VI_Debitos!$Q:$Q,RIGHT(L$1,2))</f>
        <v>0</v>
      </c>
      <c r="M173" s="2">
        <f>SUMIFS(VI_Debitos!$V:$V,VI_Debitos!$H:$H,$C173,VI_Debitos!$T:$T,$D173,VI_Debitos!$R:$R,LEFT(PAGADO!M$1,4),VI_Debitos!$Q:$Q,RIGHT(M$1,2))</f>
        <v>0</v>
      </c>
      <c r="N173" s="2">
        <f>SUMIFS(VI_Debitos!$V:$V,VI_Debitos!$H:$H,$C173,VI_Debitos!$T:$T,$D173,VI_Debitos!$R:$R,LEFT(PAGADO!N$1,4),VI_Debitos!$Q:$Q,RIGHT(N$1,2))</f>
        <v>0</v>
      </c>
      <c r="O173" s="2">
        <f>SUMIFS(VI_Debitos!$V:$V,VI_Debitos!$H:$H,$C173,VI_Debitos!$T:$T,$D173,VI_Debitos!$R:$R,LEFT(PAGADO!O$1,4),VI_Debitos!$Q:$Q,RIGHT(O$1,2))</f>
        <v>0</v>
      </c>
      <c r="P173" s="2">
        <f>SUMIFS(VI_Debitos!$V:$V,VI_Debitos!$H:$H,$C173,VI_Debitos!$T:$T,$D173,VI_Debitos!$R:$R,LEFT(PAGADO!P$1,4),VI_Debitos!$Q:$Q,RIGHT(P$1,2))</f>
        <v>0</v>
      </c>
      <c r="Q173" s="2">
        <f>SUMIFS(VI_Debitos!$V:$V,VI_Debitos!$H:$H,$C173,VI_Debitos!$T:$T,$D173,VI_Debitos!$R:$R,LEFT(PAGADO!Q$1,4),VI_Debitos!$Q:$Q,RIGHT(Q$1,2))</f>
        <v>0</v>
      </c>
      <c r="R173" s="2">
        <f t="shared" si="2"/>
        <v>0</v>
      </c>
    </row>
    <row r="174" spans="6:18">
      <c r="F174" s="2">
        <f>SUMIFS(VI_Debitos!$V:$V,VI_Debitos!$H:$H,$C174,VI_Debitos!$T:$T,$D174,VI_Debitos!$R:$R,LEFT(PAGADO!F$1,4),VI_Debitos!$Q:$Q,RIGHT(F$1,2))</f>
        <v>0</v>
      </c>
      <c r="G174" s="2">
        <f>SUMIFS(VI_Debitos!$V:$V,VI_Debitos!$H:$H,$C174,VI_Debitos!$T:$T,$D174,VI_Debitos!$R:$R,LEFT(PAGADO!G$1,4),VI_Debitos!$Q:$Q,RIGHT(G$1,2))</f>
        <v>0</v>
      </c>
      <c r="H174" s="2">
        <f>SUMIFS(VI_Debitos!$V:$V,VI_Debitos!$H:$H,$C174,VI_Debitos!$T:$T,$D174,VI_Debitos!$R:$R,LEFT(PAGADO!H$1,4),VI_Debitos!$Q:$Q,RIGHT(H$1,2))</f>
        <v>0</v>
      </c>
      <c r="I174" s="2">
        <f>SUMIFS(VI_Debitos!$V:$V,VI_Debitos!$H:$H,$C174,VI_Debitos!$T:$T,$D174,VI_Debitos!$R:$R,LEFT(PAGADO!I$1,4),VI_Debitos!$Q:$Q,RIGHT(I$1,2))</f>
        <v>0</v>
      </c>
      <c r="J174" s="2">
        <f>SUMIFS(VI_Debitos!$V:$V,VI_Debitos!$H:$H,$C174,VI_Debitos!$T:$T,$D174,VI_Debitos!$R:$R,LEFT(PAGADO!J$1,4),VI_Debitos!$Q:$Q,RIGHT(J$1,2))</f>
        <v>0</v>
      </c>
      <c r="K174" s="2">
        <f>SUMIFS(VI_Debitos!$V:$V,VI_Debitos!$H:$H,$C174,VI_Debitos!$T:$T,$D174,VI_Debitos!$R:$R,LEFT(PAGADO!K$1,4),VI_Debitos!$Q:$Q,RIGHT(K$1,2))</f>
        <v>0</v>
      </c>
      <c r="L174" s="2">
        <f>SUMIFS(VI_Debitos!$V:$V,VI_Debitos!$H:$H,$C174,VI_Debitos!$T:$T,$D174,VI_Debitos!$R:$R,LEFT(PAGADO!L$1,4),VI_Debitos!$Q:$Q,RIGHT(L$1,2))</f>
        <v>0</v>
      </c>
      <c r="M174" s="2">
        <f>SUMIFS(VI_Debitos!$V:$V,VI_Debitos!$H:$H,$C174,VI_Debitos!$T:$T,$D174,VI_Debitos!$R:$R,LEFT(PAGADO!M$1,4),VI_Debitos!$Q:$Q,RIGHT(M$1,2))</f>
        <v>0</v>
      </c>
      <c r="N174" s="2">
        <f>SUMIFS(VI_Debitos!$V:$V,VI_Debitos!$H:$H,$C174,VI_Debitos!$T:$T,$D174,VI_Debitos!$R:$R,LEFT(PAGADO!N$1,4),VI_Debitos!$Q:$Q,RIGHT(N$1,2))</f>
        <v>0</v>
      </c>
      <c r="O174" s="2">
        <f>SUMIFS(VI_Debitos!$V:$V,VI_Debitos!$H:$H,$C174,VI_Debitos!$T:$T,$D174,VI_Debitos!$R:$R,LEFT(PAGADO!O$1,4),VI_Debitos!$Q:$Q,RIGHT(O$1,2))</f>
        <v>0</v>
      </c>
      <c r="P174" s="2">
        <f>SUMIFS(VI_Debitos!$V:$V,VI_Debitos!$H:$H,$C174,VI_Debitos!$T:$T,$D174,VI_Debitos!$R:$R,LEFT(PAGADO!P$1,4),VI_Debitos!$Q:$Q,RIGHT(P$1,2))</f>
        <v>0</v>
      </c>
      <c r="Q174" s="2">
        <f>SUMIFS(VI_Debitos!$V:$V,VI_Debitos!$H:$H,$C174,VI_Debitos!$T:$T,$D174,VI_Debitos!$R:$R,LEFT(PAGADO!Q$1,4),VI_Debitos!$Q:$Q,RIGHT(Q$1,2))</f>
        <v>0</v>
      </c>
      <c r="R174" s="2">
        <f t="shared" si="2"/>
        <v>0</v>
      </c>
    </row>
    <row r="175" spans="6:18">
      <c r="F175" s="2">
        <f>SUMIFS(VI_Debitos!$V:$V,VI_Debitos!$H:$H,$C175,VI_Debitos!$T:$T,$D175,VI_Debitos!$R:$R,LEFT(PAGADO!F$1,4),VI_Debitos!$Q:$Q,RIGHT(F$1,2))</f>
        <v>0</v>
      </c>
      <c r="G175" s="2">
        <f>SUMIFS(VI_Debitos!$V:$V,VI_Debitos!$H:$H,$C175,VI_Debitos!$T:$T,$D175,VI_Debitos!$R:$R,LEFT(PAGADO!G$1,4),VI_Debitos!$Q:$Q,RIGHT(G$1,2))</f>
        <v>0</v>
      </c>
      <c r="H175" s="2">
        <f>SUMIFS(VI_Debitos!$V:$V,VI_Debitos!$H:$H,$C175,VI_Debitos!$T:$T,$D175,VI_Debitos!$R:$R,LEFT(PAGADO!H$1,4),VI_Debitos!$Q:$Q,RIGHT(H$1,2))</f>
        <v>0</v>
      </c>
      <c r="I175" s="2">
        <f>SUMIFS(VI_Debitos!$V:$V,VI_Debitos!$H:$H,$C175,VI_Debitos!$T:$T,$D175,VI_Debitos!$R:$R,LEFT(PAGADO!I$1,4),VI_Debitos!$Q:$Q,RIGHT(I$1,2))</f>
        <v>0</v>
      </c>
      <c r="J175" s="2">
        <f>SUMIFS(VI_Debitos!$V:$V,VI_Debitos!$H:$H,$C175,VI_Debitos!$T:$T,$D175,VI_Debitos!$R:$R,LEFT(PAGADO!J$1,4),VI_Debitos!$Q:$Q,RIGHT(J$1,2))</f>
        <v>0</v>
      </c>
      <c r="K175" s="2">
        <f>SUMIFS(VI_Debitos!$V:$V,VI_Debitos!$H:$H,$C175,VI_Debitos!$T:$T,$D175,VI_Debitos!$R:$R,LEFT(PAGADO!K$1,4),VI_Debitos!$Q:$Q,RIGHT(K$1,2))</f>
        <v>0</v>
      </c>
      <c r="L175" s="2">
        <f>SUMIFS(VI_Debitos!$V:$V,VI_Debitos!$H:$H,$C175,VI_Debitos!$T:$T,$D175,VI_Debitos!$R:$R,LEFT(PAGADO!L$1,4),VI_Debitos!$Q:$Q,RIGHT(L$1,2))</f>
        <v>0</v>
      </c>
      <c r="M175" s="2">
        <f>SUMIFS(VI_Debitos!$V:$V,VI_Debitos!$H:$H,$C175,VI_Debitos!$T:$T,$D175,VI_Debitos!$R:$R,LEFT(PAGADO!M$1,4),VI_Debitos!$Q:$Q,RIGHT(M$1,2))</f>
        <v>0</v>
      </c>
      <c r="N175" s="2">
        <f>SUMIFS(VI_Debitos!$V:$V,VI_Debitos!$H:$H,$C175,VI_Debitos!$T:$T,$D175,VI_Debitos!$R:$R,LEFT(PAGADO!N$1,4),VI_Debitos!$Q:$Q,RIGHT(N$1,2))</f>
        <v>0</v>
      </c>
      <c r="O175" s="2">
        <f>SUMIFS(VI_Debitos!$V:$V,VI_Debitos!$H:$H,$C175,VI_Debitos!$T:$T,$D175,VI_Debitos!$R:$R,LEFT(PAGADO!O$1,4),VI_Debitos!$Q:$Q,RIGHT(O$1,2))</f>
        <v>0</v>
      </c>
      <c r="P175" s="2">
        <f>SUMIFS(VI_Debitos!$V:$V,VI_Debitos!$H:$H,$C175,VI_Debitos!$T:$T,$D175,VI_Debitos!$R:$R,LEFT(PAGADO!P$1,4),VI_Debitos!$Q:$Q,RIGHT(P$1,2))</f>
        <v>0</v>
      </c>
      <c r="Q175" s="2">
        <f>SUMIFS(VI_Debitos!$V:$V,VI_Debitos!$H:$H,$C175,VI_Debitos!$T:$T,$D175,VI_Debitos!$R:$R,LEFT(PAGADO!Q$1,4),VI_Debitos!$Q:$Q,RIGHT(Q$1,2))</f>
        <v>0</v>
      </c>
      <c r="R175" s="2">
        <f t="shared" si="2"/>
        <v>0</v>
      </c>
    </row>
    <row r="176" spans="6:18">
      <c r="F176" s="2">
        <f>SUMIFS(VI_Debitos!$V:$V,VI_Debitos!$H:$H,$C176,VI_Debitos!$T:$T,$D176,VI_Debitos!$R:$R,LEFT(PAGADO!F$1,4),VI_Debitos!$Q:$Q,RIGHT(F$1,2))</f>
        <v>0</v>
      </c>
      <c r="G176" s="2">
        <f>SUMIFS(VI_Debitos!$V:$V,VI_Debitos!$H:$H,$C176,VI_Debitos!$T:$T,$D176,VI_Debitos!$R:$R,LEFT(PAGADO!G$1,4),VI_Debitos!$Q:$Q,RIGHT(G$1,2))</f>
        <v>0</v>
      </c>
      <c r="H176" s="2">
        <f>SUMIFS(VI_Debitos!$V:$V,VI_Debitos!$H:$H,$C176,VI_Debitos!$T:$T,$D176,VI_Debitos!$R:$R,LEFT(PAGADO!H$1,4),VI_Debitos!$Q:$Q,RIGHT(H$1,2))</f>
        <v>0</v>
      </c>
      <c r="I176" s="2">
        <f>SUMIFS(VI_Debitos!$V:$V,VI_Debitos!$H:$H,$C176,VI_Debitos!$T:$T,$D176,VI_Debitos!$R:$R,LEFT(PAGADO!I$1,4),VI_Debitos!$Q:$Q,RIGHT(I$1,2))</f>
        <v>0</v>
      </c>
      <c r="J176" s="2">
        <f>SUMIFS(VI_Debitos!$V:$V,VI_Debitos!$H:$H,$C176,VI_Debitos!$T:$T,$D176,VI_Debitos!$R:$R,LEFT(PAGADO!J$1,4),VI_Debitos!$Q:$Q,RIGHT(J$1,2))</f>
        <v>0</v>
      </c>
      <c r="K176" s="2">
        <f>SUMIFS(VI_Debitos!$V:$V,VI_Debitos!$H:$H,$C176,VI_Debitos!$T:$T,$D176,VI_Debitos!$R:$R,LEFT(PAGADO!K$1,4),VI_Debitos!$Q:$Q,RIGHT(K$1,2))</f>
        <v>0</v>
      </c>
      <c r="L176" s="2">
        <f>SUMIFS(VI_Debitos!$V:$V,VI_Debitos!$H:$H,$C176,VI_Debitos!$T:$T,$D176,VI_Debitos!$R:$R,LEFT(PAGADO!L$1,4),VI_Debitos!$Q:$Q,RIGHT(L$1,2))</f>
        <v>0</v>
      </c>
      <c r="M176" s="2">
        <f>SUMIFS(VI_Debitos!$V:$V,VI_Debitos!$H:$H,$C176,VI_Debitos!$T:$T,$D176,VI_Debitos!$R:$R,LEFT(PAGADO!M$1,4),VI_Debitos!$Q:$Q,RIGHT(M$1,2))</f>
        <v>0</v>
      </c>
      <c r="N176" s="2">
        <f>SUMIFS(VI_Debitos!$V:$V,VI_Debitos!$H:$H,$C176,VI_Debitos!$T:$T,$D176,VI_Debitos!$R:$R,LEFT(PAGADO!N$1,4),VI_Debitos!$Q:$Q,RIGHT(N$1,2))</f>
        <v>0</v>
      </c>
      <c r="O176" s="2">
        <f>SUMIFS(VI_Debitos!$V:$V,VI_Debitos!$H:$H,$C176,VI_Debitos!$T:$T,$D176,VI_Debitos!$R:$R,LEFT(PAGADO!O$1,4),VI_Debitos!$Q:$Q,RIGHT(O$1,2))</f>
        <v>0</v>
      </c>
      <c r="P176" s="2">
        <f>SUMIFS(VI_Debitos!$V:$V,VI_Debitos!$H:$H,$C176,VI_Debitos!$T:$T,$D176,VI_Debitos!$R:$R,LEFT(PAGADO!P$1,4),VI_Debitos!$Q:$Q,RIGHT(P$1,2))</f>
        <v>0</v>
      </c>
      <c r="Q176" s="2">
        <f>SUMIFS(VI_Debitos!$V:$V,VI_Debitos!$H:$H,$C176,VI_Debitos!$T:$T,$D176,VI_Debitos!$R:$R,LEFT(PAGADO!Q$1,4),VI_Debitos!$Q:$Q,RIGHT(Q$1,2))</f>
        <v>0</v>
      </c>
      <c r="R176" s="2">
        <f t="shared" si="2"/>
        <v>0</v>
      </c>
    </row>
    <row r="177" spans="6:18">
      <c r="F177" s="2">
        <f>SUMIFS(VI_Debitos!$V:$V,VI_Debitos!$H:$H,$C177,VI_Debitos!$T:$T,$D177,VI_Debitos!$R:$R,LEFT(PAGADO!F$1,4),VI_Debitos!$Q:$Q,RIGHT(F$1,2))</f>
        <v>0</v>
      </c>
      <c r="G177" s="2">
        <f>SUMIFS(VI_Debitos!$V:$V,VI_Debitos!$H:$H,$C177,VI_Debitos!$T:$T,$D177,VI_Debitos!$R:$R,LEFT(PAGADO!G$1,4),VI_Debitos!$Q:$Q,RIGHT(G$1,2))</f>
        <v>0</v>
      </c>
      <c r="H177" s="2">
        <f>SUMIFS(VI_Debitos!$V:$V,VI_Debitos!$H:$H,$C177,VI_Debitos!$T:$T,$D177,VI_Debitos!$R:$R,LEFT(PAGADO!H$1,4),VI_Debitos!$Q:$Q,RIGHT(H$1,2))</f>
        <v>0</v>
      </c>
      <c r="I177" s="2">
        <f>SUMIFS(VI_Debitos!$V:$V,VI_Debitos!$H:$H,$C177,VI_Debitos!$T:$T,$D177,VI_Debitos!$R:$R,LEFT(PAGADO!I$1,4),VI_Debitos!$Q:$Q,RIGHT(I$1,2))</f>
        <v>0</v>
      </c>
      <c r="J177" s="2">
        <f>SUMIFS(VI_Debitos!$V:$V,VI_Debitos!$H:$H,$C177,VI_Debitos!$T:$T,$D177,VI_Debitos!$R:$R,LEFT(PAGADO!J$1,4),VI_Debitos!$Q:$Q,RIGHT(J$1,2))</f>
        <v>0</v>
      </c>
      <c r="K177" s="2">
        <f>SUMIFS(VI_Debitos!$V:$V,VI_Debitos!$H:$H,$C177,VI_Debitos!$T:$T,$D177,VI_Debitos!$R:$R,LEFT(PAGADO!K$1,4),VI_Debitos!$Q:$Q,RIGHT(K$1,2))</f>
        <v>0</v>
      </c>
      <c r="L177" s="2">
        <f>SUMIFS(VI_Debitos!$V:$V,VI_Debitos!$H:$H,$C177,VI_Debitos!$T:$T,$D177,VI_Debitos!$R:$R,LEFT(PAGADO!L$1,4),VI_Debitos!$Q:$Q,RIGHT(L$1,2))</f>
        <v>0</v>
      </c>
      <c r="M177" s="2">
        <f>SUMIFS(VI_Debitos!$V:$V,VI_Debitos!$H:$H,$C177,VI_Debitos!$T:$T,$D177,VI_Debitos!$R:$R,LEFT(PAGADO!M$1,4),VI_Debitos!$Q:$Q,RIGHT(M$1,2))</f>
        <v>0</v>
      </c>
      <c r="N177" s="2">
        <f>SUMIFS(VI_Debitos!$V:$V,VI_Debitos!$H:$H,$C177,VI_Debitos!$T:$T,$D177,VI_Debitos!$R:$R,LEFT(PAGADO!N$1,4),VI_Debitos!$Q:$Q,RIGHT(N$1,2))</f>
        <v>0</v>
      </c>
      <c r="O177" s="2">
        <f>SUMIFS(VI_Debitos!$V:$V,VI_Debitos!$H:$H,$C177,VI_Debitos!$T:$T,$D177,VI_Debitos!$R:$R,LEFT(PAGADO!O$1,4),VI_Debitos!$Q:$Q,RIGHT(O$1,2))</f>
        <v>0</v>
      </c>
      <c r="P177" s="2">
        <f>SUMIFS(VI_Debitos!$V:$V,VI_Debitos!$H:$H,$C177,VI_Debitos!$T:$T,$D177,VI_Debitos!$R:$R,LEFT(PAGADO!P$1,4),VI_Debitos!$Q:$Q,RIGHT(P$1,2))</f>
        <v>0</v>
      </c>
      <c r="Q177" s="2">
        <f>SUMIFS(VI_Debitos!$V:$V,VI_Debitos!$H:$H,$C177,VI_Debitos!$T:$T,$D177,VI_Debitos!$R:$R,LEFT(PAGADO!Q$1,4),VI_Debitos!$Q:$Q,RIGHT(Q$1,2))</f>
        <v>0</v>
      </c>
      <c r="R177" s="2">
        <f t="shared" si="2"/>
        <v>0</v>
      </c>
    </row>
    <row r="178" spans="6:18">
      <c r="F178" s="2">
        <f>SUMIFS(VI_Debitos!$V:$V,VI_Debitos!$H:$H,$C178,VI_Debitos!$T:$T,$D178,VI_Debitos!$R:$R,LEFT(PAGADO!F$1,4),VI_Debitos!$Q:$Q,RIGHT(F$1,2))</f>
        <v>0</v>
      </c>
      <c r="G178" s="2">
        <f>SUMIFS(VI_Debitos!$V:$V,VI_Debitos!$H:$H,$C178,VI_Debitos!$T:$T,$D178,VI_Debitos!$R:$R,LEFT(PAGADO!G$1,4),VI_Debitos!$Q:$Q,RIGHT(G$1,2))</f>
        <v>0</v>
      </c>
      <c r="H178" s="2">
        <f>SUMIFS(VI_Debitos!$V:$V,VI_Debitos!$H:$H,$C178,VI_Debitos!$T:$T,$D178,VI_Debitos!$R:$R,LEFT(PAGADO!H$1,4),VI_Debitos!$Q:$Q,RIGHT(H$1,2))</f>
        <v>0</v>
      </c>
      <c r="I178" s="2">
        <f>SUMIFS(VI_Debitos!$V:$V,VI_Debitos!$H:$H,$C178,VI_Debitos!$T:$T,$D178,VI_Debitos!$R:$R,LEFT(PAGADO!I$1,4),VI_Debitos!$Q:$Q,RIGHT(I$1,2))</f>
        <v>0</v>
      </c>
      <c r="J178" s="2">
        <f>SUMIFS(VI_Debitos!$V:$V,VI_Debitos!$H:$H,$C178,VI_Debitos!$T:$T,$D178,VI_Debitos!$R:$R,LEFT(PAGADO!J$1,4),VI_Debitos!$Q:$Q,RIGHT(J$1,2))</f>
        <v>0</v>
      </c>
      <c r="K178" s="2">
        <f>SUMIFS(VI_Debitos!$V:$V,VI_Debitos!$H:$H,$C178,VI_Debitos!$T:$T,$D178,VI_Debitos!$R:$R,LEFT(PAGADO!K$1,4),VI_Debitos!$Q:$Q,RIGHT(K$1,2))</f>
        <v>0</v>
      </c>
      <c r="L178" s="2">
        <f>SUMIFS(VI_Debitos!$V:$V,VI_Debitos!$H:$H,$C178,VI_Debitos!$T:$T,$D178,VI_Debitos!$R:$R,LEFT(PAGADO!L$1,4),VI_Debitos!$Q:$Q,RIGHT(L$1,2))</f>
        <v>0</v>
      </c>
      <c r="M178" s="2">
        <f>SUMIFS(VI_Debitos!$V:$V,VI_Debitos!$H:$H,$C178,VI_Debitos!$T:$T,$D178,VI_Debitos!$R:$R,LEFT(PAGADO!M$1,4),VI_Debitos!$Q:$Q,RIGHT(M$1,2))</f>
        <v>0</v>
      </c>
      <c r="N178" s="2">
        <f>SUMIFS(VI_Debitos!$V:$V,VI_Debitos!$H:$H,$C178,VI_Debitos!$T:$T,$D178,VI_Debitos!$R:$R,LEFT(PAGADO!N$1,4),VI_Debitos!$Q:$Q,RIGHT(N$1,2))</f>
        <v>0</v>
      </c>
      <c r="O178" s="2">
        <f>SUMIFS(VI_Debitos!$V:$V,VI_Debitos!$H:$H,$C178,VI_Debitos!$T:$T,$D178,VI_Debitos!$R:$R,LEFT(PAGADO!O$1,4),VI_Debitos!$Q:$Q,RIGHT(O$1,2))</f>
        <v>0</v>
      </c>
      <c r="P178" s="2">
        <f>SUMIFS(VI_Debitos!$V:$V,VI_Debitos!$H:$H,$C178,VI_Debitos!$T:$T,$D178,VI_Debitos!$R:$R,LEFT(PAGADO!P$1,4),VI_Debitos!$Q:$Q,RIGHT(P$1,2))</f>
        <v>0</v>
      </c>
      <c r="Q178" s="2">
        <f>SUMIFS(VI_Debitos!$V:$V,VI_Debitos!$H:$H,$C178,VI_Debitos!$T:$T,$D178,VI_Debitos!$R:$R,LEFT(PAGADO!Q$1,4),VI_Debitos!$Q:$Q,RIGHT(Q$1,2))</f>
        <v>0</v>
      </c>
      <c r="R178" s="2">
        <f t="shared" si="2"/>
        <v>0</v>
      </c>
    </row>
    <row r="179" spans="6:18">
      <c r="F179" s="2">
        <f>SUMIFS(VI_Debitos!$V:$V,VI_Debitos!$H:$H,$C179,VI_Debitos!$T:$T,$D179,VI_Debitos!$R:$R,LEFT(PAGADO!F$1,4),VI_Debitos!$Q:$Q,RIGHT(F$1,2))</f>
        <v>0</v>
      </c>
      <c r="G179" s="2">
        <f>SUMIFS(VI_Debitos!$V:$V,VI_Debitos!$H:$H,$C179,VI_Debitos!$T:$T,$D179,VI_Debitos!$R:$R,LEFT(PAGADO!G$1,4),VI_Debitos!$Q:$Q,RIGHT(G$1,2))</f>
        <v>0</v>
      </c>
      <c r="H179" s="2">
        <f>SUMIFS(VI_Debitos!$V:$V,VI_Debitos!$H:$H,$C179,VI_Debitos!$T:$T,$D179,VI_Debitos!$R:$R,LEFT(PAGADO!H$1,4),VI_Debitos!$Q:$Q,RIGHT(H$1,2))</f>
        <v>0</v>
      </c>
      <c r="I179" s="2">
        <f>SUMIFS(VI_Debitos!$V:$V,VI_Debitos!$H:$H,$C179,VI_Debitos!$T:$T,$D179,VI_Debitos!$R:$R,LEFT(PAGADO!I$1,4),VI_Debitos!$Q:$Q,RIGHT(I$1,2))</f>
        <v>0</v>
      </c>
      <c r="J179" s="2">
        <f>SUMIFS(VI_Debitos!$V:$V,VI_Debitos!$H:$H,$C179,VI_Debitos!$T:$T,$D179,VI_Debitos!$R:$R,LEFT(PAGADO!J$1,4),VI_Debitos!$Q:$Q,RIGHT(J$1,2))</f>
        <v>0</v>
      </c>
      <c r="K179" s="2">
        <f>SUMIFS(VI_Debitos!$V:$V,VI_Debitos!$H:$H,$C179,VI_Debitos!$T:$T,$D179,VI_Debitos!$R:$R,LEFT(PAGADO!K$1,4),VI_Debitos!$Q:$Q,RIGHT(K$1,2))</f>
        <v>0</v>
      </c>
      <c r="L179" s="2">
        <f>SUMIFS(VI_Debitos!$V:$V,VI_Debitos!$H:$H,$C179,VI_Debitos!$T:$T,$D179,VI_Debitos!$R:$R,LEFT(PAGADO!L$1,4),VI_Debitos!$Q:$Q,RIGHT(L$1,2))</f>
        <v>0</v>
      </c>
      <c r="M179" s="2">
        <f>SUMIFS(VI_Debitos!$V:$V,VI_Debitos!$H:$H,$C179,VI_Debitos!$T:$T,$D179,VI_Debitos!$R:$R,LEFT(PAGADO!M$1,4),VI_Debitos!$Q:$Q,RIGHT(M$1,2))</f>
        <v>0</v>
      </c>
      <c r="N179" s="2">
        <f>SUMIFS(VI_Debitos!$V:$V,VI_Debitos!$H:$H,$C179,VI_Debitos!$T:$T,$D179,VI_Debitos!$R:$R,LEFT(PAGADO!N$1,4),VI_Debitos!$Q:$Q,RIGHT(N$1,2))</f>
        <v>0</v>
      </c>
      <c r="O179" s="2">
        <f>SUMIFS(VI_Debitos!$V:$V,VI_Debitos!$H:$H,$C179,VI_Debitos!$T:$T,$D179,VI_Debitos!$R:$R,LEFT(PAGADO!O$1,4),VI_Debitos!$Q:$Q,RIGHT(O$1,2))</f>
        <v>0</v>
      </c>
      <c r="P179" s="2">
        <f>SUMIFS(VI_Debitos!$V:$V,VI_Debitos!$H:$H,$C179,VI_Debitos!$T:$T,$D179,VI_Debitos!$R:$R,LEFT(PAGADO!P$1,4),VI_Debitos!$Q:$Q,RIGHT(P$1,2))</f>
        <v>0</v>
      </c>
      <c r="Q179" s="2">
        <f>SUMIFS(VI_Debitos!$V:$V,VI_Debitos!$H:$H,$C179,VI_Debitos!$T:$T,$D179,VI_Debitos!$R:$R,LEFT(PAGADO!Q$1,4),VI_Debitos!$Q:$Q,RIGHT(Q$1,2))</f>
        <v>0</v>
      </c>
      <c r="R179" s="2">
        <f t="shared" si="2"/>
        <v>0</v>
      </c>
    </row>
    <row r="180" spans="6:18">
      <c r="F180" s="2">
        <f>SUMIFS(VI_Debitos!$V:$V,VI_Debitos!$H:$H,$C180,VI_Debitos!$T:$T,$D180,VI_Debitos!$R:$R,LEFT(PAGADO!F$1,4),VI_Debitos!$Q:$Q,RIGHT(F$1,2))</f>
        <v>0</v>
      </c>
      <c r="G180" s="2">
        <f>SUMIFS(VI_Debitos!$V:$V,VI_Debitos!$H:$H,$C180,VI_Debitos!$T:$T,$D180,VI_Debitos!$R:$R,LEFT(PAGADO!G$1,4),VI_Debitos!$Q:$Q,RIGHT(G$1,2))</f>
        <v>0</v>
      </c>
      <c r="H180" s="2">
        <f>SUMIFS(VI_Debitos!$V:$V,VI_Debitos!$H:$H,$C180,VI_Debitos!$T:$T,$D180,VI_Debitos!$R:$R,LEFT(PAGADO!H$1,4),VI_Debitos!$Q:$Q,RIGHT(H$1,2))</f>
        <v>0</v>
      </c>
      <c r="I180" s="2">
        <f>SUMIFS(VI_Debitos!$V:$V,VI_Debitos!$H:$H,$C180,VI_Debitos!$T:$T,$D180,VI_Debitos!$R:$R,LEFT(PAGADO!I$1,4),VI_Debitos!$Q:$Q,RIGHT(I$1,2))</f>
        <v>0</v>
      </c>
      <c r="J180" s="2">
        <f>SUMIFS(VI_Debitos!$V:$V,VI_Debitos!$H:$H,$C180,VI_Debitos!$T:$T,$D180,VI_Debitos!$R:$R,LEFT(PAGADO!J$1,4),VI_Debitos!$Q:$Q,RIGHT(J$1,2))</f>
        <v>0</v>
      </c>
      <c r="K180" s="2">
        <f>SUMIFS(VI_Debitos!$V:$V,VI_Debitos!$H:$H,$C180,VI_Debitos!$T:$T,$D180,VI_Debitos!$R:$R,LEFT(PAGADO!K$1,4),VI_Debitos!$Q:$Q,RIGHT(K$1,2))</f>
        <v>0</v>
      </c>
      <c r="L180" s="2">
        <f>SUMIFS(VI_Debitos!$V:$V,VI_Debitos!$H:$H,$C180,VI_Debitos!$T:$T,$D180,VI_Debitos!$R:$R,LEFT(PAGADO!L$1,4),VI_Debitos!$Q:$Q,RIGHT(L$1,2))</f>
        <v>0</v>
      </c>
      <c r="M180" s="2">
        <f>SUMIFS(VI_Debitos!$V:$V,VI_Debitos!$H:$H,$C180,VI_Debitos!$T:$T,$D180,VI_Debitos!$R:$R,LEFT(PAGADO!M$1,4),VI_Debitos!$Q:$Q,RIGHT(M$1,2))</f>
        <v>0</v>
      </c>
      <c r="N180" s="2">
        <f>SUMIFS(VI_Debitos!$V:$V,VI_Debitos!$H:$H,$C180,VI_Debitos!$T:$T,$D180,VI_Debitos!$R:$R,LEFT(PAGADO!N$1,4),VI_Debitos!$Q:$Q,RIGHT(N$1,2))</f>
        <v>0</v>
      </c>
      <c r="O180" s="2">
        <f>SUMIFS(VI_Debitos!$V:$V,VI_Debitos!$H:$H,$C180,VI_Debitos!$T:$T,$D180,VI_Debitos!$R:$R,LEFT(PAGADO!O$1,4),VI_Debitos!$Q:$Q,RIGHT(O$1,2))</f>
        <v>0</v>
      </c>
      <c r="P180" s="2">
        <f>SUMIFS(VI_Debitos!$V:$V,VI_Debitos!$H:$H,$C180,VI_Debitos!$T:$T,$D180,VI_Debitos!$R:$R,LEFT(PAGADO!P$1,4),VI_Debitos!$Q:$Q,RIGHT(P$1,2))</f>
        <v>0</v>
      </c>
      <c r="Q180" s="2">
        <f>SUMIFS(VI_Debitos!$V:$V,VI_Debitos!$H:$H,$C180,VI_Debitos!$T:$T,$D180,VI_Debitos!$R:$R,LEFT(PAGADO!Q$1,4),VI_Debitos!$Q:$Q,RIGHT(Q$1,2))</f>
        <v>0</v>
      </c>
      <c r="R180" s="2">
        <f t="shared" si="2"/>
        <v>0</v>
      </c>
    </row>
    <row r="181" spans="6:18">
      <c r="F181" s="2">
        <f>SUMIFS(VI_Debitos!$V:$V,VI_Debitos!$H:$H,$C181,VI_Debitos!$T:$T,$D181,VI_Debitos!$R:$R,LEFT(PAGADO!F$1,4),VI_Debitos!$Q:$Q,RIGHT(F$1,2))</f>
        <v>0</v>
      </c>
      <c r="G181" s="2">
        <f>SUMIFS(VI_Debitos!$V:$V,VI_Debitos!$H:$H,$C181,VI_Debitos!$T:$T,$D181,VI_Debitos!$R:$R,LEFT(PAGADO!G$1,4),VI_Debitos!$Q:$Q,RIGHT(G$1,2))</f>
        <v>0</v>
      </c>
      <c r="H181" s="2">
        <f>SUMIFS(VI_Debitos!$V:$V,VI_Debitos!$H:$H,$C181,VI_Debitos!$T:$T,$D181,VI_Debitos!$R:$R,LEFT(PAGADO!H$1,4),VI_Debitos!$Q:$Q,RIGHT(H$1,2))</f>
        <v>0</v>
      </c>
      <c r="I181" s="2">
        <f>SUMIFS(VI_Debitos!$V:$V,VI_Debitos!$H:$H,$C181,VI_Debitos!$T:$T,$D181,VI_Debitos!$R:$R,LEFT(PAGADO!I$1,4),VI_Debitos!$Q:$Q,RIGHT(I$1,2))</f>
        <v>0</v>
      </c>
      <c r="J181" s="2">
        <f>SUMIFS(VI_Debitos!$V:$V,VI_Debitos!$H:$H,$C181,VI_Debitos!$T:$T,$D181,VI_Debitos!$R:$R,LEFT(PAGADO!J$1,4),VI_Debitos!$Q:$Q,RIGHT(J$1,2))</f>
        <v>0</v>
      </c>
      <c r="K181" s="2">
        <f>SUMIFS(VI_Debitos!$V:$V,VI_Debitos!$H:$H,$C181,VI_Debitos!$T:$T,$D181,VI_Debitos!$R:$R,LEFT(PAGADO!K$1,4),VI_Debitos!$Q:$Q,RIGHT(K$1,2))</f>
        <v>0</v>
      </c>
      <c r="L181" s="2">
        <f>SUMIFS(VI_Debitos!$V:$V,VI_Debitos!$H:$H,$C181,VI_Debitos!$T:$T,$D181,VI_Debitos!$R:$R,LEFT(PAGADO!L$1,4),VI_Debitos!$Q:$Q,RIGHT(L$1,2))</f>
        <v>0</v>
      </c>
      <c r="M181" s="2">
        <f>SUMIFS(VI_Debitos!$V:$V,VI_Debitos!$H:$H,$C181,VI_Debitos!$T:$T,$D181,VI_Debitos!$R:$R,LEFT(PAGADO!M$1,4),VI_Debitos!$Q:$Q,RIGHT(M$1,2))</f>
        <v>0</v>
      </c>
      <c r="N181" s="2">
        <f>SUMIFS(VI_Debitos!$V:$V,VI_Debitos!$H:$H,$C181,VI_Debitos!$T:$T,$D181,VI_Debitos!$R:$R,LEFT(PAGADO!N$1,4),VI_Debitos!$Q:$Q,RIGHT(N$1,2))</f>
        <v>0</v>
      </c>
      <c r="O181" s="2">
        <f>SUMIFS(VI_Debitos!$V:$V,VI_Debitos!$H:$H,$C181,VI_Debitos!$T:$T,$D181,VI_Debitos!$R:$R,LEFT(PAGADO!O$1,4),VI_Debitos!$Q:$Q,RIGHT(O$1,2))</f>
        <v>0</v>
      </c>
      <c r="P181" s="2">
        <f>SUMIFS(VI_Debitos!$V:$V,VI_Debitos!$H:$H,$C181,VI_Debitos!$T:$T,$D181,VI_Debitos!$R:$R,LEFT(PAGADO!P$1,4),VI_Debitos!$Q:$Q,RIGHT(P$1,2))</f>
        <v>0</v>
      </c>
      <c r="Q181" s="2">
        <f>SUMIFS(VI_Debitos!$V:$V,VI_Debitos!$H:$H,$C181,VI_Debitos!$T:$T,$D181,VI_Debitos!$R:$R,LEFT(PAGADO!Q$1,4),VI_Debitos!$Q:$Q,RIGHT(Q$1,2))</f>
        <v>0</v>
      </c>
      <c r="R181" s="2">
        <f t="shared" si="2"/>
        <v>0</v>
      </c>
    </row>
    <row r="182" spans="6:18">
      <c r="F182" s="2">
        <f>SUMIFS(VI_Debitos!$V:$V,VI_Debitos!$H:$H,$C182,VI_Debitos!$T:$T,$D182,VI_Debitos!$R:$R,LEFT(PAGADO!F$1,4),VI_Debitos!$Q:$Q,RIGHT(F$1,2))</f>
        <v>0</v>
      </c>
      <c r="G182" s="2">
        <f>SUMIFS(VI_Debitos!$V:$V,VI_Debitos!$H:$H,$C182,VI_Debitos!$T:$T,$D182,VI_Debitos!$R:$R,LEFT(PAGADO!G$1,4),VI_Debitos!$Q:$Q,RIGHT(G$1,2))</f>
        <v>0</v>
      </c>
      <c r="H182" s="2">
        <f>SUMIFS(VI_Debitos!$V:$V,VI_Debitos!$H:$H,$C182,VI_Debitos!$T:$T,$D182,VI_Debitos!$R:$R,LEFT(PAGADO!H$1,4),VI_Debitos!$Q:$Q,RIGHT(H$1,2))</f>
        <v>0</v>
      </c>
      <c r="I182" s="2">
        <f>SUMIFS(VI_Debitos!$V:$V,VI_Debitos!$H:$H,$C182,VI_Debitos!$T:$T,$D182,VI_Debitos!$R:$R,LEFT(PAGADO!I$1,4),VI_Debitos!$Q:$Q,RIGHT(I$1,2))</f>
        <v>0</v>
      </c>
      <c r="J182" s="2">
        <f>SUMIFS(VI_Debitos!$V:$V,VI_Debitos!$H:$H,$C182,VI_Debitos!$T:$T,$D182,VI_Debitos!$R:$R,LEFT(PAGADO!J$1,4),VI_Debitos!$Q:$Q,RIGHT(J$1,2))</f>
        <v>0</v>
      </c>
      <c r="K182" s="2">
        <f>SUMIFS(VI_Debitos!$V:$V,VI_Debitos!$H:$H,$C182,VI_Debitos!$T:$T,$D182,VI_Debitos!$R:$R,LEFT(PAGADO!K$1,4),VI_Debitos!$Q:$Q,RIGHT(K$1,2))</f>
        <v>0</v>
      </c>
      <c r="L182" s="2">
        <f>SUMIFS(VI_Debitos!$V:$V,VI_Debitos!$H:$H,$C182,VI_Debitos!$T:$T,$D182,VI_Debitos!$R:$R,LEFT(PAGADO!L$1,4),VI_Debitos!$Q:$Q,RIGHT(L$1,2))</f>
        <v>0</v>
      </c>
      <c r="M182" s="2">
        <f>SUMIFS(VI_Debitos!$V:$V,VI_Debitos!$H:$H,$C182,VI_Debitos!$T:$T,$D182,VI_Debitos!$R:$R,LEFT(PAGADO!M$1,4),VI_Debitos!$Q:$Q,RIGHT(M$1,2))</f>
        <v>0</v>
      </c>
      <c r="N182" s="2">
        <f>SUMIFS(VI_Debitos!$V:$V,VI_Debitos!$H:$H,$C182,VI_Debitos!$T:$T,$D182,VI_Debitos!$R:$R,LEFT(PAGADO!N$1,4),VI_Debitos!$Q:$Q,RIGHT(N$1,2))</f>
        <v>0</v>
      </c>
      <c r="O182" s="2">
        <f>SUMIFS(VI_Debitos!$V:$V,VI_Debitos!$H:$H,$C182,VI_Debitos!$T:$T,$D182,VI_Debitos!$R:$R,LEFT(PAGADO!O$1,4),VI_Debitos!$Q:$Q,RIGHT(O$1,2))</f>
        <v>0</v>
      </c>
      <c r="P182" s="2">
        <f>SUMIFS(VI_Debitos!$V:$V,VI_Debitos!$H:$H,$C182,VI_Debitos!$T:$T,$D182,VI_Debitos!$R:$R,LEFT(PAGADO!P$1,4),VI_Debitos!$Q:$Q,RIGHT(P$1,2))</f>
        <v>0</v>
      </c>
      <c r="Q182" s="2">
        <f>SUMIFS(VI_Debitos!$V:$V,VI_Debitos!$H:$H,$C182,VI_Debitos!$T:$T,$D182,VI_Debitos!$R:$R,LEFT(PAGADO!Q$1,4),VI_Debitos!$Q:$Q,RIGHT(Q$1,2))</f>
        <v>0</v>
      </c>
      <c r="R182" s="2">
        <f t="shared" si="2"/>
        <v>0</v>
      </c>
    </row>
    <row r="183" spans="6:18">
      <c r="F183" s="2">
        <f>SUMIFS(VI_Debitos!$V:$V,VI_Debitos!$H:$H,$C183,VI_Debitos!$T:$T,$D183,VI_Debitos!$R:$R,LEFT(PAGADO!F$1,4),VI_Debitos!$Q:$Q,RIGHT(F$1,2))</f>
        <v>0</v>
      </c>
      <c r="G183" s="2">
        <f>SUMIFS(VI_Debitos!$V:$V,VI_Debitos!$H:$H,$C183,VI_Debitos!$T:$T,$D183,VI_Debitos!$R:$R,LEFT(PAGADO!G$1,4),VI_Debitos!$Q:$Q,RIGHT(G$1,2))</f>
        <v>0</v>
      </c>
      <c r="H183" s="2">
        <f>SUMIFS(VI_Debitos!$V:$V,VI_Debitos!$H:$H,$C183,VI_Debitos!$T:$T,$D183,VI_Debitos!$R:$R,LEFT(PAGADO!H$1,4),VI_Debitos!$Q:$Q,RIGHT(H$1,2))</f>
        <v>0</v>
      </c>
      <c r="I183" s="2">
        <f>SUMIFS(VI_Debitos!$V:$V,VI_Debitos!$H:$H,$C183,VI_Debitos!$T:$T,$D183,VI_Debitos!$R:$R,LEFT(PAGADO!I$1,4),VI_Debitos!$Q:$Q,RIGHT(I$1,2))</f>
        <v>0</v>
      </c>
      <c r="J183" s="2">
        <f>SUMIFS(VI_Debitos!$V:$V,VI_Debitos!$H:$H,$C183,VI_Debitos!$T:$T,$D183,VI_Debitos!$R:$R,LEFT(PAGADO!J$1,4),VI_Debitos!$Q:$Q,RIGHT(J$1,2))</f>
        <v>0</v>
      </c>
      <c r="K183" s="2">
        <f>SUMIFS(VI_Debitos!$V:$V,VI_Debitos!$H:$H,$C183,VI_Debitos!$T:$T,$D183,VI_Debitos!$R:$R,LEFT(PAGADO!K$1,4),VI_Debitos!$Q:$Q,RIGHT(K$1,2))</f>
        <v>0</v>
      </c>
      <c r="L183" s="2">
        <f>SUMIFS(VI_Debitos!$V:$V,VI_Debitos!$H:$H,$C183,VI_Debitos!$T:$T,$D183,VI_Debitos!$R:$R,LEFT(PAGADO!L$1,4),VI_Debitos!$Q:$Q,RIGHT(L$1,2))</f>
        <v>0</v>
      </c>
      <c r="M183" s="2">
        <f>SUMIFS(VI_Debitos!$V:$V,VI_Debitos!$H:$H,$C183,VI_Debitos!$T:$T,$D183,VI_Debitos!$R:$R,LEFT(PAGADO!M$1,4),VI_Debitos!$Q:$Q,RIGHT(M$1,2))</f>
        <v>0</v>
      </c>
      <c r="N183" s="2">
        <f>SUMIFS(VI_Debitos!$V:$V,VI_Debitos!$H:$H,$C183,VI_Debitos!$T:$T,$D183,VI_Debitos!$R:$R,LEFT(PAGADO!N$1,4),VI_Debitos!$Q:$Q,RIGHT(N$1,2))</f>
        <v>0</v>
      </c>
      <c r="O183" s="2">
        <f>SUMIFS(VI_Debitos!$V:$V,VI_Debitos!$H:$H,$C183,VI_Debitos!$T:$T,$D183,VI_Debitos!$R:$R,LEFT(PAGADO!O$1,4),VI_Debitos!$Q:$Q,RIGHT(O$1,2))</f>
        <v>0</v>
      </c>
      <c r="P183" s="2">
        <f>SUMIFS(VI_Debitos!$V:$V,VI_Debitos!$H:$H,$C183,VI_Debitos!$T:$T,$D183,VI_Debitos!$R:$R,LEFT(PAGADO!P$1,4),VI_Debitos!$Q:$Q,RIGHT(P$1,2))</f>
        <v>0</v>
      </c>
      <c r="Q183" s="2">
        <f>SUMIFS(VI_Debitos!$V:$V,VI_Debitos!$H:$H,$C183,VI_Debitos!$T:$T,$D183,VI_Debitos!$R:$R,LEFT(PAGADO!Q$1,4),VI_Debitos!$Q:$Q,RIGHT(Q$1,2))</f>
        <v>0</v>
      </c>
      <c r="R183" s="2">
        <f t="shared" si="2"/>
        <v>0</v>
      </c>
    </row>
    <row r="184" spans="6:18">
      <c r="F184" s="2">
        <f>SUMIFS(VI_Debitos!$V:$V,VI_Debitos!$H:$H,$C184,VI_Debitos!$T:$T,$D184,VI_Debitos!$R:$R,LEFT(PAGADO!F$1,4),VI_Debitos!$Q:$Q,RIGHT(F$1,2))</f>
        <v>0</v>
      </c>
      <c r="G184" s="2">
        <f>SUMIFS(VI_Debitos!$V:$V,VI_Debitos!$H:$H,$C184,VI_Debitos!$T:$T,$D184,VI_Debitos!$R:$R,LEFT(PAGADO!G$1,4),VI_Debitos!$Q:$Q,RIGHT(G$1,2))</f>
        <v>0</v>
      </c>
      <c r="H184" s="2">
        <f>SUMIFS(VI_Debitos!$V:$V,VI_Debitos!$H:$H,$C184,VI_Debitos!$T:$T,$D184,VI_Debitos!$R:$R,LEFT(PAGADO!H$1,4),VI_Debitos!$Q:$Q,RIGHT(H$1,2))</f>
        <v>0</v>
      </c>
      <c r="I184" s="2">
        <f>SUMIFS(VI_Debitos!$V:$V,VI_Debitos!$H:$H,$C184,VI_Debitos!$T:$T,$D184,VI_Debitos!$R:$R,LEFT(PAGADO!I$1,4),VI_Debitos!$Q:$Q,RIGHT(I$1,2))</f>
        <v>0</v>
      </c>
      <c r="J184" s="2">
        <f>SUMIFS(VI_Debitos!$V:$V,VI_Debitos!$H:$H,$C184,VI_Debitos!$T:$T,$D184,VI_Debitos!$R:$R,LEFT(PAGADO!J$1,4),VI_Debitos!$Q:$Q,RIGHT(J$1,2))</f>
        <v>0</v>
      </c>
      <c r="K184" s="2">
        <f>SUMIFS(VI_Debitos!$V:$V,VI_Debitos!$H:$H,$C184,VI_Debitos!$T:$T,$D184,VI_Debitos!$R:$R,LEFT(PAGADO!K$1,4),VI_Debitos!$Q:$Q,RIGHT(K$1,2))</f>
        <v>0</v>
      </c>
      <c r="L184" s="2">
        <f>SUMIFS(VI_Debitos!$V:$V,VI_Debitos!$H:$H,$C184,VI_Debitos!$T:$T,$D184,VI_Debitos!$R:$R,LEFT(PAGADO!L$1,4),VI_Debitos!$Q:$Q,RIGHT(L$1,2))</f>
        <v>0</v>
      </c>
      <c r="M184" s="2">
        <f>SUMIFS(VI_Debitos!$V:$V,VI_Debitos!$H:$H,$C184,VI_Debitos!$T:$T,$D184,VI_Debitos!$R:$R,LEFT(PAGADO!M$1,4),VI_Debitos!$Q:$Q,RIGHT(M$1,2))</f>
        <v>0</v>
      </c>
      <c r="N184" s="2">
        <f>SUMIFS(VI_Debitos!$V:$V,VI_Debitos!$H:$H,$C184,VI_Debitos!$T:$T,$D184,VI_Debitos!$R:$R,LEFT(PAGADO!N$1,4),VI_Debitos!$Q:$Q,RIGHT(N$1,2))</f>
        <v>0</v>
      </c>
      <c r="O184" s="2">
        <f>SUMIFS(VI_Debitos!$V:$V,VI_Debitos!$H:$H,$C184,VI_Debitos!$T:$T,$D184,VI_Debitos!$R:$R,LEFT(PAGADO!O$1,4),VI_Debitos!$Q:$Q,RIGHT(O$1,2))</f>
        <v>0</v>
      </c>
      <c r="P184" s="2">
        <f>SUMIFS(VI_Debitos!$V:$V,VI_Debitos!$H:$H,$C184,VI_Debitos!$T:$T,$D184,VI_Debitos!$R:$R,LEFT(PAGADO!P$1,4),VI_Debitos!$Q:$Q,RIGHT(P$1,2))</f>
        <v>0</v>
      </c>
      <c r="Q184" s="2">
        <f>SUMIFS(VI_Debitos!$V:$V,VI_Debitos!$H:$H,$C184,VI_Debitos!$T:$T,$D184,VI_Debitos!$R:$R,LEFT(PAGADO!Q$1,4),VI_Debitos!$Q:$Q,RIGHT(Q$1,2))</f>
        <v>0</v>
      </c>
      <c r="R184" s="2">
        <f t="shared" si="2"/>
        <v>0</v>
      </c>
    </row>
    <row r="185" spans="6:18">
      <c r="F185" s="2">
        <f>SUMIFS(VI_Debitos!$V:$V,VI_Debitos!$H:$H,$C185,VI_Debitos!$T:$T,$D185,VI_Debitos!$R:$R,LEFT(PAGADO!F$1,4),VI_Debitos!$Q:$Q,RIGHT(F$1,2))</f>
        <v>0</v>
      </c>
      <c r="G185" s="2">
        <f>SUMIFS(VI_Debitos!$V:$V,VI_Debitos!$H:$H,$C185,VI_Debitos!$T:$T,$D185,VI_Debitos!$R:$R,LEFT(PAGADO!G$1,4),VI_Debitos!$Q:$Q,RIGHT(G$1,2))</f>
        <v>0</v>
      </c>
      <c r="H185" s="2">
        <f>SUMIFS(VI_Debitos!$V:$V,VI_Debitos!$H:$H,$C185,VI_Debitos!$T:$T,$D185,VI_Debitos!$R:$R,LEFT(PAGADO!H$1,4),VI_Debitos!$Q:$Q,RIGHT(H$1,2))</f>
        <v>0</v>
      </c>
      <c r="I185" s="2">
        <f>SUMIFS(VI_Debitos!$V:$V,VI_Debitos!$H:$H,$C185,VI_Debitos!$T:$T,$D185,VI_Debitos!$R:$R,LEFT(PAGADO!I$1,4),VI_Debitos!$Q:$Q,RIGHT(I$1,2))</f>
        <v>0</v>
      </c>
      <c r="J185" s="2">
        <f>SUMIFS(VI_Debitos!$V:$V,VI_Debitos!$H:$H,$C185,VI_Debitos!$T:$T,$D185,VI_Debitos!$R:$R,LEFT(PAGADO!J$1,4),VI_Debitos!$Q:$Q,RIGHT(J$1,2))</f>
        <v>0</v>
      </c>
      <c r="K185" s="2">
        <f>SUMIFS(VI_Debitos!$V:$V,VI_Debitos!$H:$H,$C185,VI_Debitos!$T:$T,$D185,VI_Debitos!$R:$R,LEFT(PAGADO!K$1,4),VI_Debitos!$Q:$Q,RIGHT(K$1,2))</f>
        <v>0</v>
      </c>
      <c r="L185" s="2">
        <f>SUMIFS(VI_Debitos!$V:$V,VI_Debitos!$H:$H,$C185,VI_Debitos!$T:$T,$D185,VI_Debitos!$R:$R,LEFT(PAGADO!L$1,4),VI_Debitos!$Q:$Q,RIGHT(L$1,2))</f>
        <v>0</v>
      </c>
      <c r="M185" s="2">
        <f>SUMIFS(VI_Debitos!$V:$V,VI_Debitos!$H:$H,$C185,VI_Debitos!$T:$T,$D185,VI_Debitos!$R:$R,LEFT(PAGADO!M$1,4),VI_Debitos!$Q:$Q,RIGHT(M$1,2))</f>
        <v>0</v>
      </c>
      <c r="N185" s="2">
        <f>SUMIFS(VI_Debitos!$V:$V,VI_Debitos!$H:$H,$C185,VI_Debitos!$T:$T,$D185,VI_Debitos!$R:$R,LEFT(PAGADO!N$1,4),VI_Debitos!$Q:$Q,RIGHT(N$1,2))</f>
        <v>0</v>
      </c>
      <c r="O185" s="2">
        <f>SUMIFS(VI_Debitos!$V:$V,VI_Debitos!$H:$H,$C185,VI_Debitos!$T:$T,$D185,VI_Debitos!$R:$R,LEFT(PAGADO!O$1,4),VI_Debitos!$Q:$Q,RIGHT(O$1,2))</f>
        <v>0</v>
      </c>
      <c r="P185" s="2">
        <f>SUMIFS(VI_Debitos!$V:$V,VI_Debitos!$H:$H,$C185,VI_Debitos!$T:$T,$D185,VI_Debitos!$R:$R,LEFT(PAGADO!P$1,4),VI_Debitos!$Q:$Q,RIGHT(P$1,2))</f>
        <v>0</v>
      </c>
      <c r="Q185" s="2">
        <f>SUMIFS(VI_Debitos!$V:$V,VI_Debitos!$H:$H,$C185,VI_Debitos!$T:$T,$D185,VI_Debitos!$R:$R,LEFT(PAGADO!Q$1,4),VI_Debitos!$Q:$Q,RIGHT(Q$1,2))</f>
        <v>0</v>
      </c>
      <c r="R185" s="2">
        <f t="shared" si="2"/>
        <v>0</v>
      </c>
    </row>
    <row r="186" spans="6:18">
      <c r="F186" s="2">
        <f>SUMIFS(VI_Debitos!$V:$V,VI_Debitos!$H:$H,$C186,VI_Debitos!$T:$T,$D186,VI_Debitos!$R:$R,LEFT(PAGADO!F$1,4),VI_Debitos!$Q:$Q,RIGHT(F$1,2))</f>
        <v>0</v>
      </c>
      <c r="G186" s="2">
        <f>SUMIFS(VI_Debitos!$V:$V,VI_Debitos!$H:$H,$C186,VI_Debitos!$T:$T,$D186,VI_Debitos!$R:$R,LEFT(PAGADO!G$1,4),VI_Debitos!$Q:$Q,RIGHT(G$1,2))</f>
        <v>0</v>
      </c>
      <c r="H186" s="2">
        <f>SUMIFS(VI_Debitos!$V:$V,VI_Debitos!$H:$H,$C186,VI_Debitos!$T:$T,$D186,VI_Debitos!$R:$R,LEFT(PAGADO!H$1,4),VI_Debitos!$Q:$Q,RIGHT(H$1,2))</f>
        <v>0</v>
      </c>
      <c r="I186" s="2">
        <f>SUMIFS(VI_Debitos!$V:$V,VI_Debitos!$H:$H,$C186,VI_Debitos!$T:$T,$D186,VI_Debitos!$R:$R,LEFT(PAGADO!I$1,4),VI_Debitos!$Q:$Q,RIGHT(I$1,2))</f>
        <v>0</v>
      </c>
      <c r="J186" s="2">
        <f>SUMIFS(VI_Debitos!$V:$V,VI_Debitos!$H:$H,$C186,VI_Debitos!$T:$T,$D186,VI_Debitos!$R:$R,LEFT(PAGADO!J$1,4),VI_Debitos!$Q:$Q,RIGHT(J$1,2))</f>
        <v>0</v>
      </c>
      <c r="K186" s="2">
        <f>SUMIFS(VI_Debitos!$V:$V,VI_Debitos!$H:$H,$C186,VI_Debitos!$T:$T,$D186,VI_Debitos!$R:$R,LEFT(PAGADO!K$1,4),VI_Debitos!$Q:$Q,RIGHT(K$1,2))</f>
        <v>0</v>
      </c>
      <c r="L186" s="2">
        <f>SUMIFS(VI_Debitos!$V:$V,VI_Debitos!$H:$H,$C186,VI_Debitos!$T:$T,$D186,VI_Debitos!$R:$R,LEFT(PAGADO!L$1,4),VI_Debitos!$Q:$Q,RIGHT(L$1,2))</f>
        <v>0</v>
      </c>
      <c r="M186" s="2">
        <f>SUMIFS(VI_Debitos!$V:$V,VI_Debitos!$H:$H,$C186,VI_Debitos!$T:$T,$D186,VI_Debitos!$R:$R,LEFT(PAGADO!M$1,4),VI_Debitos!$Q:$Q,RIGHT(M$1,2))</f>
        <v>0</v>
      </c>
      <c r="N186" s="2">
        <f>SUMIFS(VI_Debitos!$V:$V,VI_Debitos!$H:$H,$C186,VI_Debitos!$T:$T,$D186,VI_Debitos!$R:$R,LEFT(PAGADO!N$1,4),VI_Debitos!$Q:$Q,RIGHT(N$1,2))</f>
        <v>0</v>
      </c>
      <c r="O186" s="2">
        <f>SUMIFS(VI_Debitos!$V:$V,VI_Debitos!$H:$H,$C186,VI_Debitos!$T:$T,$D186,VI_Debitos!$R:$R,LEFT(PAGADO!O$1,4),VI_Debitos!$Q:$Q,RIGHT(O$1,2))</f>
        <v>0</v>
      </c>
      <c r="P186" s="2">
        <f>SUMIFS(VI_Debitos!$V:$V,VI_Debitos!$H:$H,$C186,VI_Debitos!$T:$T,$D186,VI_Debitos!$R:$R,LEFT(PAGADO!P$1,4),VI_Debitos!$Q:$Q,RIGHT(P$1,2))</f>
        <v>0</v>
      </c>
      <c r="Q186" s="2">
        <f>SUMIFS(VI_Debitos!$V:$V,VI_Debitos!$H:$H,$C186,VI_Debitos!$T:$T,$D186,VI_Debitos!$R:$R,LEFT(PAGADO!Q$1,4),VI_Debitos!$Q:$Q,RIGHT(Q$1,2))</f>
        <v>0</v>
      </c>
      <c r="R186" s="2">
        <f t="shared" si="2"/>
        <v>0</v>
      </c>
    </row>
    <row r="187" spans="6:18">
      <c r="F187" s="2">
        <f>SUMIFS(VI_Debitos!$V:$V,VI_Debitos!$H:$H,$C187,VI_Debitos!$T:$T,$D187,VI_Debitos!$R:$R,LEFT(PAGADO!F$1,4),VI_Debitos!$Q:$Q,RIGHT(F$1,2))</f>
        <v>0</v>
      </c>
      <c r="G187" s="2">
        <f>SUMIFS(VI_Debitos!$V:$V,VI_Debitos!$H:$H,$C187,VI_Debitos!$T:$T,$D187,VI_Debitos!$R:$R,LEFT(PAGADO!G$1,4),VI_Debitos!$Q:$Q,RIGHT(G$1,2))</f>
        <v>0</v>
      </c>
      <c r="H187" s="2">
        <f>SUMIFS(VI_Debitos!$V:$V,VI_Debitos!$H:$H,$C187,VI_Debitos!$T:$T,$D187,VI_Debitos!$R:$R,LEFT(PAGADO!H$1,4),VI_Debitos!$Q:$Q,RIGHT(H$1,2))</f>
        <v>0</v>
      </c>
      <c r="I187" s="2">
        <f>SUMIFS(VI_Debitos!$V:$V,VI_Debitos!$H:$H,$C187,VI_Debitos!$T:$T,$D187,VI_Debitos!$R:$R,LEFT(PAGADO!I$1,4),VI_Debitos!$Q:$Q,RIGHT(I$1,2))</f>
        <v>0</v>
      </c>
      <c r="J187" s="2">
        <f>SUMIFS(VI_Debitos!$V:$V,VI_Debitos!$H:$H,$C187,VI_Debitos!$T:$T,$D187,VI_Debitos!$R:$R,LEFT(PAGADO!J$1,4),VI_Debitos!$Q:$Q,RIGHT(J$1,2))</f>
        <v>0</v>
      </c>
      <c r="K187" s="2">
        <f>SUMIFS(VI_Debitos!$V:$V,VI_Debitos!$H:$H,$C187,VI_Debitos!$T:$T,$D187,VI_Debitos!$R:$R,LEFT(PAGADO!K$1,4),VI_Debitos!$Q:$Q,RIGHT(K$1,2))</f>
        <v>0</v>
      </c>
      <c r="L187" s="2">
        <f>SUMIFS(VI_Debitos!$V:$V,VI_Debitos!$H:$H,$C187,VI_Debitos!$T:$T,$D187,VI_Debitos!$R:$R,LEFT(PAGADO!L$1,4),VI_Debitos!$Q:$Q,RIGHT(L$1,2))</f>
        <v>0</v>
      </c>
      <c r="M187" s="2">
        <f>SUMIFS(VI_Debitos!$V:$V,VI_Debitos!$H:$H,$C187,VI_Debitos!$T:$T,$D187,VI_Debitos!$R:$R,LEFT(PAGADO!M$1,4),VI_Debitos!$Q:$Q,RIGHT(M$1,2))</f>
        <v>0</v>
      </c>
      <c r="N187" s="2">
        <f>SUMIFS(VI_Debitos!$V:$V,VI_Debitos!$H:$H,$C187,VI_Debitos!$T:$T,$D187,VI_Debitos!$R:$R,LEFT(PAGADO!N$1,4),VI_Debitos!$Q:$Q,RIGHT(N$1,2))</f>
        <v>0</v>
      </c>
      <c r="O187" s="2">
        <f>SUMIFS(VI_Debitos!$V:$V,VI_Debitos!$H:$H,$C187,VI_Debitos!$T:$T,$D187,VI_Debitos!$R:$R,LEFT(PAGADO!O$1,4),VI_Debitos!$Q:$Q,RIGHT(O$1,2))</f>
        <v>0</v>
      </c>
      <c r="P187" s="2">
        <f>SUMIFS(VI_Debitos!$V:$V,VI_Debitos!$H:$H,$C187,VI_Debitos!$T:$T,$D187,VI_Debitos!$R:$R,LEFT(PAGADO!P$1,4),VI_Debitos!$Q:$Q,RIGHT(P$1,2))</f>
        <v>0</v>
      </c>
      <c r="Q187" s="2">
        <f>SUMIFS(VI_Debitos!$V:$V,VI_Debitos!$H:$H,$C187,VI_Debitos!$T:$T,$D187,VI_Debitos!$R:$R,LEFT(PAGADO!Q$1,4),VI_Debitos!$Q:$Q,RIGHT(Q$1,2))</f>
        <v>0</v>
      </c>
      <c r="R187" s="2">
        <f t="shared" si="2"/>
        <v>0</v>
      </c>
    </row>
    <row r="188" spans="6:18">
      <c r="F188" s="2">
        <f>SUMIFS(VI_Debitos!$V:$V,VI_Debitos!$H:$H,$C188,VI_Debitos!$T:$T,$D188,VI_Debitos!$R:$R,LEFT(PAGADO!F$1,4),VI_Debitos!$Q:$Q,RIGHT(F$1,2))</f>
        <v>0</v>
      </c>
      <c r="G188" s="2">
        <f>SUMIFS(VI_Debitos!$V:$V,VI_Debitos!$H:$H,$C188,VI_Debitos!$T:$T,$D188,VI_Debitos!$R:$R,LEFT(PAGADO!G$1,4),VI_Debitos!$Q:$Q,RIGHT(G$1,2))</f>
        <v>0</v>
      </c>
      <c r="H188" s="2">
        <f>SUMIFS(VI_Debitos!$V:$V,VI_Debitos!$H:$H,$C188,VI_Debitos!$T:$T,$D188,VI_Debitos!$R:$R,LEFT(PAGADO!H$1,4),VI_Debitos!$Q:$Q,RIGHT(H$1,2))</f>
        <v>0</v>
      </c>
      <c r="I188" s="2">
        <f>SUMIFS(VI_Debitos!$V:$V,VI_Debitos!$H:$H,$C188,VI_Debitos!$T:$T,$D188,VI_Debitos!$R:$R,LEFT(PAGADO!I$1,4),VI_Debitos!$Q:$Q,RIGHT(I$1,2))</f>
        <v>0</v>
      </c>
      <c r="J188" s="2">
        <f>SUMIFS(VI_Debitos!$V:$V,VI_Debitos!$H:$H,$C188,VI_Debitos!$T:$T,$D188,VI_Debitos!$R:$R,LEFT(PAGADO!J$1,4),VI_Debitos!$Q:$Q,RIGHT(J$1,2))</f>
        <v>0</v>
      </c>
      <c r="K188" s="2">
        <f>SUMIFS(VI_Debitos!$V:$V,VI_Debitos!$H:$H,$C188,VI_Debitos!$T:$T,$D188,VI_Debitos!$R:$R,LEFT(PAGADO!K$1,4),VI_Debitos!$Q:$Q,RIGHT(K$1,2))</f>
        <v>0</v>
      </c>
      <c r="L188" s="2">
        <f>SUMIFS(VI_Debitos!$V:$V,VI_Debitos!$H:$H,$C188,VI_Debitos!$T:$T,$D188,VI_Debitos!$R:$R,LEFT(PAGADO!L$1,4),VI_Debitos!$Q:$Q,RIGHT(L$1,2))</f>
        <v>0</v>
      </c>
      <c r="M188" s="2">
        <f>SUMIFS(VI_Debitos!$V:$V,VI_Debitos!$H:$H,$C188,VI_Debitos!$T:$T,$D188,VI_Debitos!$R:$R,LEFT(PAGADO!M$1,4),VI_Debitos!$Q:$Q,RIGHT(M$1,2))</f>
        <v>0</v>
      </c>
      <c r="N188" s="2">
        <f>SUMIFS(VI_Debitos!$V:$V,VI_Debitos!$H:$H,$C188,VI_Debitos!$T:$T,$D188,VI_Debitos!$R:$R,LEFT(PAGADO!N$1,4),VI_Debitos!$Q:$Q,RIGHT(N$1,2))</f>
        <v>0</v>
      </c>
      <c r="O188" s="2">
        <f>SUMIFS(VI_Debitos!$V:$V,VI_Debitos!$H:$H,$C188,VI_Debitos!$T:$T,$D188,VI_Debitos!$R:$R,LEFT(PAGADO!O$1,4),VI_Debitos!$Q:$Q,RIGHT(O$1,2))</f>
        <v>0</v>
      </c>
      <c r="P188" s="2">
        <f>SUMIFS(VI_Debitos!$V:$V,VI_Debitos!$H:$H,$C188,VI_Debitos!$T:$T,$D188,VI_Debitos!$R:$R,LEFT(PAGADO!P$1,4),VI_Debitos!$Q:$Q,RIGHT(P$1,2))</f>
        <v>0</v>
      </c>
      <c r="Q188" s="2">
        <f>SUMIFS(VI_Debitos!$V:$V,VI_Debitos!$H:$H,$C188,VI_Debitos!$T:$T,$D188,VI_Debitos!$R:$R,LEFT(PAGADO!Q$1,4),VI_Debitos!$Q:$Q,RIGHT(Q$1,2))</f>
        <v>0</v>
      </c>
      <c r="R188" s="2">
        <f t="shared" si="2"/>
        <v>0</v>
      </c>
    </row>
    <row r="189" spans="6:18">
      <c r="F189" s="2">
        <f>SUMIFS(VI_Debitos!$V:$V,VI_Debitos!$H:$H,$C189,VI_Debitos!$T:$T,$D189,VI_Debitos!$R:$R,LEFT(PAGADO!F$1,4),VI_Debitos!$Q:$Q,RIGHT(F$1,2))</f>
        <v>0</v>
      </c>
      <c r="G189" s="2">
        <f>SUMIFS(VI_Debitos!$V:$V,VI_Debitos!$H:$H,$C189,VI_Debitos!$T:$T,$D189,VI_Debitos!$R:$R,LEFT(PAGADO!G$1,4),VI_Debitos!$Q:$Q,RIGHT(G$1,2))</f>
        <v>0</v>
      </c>
      <c r="H189" s="2">
        <f>SUMIFS(VI_Debitos!$V:$V,VI_Debitos!$H:$H,$C189,VI_Debitos!$T:$T,$D189,VI_Debitos!$R:$R,LEFT(PAGADO!H$1,4),VI_Debitos!$Q:$Q,RIGHT(H$1,2))</f>
        <v>0</v>
      </c>
      <c r="I189" s="2">
        <f>SUMIFS(VI_Debitos!$V:$V,VI_Debitos!$H:$H,$C189,VI_Debitos!$T:$T,$D189,VI_Debitos!$R:$R,LEFT(PAGADO!I$1,4),VI_Debitos!$Q:$Q,RIGHT(I$1,2))</f>
        <v>0</v>
      </c>
      <c r="J189" s="2">
        <f>SUMIFS(VI_Debitos!$V:$V,VI_Debitos!$H:$H,$C189,VI_Debitos!$T:$T,$D189,VI_Debitos!$R:$R,LEFT(PAGADO!J$1,4),VI_Debitos!$Q:$Q,RIGHT(J$1,2))</f>
        <v>0</v>
      </c>
      <c r="K189" s="2">
        <f>SUMIFS(VI_Debitos!$V:$V,VI_Debitos!$H:$H,$C189,VI_Debitos!$T:$T,$D189,VI_Debitos!$R:$R,LEFT(PAGADO!K$1,4),VI_Debitos!$Q:$Q,RIGHT(K$1,2))</f>
        <v>0</v>
      </c>
      <c r="L189" s="2">
        <f>SUMIFS(VI_Debitos!$V:$V,VI_Debitos!$H:$H,$C189,VI_Debitos!$T:$T,$D189,VI_Debitos!$R:$R,LEFT(PAGADO!L$1,4),VI_Debitos!$Q:$Q,RIGHT(L$1,2))</f>
        <v>0</v>
      </c>
      <c r="M189" s="2">
        <f>SUMIFS(VI_Debitos!$V:$V,VI_Debitos!$H:$H,$C189,VI_Debitos!$T:$T,$D189,VI_Debitos!$R:$R,LEFT(PAGADO!M$1,4),VI_Debitos!$Q:$Q,RIGHT(M$1,2))</f>
        <v>0</v>
      </c>
      <c r="N189" s="2">
        <f>SUMIFS(VI_Debitos!$V:$V,VI_Debitos!$H:$H,$C189,VI_Debitos!$T:$T,$D189,VI_Debitos!$R:$R,LEFT(PAGADO!N$1,4),VI_Debitos!$Q:$Q,RIGHT(N$1,2))</f>
        <v>0</v>
      </c>
      <c r="O189" s="2">
        <f>SUMIFS(VI_Debitos!$V:$V,VI_Debitos!$H:$H,$C189,VI_Debitos!$T:$T,$D189,VI_Debitos!$R:$R,LEFT(PAGADO!O$1,4),VI_Debitos!$Q:$Q,RIGHT(O$1,2))</f>
        <v>0</v>
      </c>
      <c r="P189" s="2">
        <f>SUMIFS(VI_Debitos!$V:$V,VI_Debitos!$H:$H,$C189,VI_Debitos!$T:$T,$D189,VI_Debitos!$R:$R,LEFT(PAGADO!P$1,4),VI_Debitos!$Q:$Q,RIGHT(P$1,2))</f>
        <v>0</v>
      </c>
      <c r="Q189" s="2">
        <f>SUMIFS(VI_Debitos!$V:$V,VI_Debitos!$H:$H,$C189,VI_Debitos!$T:$T,$D189,VI_Debitos!$R:$R,LEFT(PAGADO!Q$1,4),VI_Debitos!$Q:$Q,RIGHT(Q$1,2))</f>
        <v>0</v>
      </c>
      <c r="R189" s="2">
        <f t="shared" si="2"/>
        <v>0</v>
      </c>
    </row>
    <row r="190" spans="6:18">
      <c r="F190" s="2">
        <f>SUMIFS(VI_Debitos!$V:$V,VI_Debitos!$H:$H,$C190,VI_Debitos!$T:$T,$D190,VI_Debitos!$R:$R,LEFT(PAGADO!F$1,4),VI_Debitos!$Q:$Q,RIGHT(F$1,2))</f>
        <v>0</v>
      </c>
      <c r="G190" s="2">
        <f>SUMIFS(VI_Debitos!$V:$V,VI_Debitos!$H:$H,$C190,VI_Debitos!$T:$T,$D190,VI_Debitos!$R:$R,LEFT(PAGADO!G$1,4),VI_Debitos!$Q:$Q,RIGHT(G$1,2))</f>
        <v>0</v>
      </c>
      <c r="H190" s="2">
        <f>SUMIFS(VI_Debitos!$V:$V,VI_Debitos!$H:$H,$C190,VI_Debitos!$T:$T,$D190,VI_Debitos!$R:$R,LEFT(PAGADO!H$1,4),VI_Debitos!$Q:$Q,RIGHT(H$1,2))</f>
        <v>0</v>
      </c>
      <c r="I190" s="2">
        <f>SUMIFS(VI_Debitos!$V:$V,VI_Debitos!$H:$H,$C190,VI_Debitos!$T:$T,$D190,VI_Debitos!$R:$R,LEFT(PAGADO!I$1,4),VI_Debitos!$Q:$Q,RIGHT(I$1,2))</f>
        <v>0</v>
      </c>
      <c r="J190" s="2">
        <f>SUMIFS(VI_Debitos!$V:$V,VI_Debitos!$H:$H,$C190,VI_Debitos!$T:$T,$D190,VI_Debitos!$R:$R,LEFT(PAGADO!J$1,4),VI_Debitos!$Q:$Q,RIGHT(J$1,2))</f>
        <v>0</v>
      </c>
      <c r="K190" s="2">
        <f>SUMIFS(VI_Debitos!$V:$V,VI_Debitos!$H:$H,$C190,VI_Debitos!$T:$T,$D190,VI_Debitos!$R:$R,LEFT(PAGADO!K$1,4),VI_Debitos!$Q:$Q,RIGHT(K$1,2))</f>
        <v>0</v>
      </c>
      <c r="L190" s="2">
        <f>SUMIFS(VI_Debitos!$V:$V,VI_Debitos!$H:$H,$C190,VI_Debitos!$T:$T,$D190,VI_Debitos!$R:$R,LEFT(PAGADO!L$1,4),VI_Debitos!$Q:$Q,RIGHT(L$1,2))</f>
        <v>0</v>
      </c>
      <c r="M190" s="2">
        <f>SUMIFS(VI_Debitos!$V:$V,VI_Debitos!$H:$H,$C190,VI_Debitos!$T:$T,$D190,VI_Debitos!$R:$R,LEFT(PAGADO!M$1,4),VI_Debitos!$Q:$Q,RIGHT(M$1,2))</f>
        <v>0</v>
      </c>
      <c r="N190" s="2">
        <f>SUMIFS(VI_Debitos!$V:$V,VI_Debitos!$H:$H,$C190,VI_Debitos!$T:$T,$D190,VI_Debitos!$R:$R,LEFT(PAGADO!N$1,4),VI_Debitos!$Q:$Q,RIGHT(N$1,2))</f>
        <v>0</v>
      </c>
      <c r="O190" s="2">
        <f>SUMIFS(VI_Debitos!$V:$V,VI_Debitos!$H:$H,$C190,VI_Debitos!$T:$T,$D190,VI_Debitos!$R:$R,LEFT(PAGADO!O$1,4),VI_Debitos!$Q:$Q,RIGHT(O$1,2))</f>
        <v>0</v>
      </c>
      <c r="P190" s="2">
        <f>SUMIFS(VI_Debitos!$V:$V,VI_Debitos!$H:$H,$C190,VI_Debitos!$T:$T,$D190,VI_Debitos!$R:$R,LEFT(PAGADO!P$1,4),VI_Debitos!$Q:$Q,RIGHT(P$1,2))</f>
        <v>0</v>
      </c>
      <c r="Q190" s="2">
        <f>SUMIFS(VI_Debitos!$V:$V,VI_Debitos!$H:$H,$C190,VI_Debitos!$T:$T,$D190,VI_Debitos!$R:$R,LEFT(PAGADO!Q$1,4),VI_Debitos!$Q:$Q,RIGHT(Q$1,2))</f>
        <v>0</v>
      </c>
      <c r="R190" s="2">
        <f t="shared" si="2"/>
        <v>0</v>
      </c>
    </row>
    <row r="191" spans="6:18">
      <c r="F191" s="2">
        <f>SUMIFS(VI_Debitos!$V:$V,VI_Debitos!$H:$H,$C191,VI_Debitos!$T:$T,$D191,VI_Debitos!$R:$R,LEFT(PAGADO!F$1,4),VI_Debitos!$Q:$Q,RIGHT(F$1,2))</f>
        <v>0</v>
      </c>
      <c r="G191" s="2">
        <f>SUMIFS(VI_Debitos!$V:$V,VI_Debitos!$H:$H,$C191,VI_Debitos!$T:$T,$D191,VI_Debitos!$R:$R,LEFT(PAGADO!G$1,4),VI_Debitos!$Q:$Q,RIGHT(G$1,2))</f>
        <v>0</v>
      </c>
      <c r="H191" s="2">
        <f>SUMIFS(VI_Debitos!$V:$V,VI_Debitos!$H:$H,$C191,VI_Debitos!$T:$T,$D191,VI_Debitos!$R:$R,LEFT(PAGADO!H$1,4),VI_Debitos!$Q:$Q,RIGHT(H$1,2))</f>
        <v>0</v>
      </c>
      <c r="I191" s="2">
        <f>SUMIFS(VI_Debitos!$V:$V,VI_Debitos!$H:$H,$C191,VI_Debitos!$T:$T,$D191,VI_Debitos!$R:$R,LEFT(PAGADO!I$1,4),VI_Debitos!$Q:$Q,RIGHT(I$1,2))</f>
        <v>0</v>
      </c>
      <c r="J191" s="2">
        <f>SUMIFS(VI_Debitos!$V:$V,VI_Debitos!$H:$H,$C191,VI_Debitos!$T:$T,$D191,VI_Debitos!$R:$R,LEFT(PAGADO!J$1,4),VI_Debitos!$Q:$Q,RIGHT(J$1,2))</f>
        <v>0</v>
      </c>
      <c r="K191" s="2">
        <f>SUMIFS(VI_Debitos!$V:$V,VI_Debitos!$H:$H,$C191,VI_Debitos!$T:$T,$D191,VI_Debitos!$R:$R,LEFT(PAGADO!K$1,4),VI_Debitos!$Q:$Q,RIGHT(K$1,2))</f>
        <v>0</v>
      </c>
      <c r="L191" s="2">
        <f>SUMIFS(VI_Debitos!$V:$V,VI_Debitos!$H:$H,$C191,VI_Debitos!$T:$T,$D191,VI_Debitos!$R:$R,LEFT(PAGADO!L$1,4),VI_Debitos!$Q:$Q,RIGHT(L$1,2))</f>
        <v>0</v>
      </c>
      <c r="M191" s="2">
        <f>SUMIFS(VI_Debitos!$V:$V,VI_Debitos!$H:$H,$C191,VI_Debitos!$T:$T,$D191,VI_Debitos!$R:$R,LEFT(PAGADO!M$1,4),VI_Debitos!$Q:$Q,RIGHT(M$1,2))</f>
        <v>0</v>
      </c>
      <c r="N191" s="2">
        <f>SUMIFS(VI_Debitos!$V:$V,VI_Debitos!$H:$H,$C191,VI_Debitos!$T:$T,$D191,VI_Debitos!$R:$R,LEFT(PAGADO!N$1,4),VI_Debitos!$Q:$Q,RIGHT(N$1,2))</f>
        <v>0</v>
      </c>
      <c r="O191" s="2">
        <f>SUMIFS(VI_Debitos!$V:$V,VI_Debitos!$H:$H,$C191,VI_Debitos!$T:$T,$D191,VI_Debitos!$R:$R,LEFT(PAGADO!O$1,4),VI_Debitos!$Q:$Q,RIGHT(O$1,2))</f>
        <v>0</v>
      </c>
      <c r="P191" s="2">
        <f>SUMIFS(VI_Debitos!$V:$V,VI_Debitos!$H:$H,$C191,VI_Debitos!$T:$T,$D191,VI_Debitos!$R:$R,LEFT(PAGADO!P$1,4),VI_Debitos!$Q:$Q,RIGHT(P$1,2))</f>
        <v>0</v>
      </c>
      <c r="Q191" s="2">
        <f>SUMIFS(VI_Debitos!$V:$V,VI_Debitos!$H:$H,$C191,VI_Debitos!$T:$T,$D191,VI_Debitos!$R:$R,LEFT(PAGADO!Q$1,4),VI_Debitos!$Q:$Q,RIGHT(Q$1,2))</f>
        <v>0</v>
      </c>
      <c r="R191" s="2">
        <f t="shared" si="2"/>
        <v>0</v>
      </c>
    </row>
    <row r="192" spans="6:18">
      <c r="F192" s="2">
        <f>SUMIFS(VI_Debitos!$V:$V,VI_Debitos!$H:$H,$C192,VI_Debitos!$T:$T,$D192,VI_Debitos!$R:$R,LEFT(PAGADO!F$1,4),VI_Debitos!$Q:$Q,RIGHT(F$1,2))</f>
        <v>0</v>
      </c>
      <c r="G192" s="2">
        <f>SUMIFS(VI_Debitos!$V:$V,VI_Debitos!$H:$H,$C192,VI_Debitos!$T:$T,$D192,VI_Debitos!$R:$R,LEFT(PAGADO!G$1,4),VI_Debitos!$Q:$Q,RIGHT(G$1,2))</f>
        <v>0</v>
      </c>
      <c r="H192" s="2">
        <f>SUMIFS(VI_Debitos!$V:$V,VI_Debitos!$H:$H,$C192,VI_Debitos!$T:$T,$D192,VI_Debitos!$R:$R,LEFT(PAGADO!H$1,4),VI_Debitos!$Q:$Q,RIGHT(H$1,2))</f>
        <v>0</v>
      </c>
      <c r="I192" s="2">
        <f>SUMIFS(VI_Debitos!$V:$V,VI_Debitos!$H:$H,$C192,VI_Debitos!$T:$T,$D192,VI_Debitos!$R:$R,LEFT(PAGADO!I$1,4),VI_Debitos!$Q:$Q,RIGHT(I$1,2))</f>
        <v>0</v>
      </c>
      <c r="J192" s="2">
        <f>SUMIFS(VI_Debitos!$V:$V,VI_Debitos!$H:$H,$C192,VI_Debitos!$T:$T,$D192,VI_Debitos!$R:$R,LEFT(PAGADO!J$1,4),VI_Debitos!$Q:$Q,RIGHT(J$1,2))</f>
        <v>0</v>
      </c>
      <c r="K192" s="2">
        <f>SUMIFS(VI_Debitos!$V:$V,VI_Debitos!$H:$H,$C192,VI_Debitos!$T:$T,$D192,VI_Debitos!$R:$R,LEFT(PAGADO!K$1,4),VI_Debitos!$Q:$Q,RIGHT(K$1,2))</f>
        <v>0</v>
      </c>
      <c r="L192" s="2">
        <f>SUMIFS(VI_Debitos!$V:$V,VI_Debitos!$H:$H,$C192,VI_Debitos!$T:$T,$D192,VI_Debitos!$R:$R,LEFT(PAGADO!L$1,4),VI_Debitos!$Q:$Q,RIGHT(L$1,2))</f>
        <v>0</v>
      </c>
      <c r="M192" s="2">
        <f>SUMIFS(VI_Debitos!$V:$V,VI_Debitos!$H:$H,$C192,VI_Debitos!$T:$T,$D192,VI_Debitos!$R:$R,LEFT(PAGADO!M$1,4),VI_Debitos!$Q:$Q,RIGHT(M$1,2))</f>
        <v>0</v>
      </c>
      <c r="N192" s="2">
        <f>SUMIFS(VI_Debitos!$V:$V,VI_Debitos!$H:$H,$C192,VI_Debitos!$T:$T,$D192,VI_Debitos!$R:$R,LEFT(PAGADO!N$1,4),VI_Debitos!$Q:$Q,RIGHT(N$1,2))</f>
        <v>0</v>
      </c>
      <c r="O192" s="2">
        <f>SUMIFS(VI_Debitos!$V:$V,VI_Debitos!$H:$H,$C192,VI_Debitos!$T:$T,$D192,VI_Debitos!$R:$R,LEFT(PAGADO!O$1,4),VI_Debitos!$Q:$Q,RIGHT(O$1,2))</f>
        <v>0</v>
      </c>
      <c r="P192" s="2">
        <f>SUMIFS(VI_Debitos!$V:$V,VI_Debitos!$H:$H,$C192,VI_Debitos!$T:$T,$D192,VI_Debitos!$R:$R,LEFT(PAGADO!P$1,4),VI_Debitos!$Q:$Q,RIGHT(P$1,2))</f>
        <v>0</v>
      </c>
      <c r="Q192" s="2">
        <f>SUMIFS(VI_Debitos!$V:$V,VI_Debitos!$H:$H,$C192,VI_Debitos!$T:$T,$D192,VI_Debitos!$R:$R,LEFT(PAGADO!Q$1,4),VI_Debitos!$Q:$Q,RIGHT(Q$1,2))</f>
        <v>0</v>
      </c>
      <c r="R192" s="2">
        <f t="shared" si="2"/>
        <v>0</v>
      </c>
    </row>
    <row r="193" spans="6:18">
      <c r="F193" s="2">
        <f>SUMIFS(VI_Debitos!$V:$V,VI_Debitos!$H:$H,$C193,VI_Debitos!$T:$T,$D193,VI_Debitos!$R:$R,LEFT(PAGADO!F$1,4),VI_Debitos!$Q:$Q,RIGHT(F$1,2))</f>
        <v>0</v>
      </c>
      <c r="G193" s="2">
        <f>SUMIFS(VI_Debitos!$V:$V,VI_Debitos!$H:$H,$C193,VI_Debitos!$T:$T,$D193,VI_Debitos!$R:$R,LEFT(PAGADO!G$1,4),VI_Debitos!$Q:$Q,RIGHT(G$1,2))</f>
        <v>0</v>
      </c>
      <c r="H193" s="2">
        <f>SUMIFS(VI_Debitos!$V:$V,VI_Debitos!$H:$H,$C193,VI_Debitos!$T:$T,$D193,VI_Debitos!$R:$R,LEFT(PAGADO!H$1,4),VI_Debitos!$Q:$Q,RIGHT(H$1,2))</f>
        <v>0</v>
      </c>
      <c r="I193" s="2">
        <f>SUMIFS(VI_Debitos!$V:$V,VI_Debitos!$H:$H,$C193,VI_Debitos!$T:$T,$D193,VI_Debitos!$R:$R,LEFT(PAGADO!I$1,4),VI_Debitos!$Q:$Q,RIGHT(I$1,2))</f>
        <v>0</v>
      </c>
      <c r="J193" s="2">
        <f>SUMIFS(VI_Debitos!$V:$V,VI_Debitos!$H:$H,$C193,VI_Debitos!$T:$T,$D193,VI_Debitos!$R:$R,LEFT(PAGADO!J$1,4),VI_Debitos!$Q:$Q,RIGHT(J$1,2))</f>
        <v>0</v>
      </c>
      <c r="K193" s="2">
        <f>SUMIFS(VI_Debitos!$V:$V,VI_Debitos!$H:$H,$C193,VI_Debitos!$T:$T,$D193,VI_Debitos!$R:$R,LEFT(PAGADO!K$1,4),VI_Debitos!$Q:$Q,RIGHT(K$1,2))</f>
        <v>0</v>
      </c>
      <c r="L193" s="2">
        <f>SUMIFS(VI_Debitos!$V:$V,VI_Debitos!$H:$H,$C193,VI_Debitos!$T:$T,$D193,VI_Debitos!$R:$R,LEFT(PAGADO!L$1,4),VI_Debitos!$Q:$Q,RIGHT(L$1,2))</f>
        <v>0</v>
      </c>
      <c r="M193" s="2">
        <f>SUMIFS(VI_Debitos!$V:$V,VI_Debitos!$H:$H,$C193,VI_Debitos!$T:$T,$D193,VI_Debitos!$R:$R,LEFT(PAGADO!M$1,4),VI_Debitos!$Q:$Q,RIGHT(M$1,2))</f>
        <v>0</v>
      </c>
      <c r="N193" s="2">
        <f>SUMIFS(VI_Debitos!$V:$V,VI_Debitos!$H:$H,$C193,VI_Debitos!$T:$T,$D193,VI_Debitos!$R:$R,LEFT(PAGADO!N$1,4),VI_Debitos!$Q:$Q,RIGHT(N$1,2))</f>
        <v>0</v>
      </c>
      <c r="O193" s="2">
        <f>SUMIFS(VI_Debitos!$V:$V,VI_Debitos!$H:$H,$C193,VI_Debitos!$T:$T,$D193,VI_Debitos!$R:$R,LEFT(PAGADO!O$1,4),VI_Debitos!$Q:$Q,RIGHT(O$1,2))</f>
        <v>0</v>
      </c>
      <c r="P193" s="2">
        <f>SUMIFS(VI_Debitos!$V:$V,VI_Debitos!$H:$H,$C193,VI_Debitos!$T:$T,$D193,VI_Debitos!$R:$R,LEFT(PAGADO!P$1,4),VI_Debitos!$Q:$Q,RIGHT(P$1,2))</f>
        <v>0</v>
      </c>
      <c r="Q193" s="2">
        <f>SUMIFS(VI_Debitos!$V:$V,VI_Debitos!$H:$H,$C193,VI_Debitos!$T:$T,$D193,VI_Debitos!$R:$R,LEFT(PAGADO!Q$1,4),VI_Debitos!$Q:$Q,RIGHT(Q$1,2))</f>
        <v>0</v>
      </c>
      <c r="R193" s="2">
        <f t="shared" si="2"/>
        <v>0</v>
      </c>
    </row>
    <row r="194" spans="6:18">
      <c r="F194" s="2">
        <f>SUMIFS(VI_Debitos!$V:$V,VI_Debitos!$H:$H,$C194,VI_Debitos!$T:$T,$D194,VI_Debitos!$R:$R,LEFT(PAGADO!F$1,4),VI_Debitos!$Q:$Q,RIGHT(F$1,2))</f>
        <v>0</v>
      </c>
      <c r="G194" s="2">
        <f>SUMIFS(VI_Debitos!$V:$V,VI_Debitos!$H:$H,$C194,VI_Debitos!$T:$T,$D194,VI_Debitos!$R:$R,LEFT(PAGADO!G$1,4),VI_Debitos!$Q:$Q,RIGHT(G$1,2))</f>
        <v>0</v>
      </c>
      <c r="H194" s="2">
        <f>SUMIFS(VI_Debitos!$V:$V,VI_Debitos!$H:$H,$C194,VI_Debitos!$T:$T,$D194,VI_Debitos!$R:$R,LEFT(PAGADO!H$1,4),VI_Debitos!$Q:$Q,RIGHT(H$1,2))</f>
        <v>0</v>
      </c>
      <c r="I194" s="2">
        <f>SUMIFS(VI_Debitos!$V:$V,VI_Debitos!$H:$H,$C194,VI_Debitos!$T:$T,$D194,VI_Debitos!$R:$R,LEFT(PAGADO!I$1,4),VI_Debitos!$Q:$Q,RIGHT(I$1,2))</f>
        <v>0</v>
      </c>
      <c r="J194" s="2">
        <f>SUMIFS(VI_Debitos!$V:$V,VI_Debitos!$H:$H,$C194,VI_Debitos!$T:$T,$D194,VI_Debitos!$R:$R,LEFT(PAGADO!J$1,4),VI_Debitos!$Q:$Q,RIGHT(J$1,2))</f>
        <v>0</v>
      </c>
      <c r="K194" s="2">
        <f>SUMIFS(VI_Debitos!$V:$V,VI_Debitos!$H:$H,$C194,VI_Debitos!$T:$T,$D194,VI_Debitos!$R:$R,LEFT(PAGADO!K$1,4),VI_Debitos!$Q:$Q,RIGHT(K$1,2))</f>
        <v>0</v>
      </c>
      <c r="L194" s="2">
        <f>SUMIFS(VI_Debitos!$V:$V,VI_Debitos!$H:$H,$C194,VI_Debitos!$T:$T,$D194,VI_Debitos!$R:$R,LEFT(PAGADO!L$1,4),VI_Debitos!$Q:$Q,RIGHT(L$1,2))</f>
        <v>0</v>
      </c>
      <c r="M194" s="2">
        <f>SUMIFS(VI_Debitos!$V:$V,VI_Debitos!$H:$H,$C194,VI_Debitos!$T:$T,$D194,VI_Debitos!$R:$R,LEFT(PAGADO!M$1,4),VI_Debitos!$Q:$Q,RIGHT(M$1,2))</f>
        <v>0</v>
      </c>
      <c r="N194" s="2">
        <f>SUMIFS(VI_Debitos!$V:$V,VI_Debitos!$H:$H,$C194,VI_Debitos!$T:$T,$D194,VI_Debitos!$R:$R,LEFT(PAGADO!N$1,4),VI_Debitos!$Q:$Q,RIGHT(N$1,2))</f>
        <v>0</v>
      </c>
      <c r="O194" s="2">
        <f>SUMIFS(VI_Debitos!$V:$V,VI_Debitos!$H:$H,$C194,VI_Debitos!$T:$T,$D194,VI_Debitos!$R:$R,LEFT(PAGADO!O$1,4),VI_Debitos!$Q:$Q,RIGHT(O$1,2))</f>
        <v>0</v>
      </c>
      <c r="P194" s="2">
        <f>SUMIFS(VI_Debitos!$V:$V,VI_Debitos!$H:$H,$C194,VI_Debitos!$T:$T,$D194,VI_Debitos!$R:$R,LEFT(PAGADO!P$1,4),VI_Debitos!$Q:$Q,RIGHT(P$1,2))</f>
        <v>0</v>
      </c>
      <c r="Q194" s="2">
        <f>SUMIFS(VI_Debitos!$V:$V,VI_Debitos!$H:$H,$C194,VI_Debitos!$T:$T,$D194,VI_Debitos!$R:$R,LEFT(PAGADO!Q$1,4),VI_Debitos!$Q:$Q,RIGHT(Q$1,2))</f>
        <v>0</v>
      </c>
      <c r="R194" s="2">
        <f t="shared" ref="R194:R257" si="3">SUM(F194:Q194)</f>
        <v>0</v>
      </c>
    </row>
    <row r="195" spans="6:18">
      <c r="F195" s="2">
        <f>SUMIFS(VI_Debitos!$V:$V,VI_Debitos!$H:$H,$C195,VI_Debitos!$T:$T,$D195,VI_Debitos!$R:$R,LEFT(PAGADO!F$1,4),VI_Debitos!$Q:$Q,RIGHT(F$1,2))</f>
        <v>0</v>
      </c>
      <c r="G195" s="2">
        <f>SUMIFS(VI_Debitos!$V:$V,VI_Debitos!$H:$H,$C195,VI_Debitos!$T:$T,$D195,VI_Debitos!$R:$R,LEFT(PAGADO!G$1,4),VI_Debitos!$Q:$Q,RIGHT(G$1,2))</f>
        <v>0</v>
      </c>
      <c r="H195" s="2">
        <f>SUMIFS(VI_Debitos!$V:$V,VI_Debitos!$H:$H,$C195,VI_Debitos!$T:$T,$D195,VI_Debitos!$R:$R,LEFT(PAGADO!H$1,4),VI_Debitos!$Q:$Q,RIGHT(H$1,2))</f>
        <v>0</v>
      </c>
      <c r="I195" s="2">
        <f>SUMIFS(VI_Debitos!$V:$V,VI_Debitos!$H:$H,$C195,VI_Debitos!$T:$T,$D195,VI_Debitos!$R:$R,LEFT(PAGADO!I$1,4),VI_Debitos!$Q:$Q,RIGHT(I$1,2))</f>
        <v>0</v>
      </c>
      <c r="J195" s="2">
        <f>SUMIFS(VI_Debitos!$V:$V,VI_Debitos!$H:$H,$C195,VI_Debitos!$T:$T,$D195,VI_Debitos!$R:$R,LEFT(PAGADO!J$1,4),VI_Debitos!$Q:$Q,RIGHT(J$1,2))</f>
        <v>0</v>
      </c>
      <c r="K195" s="2">
        <f>SUMIFS(VI_Debitos!$V:$V,VI_Debitos!$H:$H,$C195,VI_Debitos!$T:$T,$D195,VI_Debitos!$R:$R,LEFT(PAGADO!K$1,4),VI_Debitos!$Q:$Q,RIGHT(K$1,2))</f>
        <v>0</v>
      </c>
      <c r="L195" s="2">
        <f>SUMIFS(VI_Debitos!$V:$V,VI_Debitos!$H:$H,$C195,VI_Debitos!$T:$T,$D195,VI_Debitos!$R:$R,LEFT(PAGADO!L$1,4),VI_Debitos!$Q:$Q,RIGHT(L$1,2))</f>
        <v>0</v>
      </c>
      <c r="M195" s="2">
        <f>SUMIFS(VI_Debitos!$V:$V,VI_Debitos!$H:$H,$C195,VI_Debitos!$T:$T,$D195,VI_Debitos!$R:$R,LEFT(PAGADO!M$1,4),VI_Debitos!$Q:$Q,RIGHT(M$1,2))</f>
        <v>0</v>
      </c>
      <c r="N195" s="2">
        <f>SUMIFS(VI_Debitos!$V:$V,VI_Debitos!$H:$H,$C195,VI_Debitos!$T:$T,$D195,VI_Debitos!$R:$R,LEFT(PAGADO!N$1,4),VI_Debitos!$Q:$Q,RIGHT(N$1,2))</f>
        <v>0</v>
      </c>
      <c r="O195" s="2">
        <f>SUMIFS(VI_Debitos!$V:$V,VI_Debitos!$H:$H,$C195,VI_Debitos!$T:$T,$D195,VI_Debitos!$R:$R,LEFT(PAGADO!O$1,4),VI_Debitos!$Q:$Q,RIGHT(O$1,2))</f>
        <v>0</v>
      </c>
      <c r="P195" s="2">
        <f>SUMIFS(VI_Debitos!$V:$V,VI_Debitos!$H:$H,$C195,VI_Debitos!$T:$T,$D195,VI_Debitos!$R:$R,LEFT(PAGADO!P$1,4),VI_Debitos!$Q:$Q,RIGHT(P$1,2))</f>
        <v>0</v>
      </c>
      <c r="Q195" s="2">
        <f>SUMIFS(VI_Debitos!$V:$V,VI_Debitos!$H:$H,$C195,VI_Debitos!$T:$T,$D195,VI_Debitos!$R:$R,LEFT(PAGADO!Q$1,4),VI_Debitos!$Q:$Q,RIGHT(Q$1,2))</f>
        <v>0</v>
      </c>
      <c r="R195" s="2">
        <f t="shared" si="3"/>
        <v>0</v>
      </c>
    </row>
    <row r="196" spans="6:18">
      <c r="F196" s="2">
        <f>SUMIFS(VI_Debitos!$V:$V,VI_Debitos!$H:$H,$C196,VI_Debitos!$T:$T,$D196,VI_Debitos!$R:$R,LEFT(PAGADO!F$1,4),VI_Debitos!$Q:$Q,RIGHT(F$1,2))</f>
        <v>0</v>
      </c>
      <c r="G196" s="2">
        <f>SUMIFS(VI_Debitos!$V:$V,VI_Debitos!$H:$H,$C196,VI_Debitos!$T:$T,$D196,VI_Debitos!$R:$R,LEFT(PAGADO!G$1,4),VI_Debitos!$Q:$Q,RIGHT(G$1,2))</f>
        <v>0</v>
      </c>
      <c r="H196" s="2">
        <f>SUMIFS(VI_Debitos!$V:$V,VI_Debitos!$H:$H,$C196,VI_Debitos!$T:$T,$D196,VI_Debitos!$R:$R,LEFT(PAGADO!H$1,4),VI_Debitos!$Q:$Q,RIGHT(H$1,2))</f>
        <v>0</v>
      </c>
      <c r="I196" s="2">
        <f>SUMIFS(VI_Debitos!$V:$V,VI_Debitos!$H:$H,$C196,VI_Debitos!$T:$T,$D196,VI_Debitos!$R:$R,LEFT(PAGADO!I$1,4),VI_Debitos!$Q:$Q,RIGHT(I$1,2))</f>
        <v>0</v>
      </c>
      <c r="J196" s="2">
        <f>SUMIFS(VI_Debitos!$V:$V,VI_Debitos!$H:$H,$C196,VI_Debitos!$T:$T,$D196,VI_Debitos!$R:$R,LEFT(PAGADO!J$1,4),VI_Debitos!$Q:$Q,RIGHT(J$1,2))</f>
        <v>0</v>
      </c>
      <c r="K196" s="2">
        <f>SUMIFS(VI_Debitos!$V:$V,VI_Debitos!$H:$H,$C196,VI_Debitos!$T:$T,$D196,VI_Debitos!$R:$R,LEFT(PAGADO!K$1,4),VI_Debitos!$Q:$Q,RIGHT(K$1,2))</f>
        <v>0</v>
      </c>
      <c r="L196" s="2">
        <f>SUMIFS(VI_Debitos!$V:$V,VI_Debitos!$H:$H,$C196,VI_Debitos!$T:$T,$D196,VI_Debitos!$R:$R,LEFT(PAGADO!L$1,4),VI_Debitos!$Q:$Q,RIGHT(L$1,2))</f>
        <v>0</v>
      </c>
      <c r="M196" s="2">
        <f>SUMIFS(VI_Debitos!$V:$V,VI_Debitos!$H:$H,$C196,VI_Debitos!$T:$T,$D196,VI_Debitos!$R:$R,LEFT(PAGADO!M$1,4),VI_Debitos!$Q:$Q,RIGHT(M$1,2))</f>
        <v>0</v>
      </c>
      <c r="N196" s="2">
        <f>SUMIFS(VI_Debitos!$V:$V,VI_Debitos!$H:$H,$C196,VI_Debitos!$T:$T,$D196,VI_Debitos!$R:$R,LEFT(PAGADO!N$1,4),VI_Debitos!$Q:$Q,RIGHT(N$1,2))</f>
        <v>0</v>
      </c>
      <c r="O196" s="2">
        <f>SUMIFS(VI_Debitos!$V:$V,VI_Debitos!$H:$H,$C196,VI_Debitos!$T:$T,$D196,VI_Debitos!$R:$R,LEFT(PAGADO!O$1,4),VI_Debitos!$Q:$Q,RIGHT(O$1,2))</f>
        <v>0</v>
      </c>
      <c r="P196" s="2">
        <f>SUMIFS(VI_Debitos!$V:$V,VI_Debitos!$H:$H,$C196,VI_Debitos!$T:$T,$D196,VI_Debitos!$R:$R,LEFT(PAGADO!P$1,4),VI_Debitos!$Q:$Q,RIGHT(P$1,2))</f>
        <v>0</v>
      </c>
      <c r="Q196" s="2">
        <f>SUMIFS(VI_Debitos!$V:$V,VI_Debitos!$H:$H,$C196,VI_Debitos!$T:$T,$D196,VI_Debitos!$R:$R,LEFT(PAGADO!Q$1,4),VI_Debitos!$Q:$Q,RIGHT(Q$1,2))</f>
        <v>0</v>
      </c>
      <c r="R196" s="2">
        <f t="shared" si="3"/>
        <v>0</v>
      </c>
    </row>
    <row r="197" spans="6:18">
      <c r="F197" s="2">
        <f>SUMIFS(VI_Debitos!$V:$V,VI_Debitos!$H:$H,$C197,VI_Debitos!$T:$T,$D197,VI_Debitos!$R:$R,LEFT(PAGADO!F$1,4),VI_Debitos!$Q:$Q,RIGHT(F$1,2))</f>
        <v>0</v>
      </c>
      <c r="G197" s="2">
        <f>SUMIFS(VI_Debitos!$V:$V,VI_Debitos!$H:$H,$C197,VI_Debitos!$T:$T,$D197,VI_Debitos!$R:$R,LEFT(PAGADO!G$1,4),VI_Debitos!$Q:$Q,RIGHT(G$1,2))</f>
        <v>0</v>
      </c>
      <c r="H197" s="2">
        <f>SUMIFS(VI_Debitos!$V:$V,VI_Debitos!$H:$H,$C197,VI_Debitos!$T:$T,$D197,VI_Debitos!$R:$R,LEFT(PAGADO!H$1,4),VI_Debitos!$Q:$Q,RIGHT(H$1,2))</f>
        <v>0</v>
      </c>
      <c r="I197" s="2">
        <f>SUMIFS(VI_Debitos!$V:$V,VI_Debitos!$H:$H,$C197,VI_Debitos!$T:$T,$D197,VI_Debitos!$R:$R,LEFT(PAGADO!I$1,4),VI_Debitos!$Q:$Q,RIGHT(I$1,2))</f>
        <v>0</v>
      </c>
      <c r="J197" s="2">
        <f>SUMIFS(VI_Debitos!$V:$V,VI_Debitos!$H:$H,$C197,VI_Debitos!$T:$T,$D197,VI_Debitos!$R:$R,LEFT(PAGADO!J$1,4),VI_Debitos!$Q:$Q,RIGHT(J$1,2))</f>
        <v>0</v>
      </c>
      <c r="K197" s="2">
        <f>SUMIFS(VI_Debitos!$V:$V,VI_Debitos!$H:$H,$C197,VI_Debitos!$T:$T,$D197,VI_Debitos!$R:$R,LEFT(PAGADO!K$1,4),VI_Debitos!$Q:$Q,RIGHT(K$1,2))</f>
        <v>0</v>
      </c>
      <c r="L197" s="2">
        <f>SUMIFS(VI_Debitos!$V:$V,VI_Debitos!$H:$H,$C197,VI_Debitos!$T:$T,$D197,VI_Debitos!$R:$R,LEFT(PAGADO!L$1,4),VI_Debitos!$Q:$Q,RIGHT(L$1,2))</f>
        <v>0</v>
      </c>
      <c r="M197" s="2">
        <f>SUMIFS(VI_Debitos!$V:$V,VI_Debitos!$H:$H,$C197,VI_Debitos!$T:$T,$D197,VI_Debitos!$R:$R,LEFT(PAGADO!M$1,4),VI_Debitos!$Q:$Q,RIGHT(M$1,2))</f>
        <v>0</v>
      </c>
      <c r="N197" s="2">
        <f>SUMIFS(VI_Debitos!$V:$V,VI_Debitos!$H:$H,$C197,VI_Debitos!$T:$T,$D197,VI_Debitos!$R:$R,LEFT(PAGADO!N$1,4),VI_Debitos!$Q:$Q,RIGHT(N$1,2))</f>
        <v>0</v>
      </c>
      <c r="O197" s="2">
        <f>SUMIFS(VI_Debitos!$V:$V,VI_Debitos!$H:$H,$C197,VI_Debitos!$T:$T,$D197,VI_Debitos!$R:$R,LEFT(PAGADO!O$1,4),VI_Debitos!$Q:$Q,RIGHT(O$1,2))</f>
        <v>0</v>
      </c>
      <c r="P197" s="2">
        <f>SUMIFS(VI_Debitos!$V:$V,VI_Debitos!$H:$H,$C197,VI_Debitos!$T:$T,$D197,VI_Debitos!$R:$R,LEFT(PAGADO!P$1,4),VI_Debitos!$Q:$Q,RIGHT(P$1,2))</f>
        <v>0</v>
      </c>
      <c r="Q197" s="2">
        <f>SUMIFS(VI_Debitos!$V:$V,VI_Debitos!$H:$H,$C197,VI_Debitos!$T:$T,$D197,VI_Debitos!$R:$R,LEFT(PAGADO!Q$1,4),VI_Debitos!$Q:$Q,RIGHT(Q$1,2))</f>
        <v>0</v>
      </c>
      <c r="R197" s="2">
        <f t="shared" si="3"/>
        <v>0</v>
      </c>
    </row>
    <row r="198" spans="6:18">
      <c r="F198" s="2">
        <f>SUMIFS(VI_Debitos!$V:$V,VI_Debitos!$H:$H,$C198,VI_Debitos!$T:$T,$D198,VI_Debitos!$R:$R,LEFT(PAGADO!F$1,4),VI_Debitos!$Q:$Q,RIGHT(F$1,2))</f>
        <v>0</v>
      </c>
      <c r="G198" s="2">
        <f>SUMIFS(VI_Debitos!$V:$V,VI_Debitos!$H:$H,$C198,VI_Debitos!$T:$T,$D198,VI_Debitos!$R:$R,LEFT(PAGADO!G$1,4),VI_Debitos!$Q:$Q,RIGHT(G$1,2))</f>
        <v>0</v>
      </c>
      <c r="H198" s="2">
        <f>SUMIFS(VI_Debitos!$V:$V,VI_Debitos!$H:$H,$C198,VI_Debitos!$T:$T,$D198,VI_Debitos!$R:$R,LEFT(PAGADO!H$1,4),VI_Debitos!$Q:$Q,RIGHT(H$1,2))</f>
        <v>0</v>
      </c>
      <c r="I198" s="2">
        <f>SUMIFS(VI_Debitos!$V:$V,VI_Debitos!$H:$H,$C198,VI_Debitos!$T:$T,$D198,VI_Debitos!$R:$R,LEFT(PAGADO!I$1,4),VI_Debitos!$Q:$Q,RIGHT(I$1,2))</f>
        <v>0</v>
      </c>
      <c r="J198" s="2">
        <f>SUMIFS(VI_Debitos!$V:$V,VI_Debitos!$H:$H,$C198,VI_Debitos!$T:$T,$D198,VI_Debitos!$R:$R,LEFT(PAGADO!J$1,4),VI_Debitos!$Q:$Q,RIGHT(J$1,2))</f>
        <v>0</v>
      </c>
      <c r="K198" s="2">
        <f>SUMIFS(VI_Debitos!$V:$V,VI_Debitos!$H:$H,$C198,VI_Debitos!$T:$T,$D198,VI_Debitos!$R:$R,LEFT(PAGADO!K$1,4),VI_Debitos!$Q:$Q,RIGHT(K$1,2))</f>
        <v>0</v>
      </c>
      <c r="L198" s="2">
        <f>SUMIFS(VI_Debitos!$V:$V,VI_Debitos!$H:$H,$C198,VI_Debitos!$T:$T,$D198,VI_Debitos!$R:$R,LEFT(PAGADO!L$1,4),VI_Debitos!$Q:$Q,RIGHT(L$1,2))</f>
        <v>0</v>
      </c>
      <c r="M198" s="2">
        <f>SUMIFS(VI_Debitos!$V:$V,VI_Debitos!$H:$H,$C198,VI_Debitos!$T:$T,$D198,VI_Debitos!$R:$R,LEFT(PAGADO!M$1,4),VI_Debitos!$Q:$Q,RIGHT(M$1,2))</f>
        <v>0</v>
      </c>
      <c r="N198" s="2">
        <f>SUMIFS(VI_Debitos!$V:$V,VI_Debitos!$H:$H,$C198,VI_Debitos!$T:$T,$D198,VI_Debitos!$R:$R,LEFT(PAGADO!N$1,4),VI_Debitos!$Q:$Q,RIGHT(N$1,2))</f>
        <v>0</v>
      </c>
      <c r="O198" s="2">
        <f>SUMIFS(VI_Debitos!$V:$V,VI_Debitos!$H:$H,$C198,VI_Debitos!$T:$T,$D198,VI_Debitos!$R:$R,LEFT(PAGADO!O$1,4),VI_Debitos!$Q:$Q,RIGHT(O$1,2))</f>
        <v>0</v>
      </c>
      <c r="P198" s="2">
        <f>SUMIFS(VI_Debitos!$V:$V,VI_Debitos!$H:$H,$C198,VI_Debitos!$T:$T,$D198,VI_Debitos!$R:$R,LEFT(PAGADO!P$1,4),VI_Debitos!$Q:$Q,RIGHT(P$1,2))</f>
        <v>0</v>
      </c>
      <c r="Q198" s="2">
        <f>SUMIFS(VI_Debitos!$V:$V,VI_Debitos!$H:$H,$C198,VI_Debitos!$T:$T,$D198,VI_Debitos!$R:$R,LEFT(PAGADO!Q$1,4),VI_Debitos!$Q:$Q,RIGHT(Q$1,2))</f>
        <v>0</v>
      </c>
      <c r="R198" s="2">
        <f t="shared" si="3"/>
        <v>0</v>
      </c>
    </row>
    <row r="199" spans="6:18">
      <c r="F199" s="2">
        <f>SUMIFS(VI_Debitos!$V:$V,VI_Debitos!$H:$H,$C199,VI_Debitos!$T:$T,$D199,VI_Debitos!$R:$R,LEFT(PAGADO!F$1,4),VI_Debitos!$Q:$Q,RIGHT(F$1,2))</f>
        <v>0</v>
      </c>
      <c r="G199" s="2">
        <f>SUMIFS(VI_Debitos!$V:$V,VI_Debitos!$H:$H,$C199,VI_Debitos!$T:$T,$D199,VI_Debitos!$R:$R,LEFT(PAGADO!G$1,4),VI_Debitos!$Q:$Q,RIGHT(G$1,2))</f>
        <v>0</v>
      </c>
      <c r="H199" s="2">
        <f>SUMIFS(VI_Debitos!$V:$V,VI_Debitos!$H:$H,$C199,VI_Debitos!$T:$T,$D199,VI_Debitos!$R:$R,LEFT(PAGADO!H$1,4),VI_Debitos!$Q:$Q,RIGHT(H$1,2))</f>
        <v>0</v>
      </c>
      <c r="I199" s="2">
        <f>SUMIFS(VI_Debitos!$V:$V,VI_Debitos!$H:$H,$C199,VI_Debitos!$T:$T,$D199,VI_Debitos!$R:$R,LEFT(PAGADO!I$1,4),VI_Debitos!$Q:$Q,RIGHT(I$1,2))</f>
        <v>0</v>
      </c>
      <c r="J199" s="2">
        <f>SUMIFS(VI_Debitos!$V:$V,VI_Debitos!$H:$H,$C199,VI_Debitos!$T:$T,$D199,VI_Debitos!$R:$R,LEFT(PAGADO!J$1,4),VI_Debitos!$Q:$Q,RIGHT(J$1,2))</f>
        <v>0</v>
      </c>
      <c r="K199" s="2">
        <f>SUMIFS(VI_Debitos!$V:$V,VI_Debitos!$H:$H,$C199,VI_Debitos!$T:$T,$D199,VI_Debitos!$R:$R,LEFT(PAGADO!K$1,4),VI_Debitos!$Q:$Q,RIGHT(K$1,2))</f>
        <v>0</v>
      </c>
      <c r="L199" s="2">
        <f>SUMIFS(VI_Debitos!$V:$V,VI_Debitos!$H:$H,$C199,VI_Debitos!$T:$T,$D199,VI_Debitos!$R:$R,LEFT(PAGADO!L$1,4),VI_Debitos!$Q:$Q,RIGHT(L$1,2))</f>
        <v>0</v>
      </c>
      <c r="M199" s="2">
        <f>SUMIFS(VI_Debitos!$V:$V,VI_Debitos!$H:$H,$C199,VI_Debitos!$T:$T,$D199,VI_Debitos!$R:$R,LEFT(PAGADO!M$1,4),VI_Debitos!$Q:$Q,RIGHT(M$1,2))</f>
        <v>0</v>
      </c>
      <c r="N199" s="2">
        <f>SUMIFS(VI_Debitos!$V:$V,VI_Debitos!$H:$H,$C199,VI_Debitos!$T:$T,$D199,VI_Debitos!$R:$R,LEFT(PAGADO!N$1,4),VI_Debitos!$Q:$Q,RIGHT(N$1,2))</f>
        <v>0</v>
      </c>
      <c r="O199" s="2">
        <f>SUMIFS(VI_Debitos!$V:$V,VI_Debitos!$H:$H,$C199,VI_Debitos!$T:$T,$D199,VI_Debitos!$R:$R,LEFT(PAGADO!O$1,4),VI_Debitos!$Q:$Q,RIGHT(O$1,2))</f>
        <v>0</v>
      </c>
      <c r="P199" s="2">
        <f>SUMIFS(VI_Debitos!$V:$V,VI_Debitos!$H:$H,$C199,VI_Debitos!$T:$T,$D199,VI_Debitos!$R:$R,LEFT(PAGADO!P$1,4),VI_Debitos!$Q:$Q,RIGHT(P$1,2))</f>
        <v>0</v>
      </c>
      <c r="Q199" s="2">
        <f>SUMIFS(VI_Debitos!$V:$V,VI_Debitos!$H:$H,$C199,VI_Debitos!$T:$T,$D199,VI_Debitos!$R:$R,LEFT(PAGADO!Q$1,4),VI_Debitos!$Q:$Q,RIGHT(Q$1,2))</f>
        <v>0</v>
      </c>
      <c r="R199" s="2">
        <f t="shared" si="3"/>
        <v>0</v>
      </c>
    </row>
    <row r="200" spans="6:18">
      <c r="F200" s="2">
        <f>SUMIFS(VI_Debitos!$V:$V,VI_Debitos!$H:$H,$C200,VI_Debitos!$T:$T,$D200,VI_Debitos!$R:$R,LEFT(PAGADO!F$1,4),VI_Debitos!$Q:$Q,RIGHT(F$1,2))</f>
        <v>0</v>
      </c>
      <c r="G200" s="2">
        <f>SUMIFS(VI_Debitos!$V:$V,VI_Debitos!$H:$H,$C200,VI_Debitos!$T:$T,$D200,VI_Debitos!$R:$R,LEFT(PAGADO!G$1,4),VI_Debitos!$Q:$Q,RIGHT(G$1,2))</f>
        <v>0</v>
      </c>
      <c r="H200" s="2">
        <f>SUMIFS(VI_Debitos!$V:$V,VI_Debitos!$H:$H,$C200,VI_Debitos!$T:$T,$D200,VI_Debitos!$R:$R,LEFT(PAGADO!H$1,4),VI_Debitos!$Q:$Q,RIGHT(H$1,2))</f>
        <v>0</v>
      </c>
      <c r="I200" s="2">
        <f>SUMIFS(VI_Debitos!$V:$V,VI_Debitos!$H:$H,$C200,VI_Debitos!$T:$T,$D200,VI_Debitos!$R:$R,LEFT(PAGADO!I$1,4),VI_Debitos!$Q:$Q,RIGHT(I$1,2))</f>
        <v>0</v>
      </c>
      <c r="J200" s="2">
        <f>SUMIFS(VI_Debitos!$V:$V,VI_Debitos!$H:$H,$C200,VI_Debitos!$T:$T,$D200,VI_Debitos!$R:$R,LEFT(PAGADO!J$1,4),VI_Debitos!$Q:$Q,RIGHT(J$1,2))</f>
        <v>0</v>
      </c>
      <c r="K200" s="2">
        <f>SUMIFS(VI_Debitos!$V:$V,VI_Debitos!$H:$H,$C200,VI_Debitos!$T:$T,$D200,VI_Debitos!$R:$R,LEFT(PAGADO!K$1,4),VI_Debitos!$Q:$Q,RIGHT(K$1,2))</f>
        <v>0</v>
      </c>
      <c r="L200" s="2">
        <f>SUMIFS(VI_Debitos!$V:$V,VI_Debitos!$H:$H,$C200,VI_Debitos!$T:$T,$D200,VI_Debitos!$R:$R,LEFT(PAGADO!L$1,4),VI_Debitos!$Q:$Q,RIGHT(L$1,2))</f>
        <v>0</v>
      </c>
      <c r="M200" s="2">
        <f>SUMIFS(VI_Debitos!$V:$V,VI_Debitos!$H:$H,$C200,VI_Debitos!$T:$T,$D200,VI_Debitos!$R:$R,LEFT(PAGADO!M$1,4),VI_Debitos!$Q:$Q,RIGHT(M$1,2))</f>
        <v>0</v>
      </c>
      <c r="N200" s="2">
        <f>SUMIFS(VI_Debitos!$V:$V,VI_Debitos!$H:$H,$C200,VI_Debitos!$T:$T,$D200,VI_Debitos!$R:$R,LEFT(PAGADO!N$1,4),VI_Debitos!$Q:$Q,RIGHT(N$1,2))</f>
        <v>0</v>
      </c>
      <c r="O200" s="2">
        <f>SUMIFS(VI_Debitos!$V:$V,VI_Debitos!$H:$H,$C200,VI_Debitos!$T:$T,$D200,VI_Debitos!$R:$R,LEFT(PAGADO!O$1,4),VI_Debitos!$Q:$Q,RIGHT(O$1,2))</f>
        <v>0</v>
      </c>
      <c r="P200" s="2">
        <f>SUMIFS(VI_Debitos!$V:$V,VI_Debitos!$H:$H,$C200,VI_Debitos!$T:$T,$D200,VI_Debitos!$R:$R,LEFT(PAGADO!P$1,4),VI_Debitos!$Q:$Q,RIGHT(P$1,2))</f>
        <v>0</v>
      </c>
      <c r="Q200" s="2">
        <f>SUMIFS(VI_Debitos!$V:$V,VI_Debitos!$H:$H,$C200,VI_Debitos!$T:$T,$D200,VI_Debitos!$R:$R,LEFT(PAGADO!Q$1,4),VI_Debitos!$Q:$Q,RIGHT(Q$1,2))</f>
        <v>0</v>
      </c>
      <c r="R200" s="2">
        <f t="shared" si="3"/>
        <v>0</v>
      </c>
    </row>
    <row r="201" spans="6:18">
      <c r="F201" s="2">
        <f>SUMIFS(VI_Debitos!$V:$V,VI_Debitos!$H:$H,$C201,VI_Debitos!$T:$T,$D201,VI_Debitos!$R:$R,LEFT(PAGADO!F$1,4),VI_Debitos!$Q:$Q,RIGHT(F$1,2))</f>
        <v>0</v>
      </c>
      <c r="G201" s="2">
        <f>SUMIFS(VI_Debitos!$V:$V,VI_Debitos!$H:$H,$C201,VI_Debitos!$T:$T,$D201,VI_Debitos!$R:$R,LEFT(PAGADO!G$1,4),VI_Debitos!$Q:$Q,RIGHT(G$1,2))</f>
        <v>0</v>
      </c>
      <c r="H201" s="2">
        <f>SUMIFS(VI_Debitos!$V:$V,VI_Debitos!$H:$H,$C201,VI_Debitos!$T:$T,$D201,VI_Debitos!$R:$R,LEFT(PAGADO!H$1,4),VI_Debitos!$Q:$Q,RIGHT(H$1,2))</f>
        <v>0</v>
      </c>
      <c r="I201" s="2">
        <f>SUMIFS(VI_Debitos!$V:$V,VI_Debitos!$H:$H,$C201,VI_Debitos!$T:$T,$D201,VI_Debitos!$R:$R,LEFT(PAGADO!I$1,4),VI_Debitos!$Q:$Q,RIGHT(I$1,2))</f>
        <v>0</v>
      </c>
      <c r="J201" s="2">
        <f>SUMIFS(VI_Debitos!$V:$V,VI_Debitos!$H:$H,$C201,VI_Debitos!$T:$T,$D201,VI_Debitos!$R:$R,LEFT(PAGADO!J$1,4),VI_Debitos!$Q:$Q,RIGHT(J$1,2))</f>
        <v>0</v>
      </c>
      <c r="K201" s="2">
        <f>SUMIFS(VI_Debitos!$V:$V,VI_Debitos!$H:$H,$C201,VI_Debitos!$T:$T,$D201,VI_Debitos!$R:$R,LEFT(PAGADO!K$1,4),VI_Debitos!$Q:$Q,RIGHT(K$1,2))</f>
        <v>0</v>
      </c>
      <c r="L201" s="2">
        <f>SUMIFS(VI_Debitos!$V:$V,VI_Debitos!$H:$H,$C201,VI_Debitos!$T:$T,$D201,VI_Debitos!$R:$R,LEFT(PAGADO!L$1,4),VI_Debitos!$Q:$Q,RIGHT(L$1,2))</f>
        <v>0</v>
      </c>
      <c r="M201" s="2">
        <f>SUMIFS(VI_Debitos!$V:$V,VI_Debitos!$H:$H,$C201,VI_Debitos!$T:$T,$D201,VI_Debitos!$R:$R,LEFT(PAGADO!M$1,4),VI_Debitos!$Q:$Q,RIGHT(M$1,2))</f>
        <v>0</v>
      </c>
      <c r="N201" s="2">
        <f>SUMIFS(VI_Debitos!$V:$V,VI_Debitos!$H:$H,$C201,VI_Debitos!$T:$T,$D201,VI_Debitos!$R:$R,LEFT(PAGADO!N$1,4),VI_Debitos!$Q:$Q,RIGHT(N$1,2))</f>
        <v>0</v>
      </c>
      <c r="O201" s="2">
        <f>SUMIFS(VI_Debitos!$V:$V,VI_Debitos!$H:$H,$C201,VI_Debitos!$T:$T,$D201,VI_Debitos!$R:$R,LEFT(PAGADO!O$1,4),VI_Debitos!$Q:$Q,RIGHT(O$1,2))</f>
        <v>0</v>
      </c>
      <c r="P201" s="2">
        <f>SUMIFS(VI_Debitos!$V:$V,VI_Debitos!$H:$H,$C201,VI_Debitos!$T:$T,$D201,VI_Debitos!$R:$R,LEFT(PAGADO!P$1,4),VI_Debitos!$Q:$Q,RIGHT(P$1,2))</f>
        <v>0</v>
      </c>
      <c r="Q201" s="2">
        <f>SUMIFS(VI_Debitos!$V:$V,VI_Debitos!$H:$H,$C201,VI_Debitos!$T:$T,$D201,VI_Debitos!$R:$R,LEFT(PAGADO!Q$1,4),VI_Debitos!$Q:$Q,RIGHT(Q$1,2))</f>
        <v>0</v>
      </c>
      <c r="R201" s="2">
        <f t="shared" si="3"/>
        <v>0</v>
      </c>
    </row>
    <row r="202" spans="6:18">
      <c r="F202" s="2">
        <f>SUMIFS(VI_Debitos!$V:$V,VI_Debitos!$H:$H,$C202,VI_Debitos!$T:$T,$D202,VI_Debitos!$R:$R,LEFT(PAGADO!F$1,4),VI_Debitos!$Q:$Q,RIGHT(F$1,2))</f>
        <v>0</v>
      </c>
      <c r="G202" s="2">
        <f>SUMIFS(VI_Debitos!$V:$V,VI_Debitos!$H:$H,$C202,VI_Debitos!$T:$T,$D202,VI_Debitos!$R:$R,LEFT(PAGADO!G$1,4),VI_Debitos!$Q:$Q,RIGHT(G$1,2))</f>
        <v>0</v>
      </c>
      <c r="H202" s="2">
        <f>SUMIFS(VI_Debitos!$V:$V,VI_Debitos!$H:$H,$C202,VI_Debitos!$T:$T,$D202,VI_Debitos!$R:$R,LEFT(PAGADO!H$1,4),VI_Debitos!$Q:$Q,RIGHT(H$1,2))</f>
        <v>0</v>
      </c>
      <c r="I202" s="2">
        <f>SUMIFS(VI_Debitos!$V:$V,VI_Debitos!$H:$H,$C202,VI_Debitos!$T:$T,$D202,VI_Debitos!$R:$R,LEFT(PAGADO!I$1,4),VI_Debitos!$Q:$Q,RIGHT(I$1,2))</f>
        <v>0</v>
      </c>
      <c r="J202" s="2">
        <f>SUMIFS(VI_Debitos!$V:$V,VI_Debitos!$H:$H,$C202,VI_Debitos!$T:$T,$D202,VI_Debitos!$R:$R,LEFT(PAGADO!J$1,4),VI_Debitos!$Q:$Q,RIGHT(J$1,2))</f>
        <v>0</v>
      </c>
      <c r="K202" s="2">
        <f>SUMIFS(VI_Debitos!$V:$V,VI_Debitos!$H:$H,$C202,VI_Debitos!$T:$T,$D202,VI_Debitos!$R:$R,LEFT(PAGADO!K$1,4),VI_Debitos!$Q:$Q,RIGHT(K$1,2))</f>
        <v>0</v>
      </c>
      <c r="L202" s="2">
        <f>SUMIFS(VI_Debitos!$V:$V,VI_Debitos!$H:$H,$C202,VI_Debitos!$T:$T,$D202,VI_Debitos!$R:$R,LEFT(PAGADO!L$1,4),VI_Debitos!$Q:$Q,RIGHT(L$1,2))</f>
        <v>0</v>
      </c>
      <c r="M202" s="2">
        <f>SUMIFS(VI_Debitos!$V:$V,VI_Debitos!$H:$H,$C202,VI_Debitos!$T:$T,$D202,VI_Debitos!$R:$R,LEFT(PAGADO!M$1,4),VI_Debitos!$Q:$Q,RIGHT(M$1,2))</f>
        <v>0</v>
      </c>
      <c r="N202" s="2">
        <f>SUMIFS(VI_Debitos!$V:$V,VI_Debitos!$H:$H,$C202,VI_Debitos!$T:$T,$D202,VI_Debitos!$R:$R,LEFT(PAGADO!N$1,4),VI_Debitos!$Q:$Q,RIGHT(N$1,2))</f>
        <v>0</v>
      </c>
      <c r="O202" s="2">
        <f>SUMIFS(VI_Debitos!$V:$V,VI_Debitos!$H:$H,$C202,VI_Debitos!$T:$T,$D202,VI_Debitos!$R:$R,LEFT(PAGADO!O$1,4),VI_Debitos!$Q:$Q,RIGHT(O$1,2))</f>
        <v>0</v>
      </c>
      <c r="P202" s="2">
        <f>SUMIFS(VI_Debitos!$V:$V,VI_Debitos!$H:$H,$C202,VI_Debitos!$T:$T,$D202,VI_Debitos!$R:$R,LEFT(PAGADO!P$1,4),VI_Debitos!$Q:$Q,RIGHT(P$1,2))</f>
        <v>0</v>
      </c>
      <c r="Q202" s="2">
        <f>SUMIFS(VI_Debitos!$V:$V,VI_Debitos!$H:$H,$C202,VI_Debitos!$T:$T,$D202,VI_Debitos!$R:$R,LEFT(PAGADO!Q$1,4),VI_Debitos!$Q:$Q,RIGHT(Q$1,2))</f>
        <v>0</v>
      </c>
      <c r="R202" s="2">
        <f t="shared" si="3"/>
        <v>0</v>
      </c>
    </row>
    <row r="203" spans="6:18">
      <c r="F203" s="2">
        <f>SUMIFS(VI_Debitos!$V:$V,VI_Debitos!$H:$H,$C203,VI_Debitos!$T:$T,$D203,VI_Debitos!$R:$R,LEFT(PAGADO!F$1,4),VI_Debitos!$Q:$Q,RIGHT(F$1,2))</f>
        <v>0</v>
      </c>
      <c r="G203" s="2">
        <f>SUMIFS(VI_Debitos!$V:$V,VI_Debitos!$H:$H,$C203,VI_Debitos!$T:$T,$D203,VI_Debitos!$R:$R,LEFT(PAGADO!G$1,4),VI_Debitos!$Q:$Q,RIGHT(G$1,2))</f>
        <v>0</v>
      </c>
      <c r="H203" s="2">
        <f>SUMIFS(VI_Debitos!$V:$V,VI_Debitos!$H:$H,$C203,VI_Debitos!$T:$T,$D203,VI_Debitos!$R:$R,LEFT(PAGADO!H$1,4),VI_Debitos!$Q:$Q,RIGHT(H$1,2))</f>
        <v>0</v>
      </c>
      <c r="I203" s="2">
        <f>SUMIFS(VI_Debitos!$V:$V,VI_Debitos!$H:$H,$C203,VI_Debitos!$T:$T,$D203,VI_Debitos!$R:$R,LEFT(PAGADO!I$1,4),VI_Debitos!$Q:$Q,RIGHT(I$1,2))</f>
        <v>0</v>
      </c>
      <c r="J203" s="2">
        <f>SUMIFS(VI_Debitos!$V:$V,VI_Debitos!$H:$H,$C203,VI_Debitos!$T:$T,$D203,VI_Debitos!$R:$R,LEFT(PAGADO!J$1,4),VI_Debitos!$Q:$Q,RIGHT(J$1,2))</f>
        <v>0</v>
      </c>
      <c r="K203" s="2">
        <f>SUMIFS(VI_Debitos!$V:$V,VI_Debitos!$H:$H,$C203,VI_Debitos!$T:$T,$D203,VI_Debitos!$R:$R,LEFT(PAGADO!K$1,4),VI_Debitos!$Q:$Q,RIGHT(K$1,2))</f>
        <v>0</v>
      </c>
      <c r="L203" s="2">
        <f>SUMIFS(VI_Debitos!$V:$V,VI_Debitos!$H:$H,$C203,VI_Debitos!$T:$T,$D203,VI_Debitos!$R:$R,LEFT(PAGADO!L$1,4),VI_Debitos!$Q:$Q,RIGHT(L$1,2))</f>
        <v>0</v>
      </c>
      <c r="M203" s="2">
        <f>SUMIFS(VI_Debitos!$V:$V,VI_Debitos!$H:$H,$C203,VI_Debitos!$T:$T,$D203,VI_Debitos!$R:$R,LEFT(PAGADO!M$1,4),VI_Debitos!$Q:$Q,RIGHT(M$1,2))</f>
        <v>0</v>
      </c>
      <c r="N203" s="2">
        <f>SUMIFS(VI_Debitos!$V:$V,VI_Debitos!$H:$H,$C203,VI_Debitos!$T:$T,$D203,VI_Debitos!$R:$R,LEFT(PAGADO!N$1,4),VI_Debitos!$Q:$Q,RIGHT(N$1,2))</f>
        <v>0</v>
      </c>
      <c r="O203" s="2">
        <f>SUMIFS(VI_Debitos!$V:$V,VI_Debitos!$H:$H,$C203,VI_Debitos!$T:$T,$D203,VI_Debitos!$R:$R,LEFT(PAGADO!O$1,4),VI_Debitos!$Q:$Q,RIGHT(O$1,2))</f>
        <v>0</v>
      </c>
      <c r="P203" s="2">
        <f>SUMIFS(VI_Debitos!$V:$V,VI_Debitos!$H:$H,$C203,VI_Debitos!$T:$T,$D203,VI_Debitos!$R:$R,LEFT(PAGADO!P$1,4),VI_Debitos!$Q:$Q,RIGHT(P$1,2))</f>
        <v>0</v>
      </c>
      <c r="Q203" s="2">
        <f>SUMIFS(VI_Debitos!$V:$V,VI_Debitos!$H:$H,$C203,VI_Debitos!$T:$T,$D203,VI_Debitos!$R:$R,LEFT(PAGADO!Q$1,4),VI_Debitos!$Q:$Q,RIGHT(Q$1,2))</f>
        <v>0</v>
      </c>
      <c r="R203" s="2">
        <f t="shared" si="3"/>
        <v>0</v>
      </c>
    </row>
    <row r="204" spans="6:18">
      <c r="F204" s="2">
        <f>SUMIFS(VI_Debitos!$V:$V,VI_Debitos!$H:$H,$C204,VI_Debitos!$T:$T,$D204,VI_Debitos!$R:$R,LEFT(PAGADO!F$1,4),VI_Debitos!$Q:$Q,RIGHT(F$1,2))</f>
        <v>0</v>
      </c>
      <c r="G204" s="2">
        <f>SUMIFS(VI_Debitos!$V:$V,VI_Debitos!$H:$H,$C204,VI_Debitos!$T:$T,$D204,VI_Debitos!$R:$R,LEFT(PAGADO!G$1,4),VI_Debitos!$Q:$Q,RIGHT(G$1,2))</f>
        <v>0</v>
      </c>
      <c r="H204" s="2">
        <f>SUMIFS(VI_Debitos!$V:$V,VI_Debitos!$H:$H,$C204,VI_Debitos!$T:$T,$D204,VI_Debitos!$R:$R,LEFT(PAGADO!H$1,4),VI_Debitos!$Q:$Q,RIGHT(H$1,2))</f>
        <v>0</v>
      </c>
      <c r="I204" s="2">
        <f>SUMIFS(VI_Debitos!$V:$V,VI_Debitos!$H:$H,$C204,VI_Debitos!$T:$T,$D204,VI_Debitos!$R:$R,LEFT(PAGADO!I$1,4),VI_Debitos!$Q:$Q,RIGHT(I$1,2))</f>
        <v>0</v>
      </c>
      <c r="J204" s="2">
        <f>SUMIFS(VI_Debitos!$V:$V,VI_Debitos!$H:$H,$C204,VI_Debitos!$T:$T,$D204,VI_Debitos!$R:$R,LEFT(PAGADO!J$1,4),VI_Debitos!$Q:$Q,RIGHT(J$1,2))</f>
        <v>0</v>
      </c>
      <c r="K204" s="2">
        <f>SUMIFS(VI_Debitos!$V:$V,VI_Debitos!$H:$H,$C204,VI_Debitos!$T:$T,$D204,VI_Debitos!$R:$R,LEFT(PAGADO!K$1,4),VI_Debitos!$Q:$Q,RIGHT(K$1,2))</f>
        <v>0</v>
      </c>
      <c r="L204" s="2">
        <f>SUMIFS(VI_Debitos!$V:$V,VI_Debitos!$H:$H,$C204,VI_Debitos!$T:$T,$D204,VI_Debitos!$R:$R,LEFT(PAGADO!L$1,4),VI_Debitos!$Q:$Q,RIGHT(L$1,2))</f>
        <v>0</v>
      </c>
      <c r="M204" s="2">
        <f>SUMIFS(VI_Debitos!$V:$V,VI_Debitos!$H:$H,$C204,VI_Debitos!$T:$T,$D204,VI_Debitos!$R:$R,LEFT(PAGADO!M$1,4),VI_Debitos!$Q:$Q,RIGHT(M$1,2))</f>
        <v>0</v>
      </c>
      <c r="N204" s="2">
        <f>SUMIFS(VI_Debitos!$V:$V,VI_Debitos!$H:$H,$C204,VI_Debitos!$T:$T,$D204,VI_Debitos!$R:$R,LEFT(PAGADO!N$1,4),VI_Debitos!$Q:$Q,RIGHT(N$1,2))</f>
        <v>0</v>
      </c>
      <c r="O204" s="2">
        <f>SUMIFS(VI_Debitos!$V:$V,VI_Debitos!$H:$H,$C204,VI_Debitos!$T:$T,$D204,VI_Debitos!$R:$R,LEFT(PAGADO!O$1,4),VI_Debitos!$Q:$Q,RIGHT(O$1,2))</f>
        <v>0</v>
      </c>
      <c r="P204" s="2">
        <f>SUMIFS(VI_Debitos!$V:$V,VI_Debitos!$H:$H,$C204,VI_Debitos!$T:$T,$D204,VI_Debitos!$R:$R,LEFT(PAGADO!P$1,4),VI_Debitos!$Q:$Q,RIGHT(P$1,2))</f>
        <v>0</v>
      </c>
      <c r="Q204" s="2">
        <f>SUMIFS(VI_Debitos!$V:$V,VI_Debitos!$H:$H,$C204,VI_Debitos!$T:$T,$D204,VI_Debitos!$R:$R,LEFT(PAGADO!Q$1,4),VI_Debitos!$Q:$Q,RIGHT(Q$1,2))</f>
        <v>0</v>
      </c>
      <c r="R204" s="2">
        <f t="shared" si="3"/>
        <v>0</v>
      </c>
    </row>
    <row r="205" spans="6:18">
      <c r="F205" s="2">
        <f>SUMIFS(VI_Debitos!$V:$V,VI_Debitos!$H:$H,$C205,VI_Debitos!$T:$T,$D205,VI_Debitos!$R:$R,LEFT(PAGADO!F$1,4),VI_Debitos!$Q:$Q,RIGHT(F$1,2))</f>
        <v>0</v>
      </c>
      <c r="G205" s="2">
        <f>SUMIFS(VI_Debitos!$V:$V,VI_Debitos!$H:$H,$C205,VI_Debitos!$T:$T,$D205,VI_Debitos!$R:$R,LEFT(PAGADO!G$1,4),VI_Debitos!$Q:$Q,RIGHT(G$1,2))</f>
        <v>0</v>
      </c>
      <c r="H205" s="2">
        <f>SUMIFS(VI_Debitos!$V:$V,VI_Debitos!$H:$H,$C205,VI_Debitos!$T:$T,$D205,VI_Debitos!$R:$R,LEFT(PAGADO!H$1,4),VI_Debitos!$Q:$Q,RIGHT(H$1,2))</f>
        <v>0</v>
      </c>
      <c r="I205" s="2">
        <f>SUMIFS(VI_Debitos!$V:$V,VI_Debitos!$H:$H,$C205,VI_Debitos!$T:$T,$D205,VI_Debitos!$R:$R,LEFT(PAGADO!I$1,4),VI_Debitos!$Q:$Q,RIGHT(I$1,2))</f>
        <v>0</v>
      </c>
      <c r="J205" s="2">
        <f>SUMIFS(VI_Debitos!$V:$V,VI_Debitos!$H:$H,$C205,VI_Debitos!$T:$T,$D205,VI_Debitos!$R:$R,LEFT(PAGADO!J$1,4),VI_Debitos!$Q:$Q,RIGHT(J$1,2))</f>
        <v>0</v>
      </c>
      <c r="K205" s="2">
        <f>SUMIFS(VI_Debitos!$V:$V,VI_Debitos!$H:$H,$C205,VI_Debitos!$T:$T,$D205,VI_Debitos!$R:$R,LEFT(PAGADO!K$1,4),VI_Debitos!$Q:$Q,RIGHT(K$1,2))</f>
        <v>0</v>
      </c>
      <c r="L205" s="2">
        <f>SUMIFS(VI_Debitos!$V:$V,VI_Debitos!$H:$H,$C205,VI_Debitos!$T:$T,$D205,VI_Debitos!$R:$R,LEFT(PAGADO!L$1,4),VI_Debitos!$Q:$Q,RIGHT(L$1,2))</f>
        <v>0</v>
      </c>
      <c r="M205" s="2">
        <f>SUMIFS(VI_Debitos!$V:$V,VI_Debitos!$H:$H,$C205,VI_Debitos!$T:$T,$D205,VI_Debitos!$R:$R,LEFT(PAGADO!M$1,4),VI_Debitos!$Q:$Q,RIGHT(M$1,2))</f>
        <v>0</v>
      </c>
      <c r="N205" s="2">
        <f>SUMIFS(VI_Debitos!$V:$V,VI_Debitos!$H:$H,$C205,VI_Debitos!$T:$T,$D205,VI_Debitos!$R:$R,LEFT(PAGADO!N$1,4),VI_Debitos!$Q:$Q,RIGHT(N$1,2))</f>
        <v>0</v>
      </c>
      <c r="O205" s="2">
        <f>SUMIFS(VI_Debitos!$V:$V,VI_Debitos!$H:$H,$C205,VI_Debitos!$T:$T,$D205,VI_Debitos!$R:$R,LEFT(PAGADO!O$1,4),VI_Debitos!$Q:$Q,RIGHT(O$1,2))</f>
        <v>0</v>
      </c>
      <c r="P205" s="2">
        <f>SUMIFS(VI_Debitos!$V:$V,VI_Debitos!$H:$H,$C205,VI_Debitos!$T:$T,$D205,VI_Debitos!$R:$R,LEFT(PAGADO!P$1,4),VI_Debitos!$Q:$Q,RIGHT(P$1,2))</f>
        <v>0</v>
      </c>
      <c r="Q205" s="2">
        <f>SUMIFS(VI_Debitos!$V:$V,VI_Debitos!$H:$H,$C205,VI_Debitos!$T:$T,$D205,VI_Debitos!$R:$R,LEFT(PAGADO!Q$1,4),VI_Debitos!$Q:$Q,RIGHT(Q$1,2))</f>
        <v>0</v>
      </c>
      <c r="R205" s="2">
        <f t="shared" si="3"/>
        <v>0</v>
      </c>
    </row>
    <row r="206" spans="6:18">
      <c r="F206" s="2">
        <f>SUMIFS(VI_Debitos!$V:$V,VI_Debitos!$H:$H,$C206,VI_Debitos!$T:$T,$D206,VI_Debitos!$R:$R,LEFT(PAGADO!F$1,4),VI_Debitos!$Q:$Q,RIGHT(F$1,2))</f>
        <v>0</v>
      </c>
      <c r="G206" s="2">
        <f>SUMIFS(VI_Debitos!$V:$V,VI_Debitos!$H:$H,$C206,VI_Debitos!$T:$T,$D206,VI_Debitos!$R:$R,LEFT(PAGADO!G$1,4),VI_Debitos!$Q:$Q,RIGHT(G$1,2))</f>
        <v>0</v>
      </c>
      <c r="H206" s="2">
        <f>SUMIFS(VI_Debitos!$V:$V,VI_Debitos!$H:$H,$C206,VI_Debitos!$T:$T,$D206,VI_Debitos!$R:$R,LEFT(PAGADO!H$1,4),VI_Debitos!$Q:$Q,RIGHT(H$1,2))</f>
        <v>0</v>
      </c>
      <c r="I206" s="2">
        <f>SUMIFS(VI_Debitos!$V:$V,VI_Debitos!$H:$H,$C206,VI_Debitos!$T:$T,$D206,VI_Debitos!$R:$R,LEFT(PAGADO!I$1,4),VI_Debitos!$Q:$Q,RIGHT(I$1,2))</f>
        <v>0</v>
      </c>
      <c r="J206" s="2">
        <f>SUMIFS(VI_Debitos!$V:$V,VI_Debitos!$H:$H,$C206,VI_Debitos!$T:$T,$D206,VI_Debitos!$R:$R,LEFT(PAGADO!J$1,4),VI_Debitos!$Q:$Q,RIGHT(J$1,2))</f>
        <v>0</v>
      </c>
      <c r="K206" s="2">
        <f>SUMIFS(VI_Debitos!$V:$V,VI_Debitos!$H:$H,$C206,VI_Debitos!$T:$T,$D206,VI_Debitos!$R:$R,LEFT(PAGADO!K$1,4),VI_Debitos!$Q:$Q,RIGHT(K$1,2))</f>
        <v>0</v>
      </c>
      <c r="L206" s="2">
        <f>SUMIFS(VI_Debitos!$V:$V,VI_Debitos!$H:$H,$C206,VI_Debitos!$T:$T,$D206,VI_Debitos!$R:$R,LEFT(PAGADO!L$1,4),VI_Debitos!$Q:$Q,RIGHT(L$1,2))</f>
        <v>0</v>
      </c>
      <c r="M206" s="2">
        <f>SUMIFS(VI_Debitos!$V:$V,VI_Debitos!$H:$H,$C206,VI_Debitos!$T:$T,$D206,VI_Debitos!$R:$R,LEFT(PAGADO!M$1,4),VI_Debitos!$Q:$Q,RIGHT(M$1,2))</f>
        <v>0</v>
      </c>
      <c r="N206" s="2">
        <f>SUMIFS(VI_Debitos!$V:$V,VI_Debitos!$H:$H,$C206,VI_Debitos!$T:$T,$D206,VI_Debitos!$R:$R,LEFT(PAGADO!N$1,4),VI_Debitos!$Q:$Q,RIGHT(N$1,2))</f>
        <v>0</v>
      </c>
      <c r="O206" s="2">
        <f>SUMIFS(VI_Debitos!$V:$V,VI_Debitos!$H:$H,$C206,VI_Debitos!$T:$T,$D206,VI_Debitos!$R:$R,LEFT(PAGADO!O$1,4),VI_Debitos!$Q:$Q,RIGHT(O$1,2))</f>
        <v>0</v>
      </c>
      <c r="P206" s="2">
        <f>SUMIFS(VI_Debitos!$V:$V,VI_Debitos!$H:$H,$C206,VI_Debitos!$T:$T,$D206,VI_Debitos!$R:$R,LEFT(PAGADO!P$1,4),VI_Debitos!$Q:$Q,RIGHT(P$1,2))</f>
        <v>0</v>
      </c>
      <c r="Q206" s="2">
        <f>SUMIFS(VI_Debitos!$V:$V,VI_Debitos!$H:$H,$C206,VI_Debitos!$T:$T,$D206,VI_Debitos!$R:$R,LEFT(PAGADO!Q$1,4),VI_Debitos!$Q:$Q,RIGHT(Q$1,2))</f>
        <v>0</v>
      </c>
      <c r="R206" s="2">
        <f t="shared" si="3"/>
        <v>0</v>
      </c>
    </row>
    <row r="207" spans="6:18">
      <c r="F207" s="2">
        <f>SUMIFS(VI_Debitos!$V:$V,VI_Debitos!$H:$H,$C207,VI_Debitos!$T:$T,$D207,VI_Debitos!$R:$R,LEFT(PAGADO!F$1,4),VI_Debitos!$Q:$Q,RIGHT(F$1,2))</f>
        <v>0</v>
      </c>
      <c r="G207" s="2">
        <f>SUMIFS(VI_Debitos!$V:$V,VI_Debitos!$H:$H,$C207,VI_Debitos!$T:$T,$D207,VI_Debitos!$R:$R,LEFT(PAGADO!G$1,4),VI_Debitos!$Q:$Q,RIGHT(G$1,2))</f>
        <v>0</v>
      </c>
      <c r="H207" s="2">
        <f>SUMIFS(VI_Debitos!$V:$V,VI_Debitos!$H:$H,$C207,VI_Debitos!$T:$T,$D207,VI_Debitos!$R:$R,LEFT(PAGADO!H$1,4),VI_Debitos!$Q:$Q,RIGHT(H$1,2))</f>
        <v>0</v>
      </c>
      <c r="I207" s="2">
        <f>SUMIFS(VI_Debitos!$V:$V,VI_Debitos!$H:$H,$C207,VI_Debitos!$T:$T,$D207,VI_Debitos!$R:$R,LEFT(PAGADO!I$1,4),VI_Debitos!$Q:$Q,RIGHT(I$1,2))</f>
        <v>0</v>
      </c>
      <c r="J207" s="2">
        <f>SUMIFS(VI_Debitos!$V:$V,VI_Debitos!$H:$H,$C207,VI_Debitos!$T:$T,$D207,VI_Debitos!$R:$R,LEFT(PAGADO!J$1,4),VI_Debitos!$Q:$Q,RIGHT(J$1,2))</f>
        <v>0</v>
      </c>
      <c r="K207" s="2">
        <f>SUMIFS(VI_Debitos!$V:$V,VI_Debitos!$H:$H,$C207,VI_Debitos!$T:$T,$D207,VI_Debitos!$R:$R,LEFT(PAGADO!K$1,4),VI_Debitos!$Q:$Q,RIGHT(K$1,2))</f>
        <v>0</v>
      </c>
      <c r="L207" s="2">
        <f>SUMIFS(VI_Debitos!$V:$V,VI_Debitos!$H:$H,$C207,VI_Debitos!$T:$T,$D207,VI_Debitos!$R:$R,LEFT(PAGADO!L$1,4),VI_Debitos!$Q:$Q,RIGHT(L$1,2))</f>
        <v>0</v>
      </c>
      <c r="M207" s="2">
        <f>SUMIFS(VI_Debitos!$V:$V,VI_Debitos!$H:$H,$C207,VI_Debitos!$T:$T,$D207,VI_Debitos!$R:$R,LEFT(PAGADO!M$1,4),VI_Debitos!$Q:$Q,RIGHT(M$1,2))</f>
        <v>0</v>
      </c>
      <c r="N207" s="2">
        <f>SUMIFS(VI_Debitos!$V:$V,VI_Debitos!$H:$H,$C207,VI_Debitos!$T:$T,$D207,VI_Debitos!$R:$R,LEFT(PAGADO!N$1,4),VI_Debitos!$Q:$Q,RIGHT(N$1,2))</f>
        <v>0</v>
      </c>
      <c r="O207" s="2">
        <f>SUMIFS(VI_Debitos!$V:$V,VI_Debitos!$H:$H,$C207,VI_Debitos!$T:$T,$D207,VI_Debitos!$R:$R,LEFT(PAGADO!O$1,4),VI_Debitos!$Q:$Q,RIGHT(O$1,2))</f>
        <v>0</v>
      </c>
      <c r="P207" s="2">
        <f>SUMIFS(VI_Debitos!$V:$V,VI_Debitos!$H:$H,$C207,VI_Debitos!$T:$T,$D207,VI_Debitos!$R:$R,LEFT(PAGADO!P$1,4),VI_Debitos!$Q:$Q,RIGHT(P$1,2))</f>
        <v>0</v>
      </c>
      <c r="Q207" s="2">
        <f>SUMIFS(VI_Debitos!$V:$V,VI_Debitos!$H:$H,$C207,VI_Debitos!$T:$T,$D207,VI_Debitos!$R:$R,LEFT(PAGADO!Q$1,4),VI_Debitos!$Q:$Q,RIGHT(Q$1,2))</f>
        <v>0</v>
      </c>
      <c r="R207" s="2">
        <f t="shared" si="3"/>
        <v>0</v>
      </c>
    </row>
    <row r="208" spans="6:18">
      <c r="F208" s="2">
        <f>SUMIFS(VI_Debitos!$V:$V,VI_Debitos!$H:$H,$C208,VI_Debitos!$T:$T,$D208,VI_Debitos!$R:$R,LEFT(PAGADO!F$1,4),VI_Debitos!$Q:$Q,RIGHT(F$1,2))</f>
        <v>0</v>
      </c>
      <c r="G208" s="2">
        <f>SUMIFS(VI_Debitos!$V:$V,VI_Debitos!$H:$H,$C208,VI_Debitos!$T:$T,$D208,VI_Debitos!$R:$R,LEFT(PAGADO!G$1,4),VI_Debitos!$Q:$Q,RIGHT(G$1,2))</f>
        <v>0</v>
      </c>
      <c r="H208" s="2">
        <f>SUMIFS(VI_Debitos!$V:$V,VI_Debitos!$H:$H,$C208,VI_Debitos!$T:$T,$D208,VI_Debitos!$R:$R,LEFT(PAGADO!H$1,4),VI_Debitos!$Q:$Q,RIGHT(H$1,2))</f>
        <v>0</v>
      </c>
      <c r="I208" s="2">
        <f>SUMIFS(VI_Debitos!$V:$V,VI_Debitos!$H:$H,$C208,VI_Debitos!$T:$T,$D208,VI_Debitos!$R:$R,LEFT(PAGADO!I$1,4),VI_Debitos!$Q:$Q,RIGHT(I$1,2))</f>
        <v>0</v>
      </c>
      <c r="J208" s="2">
        <f>SUMIFS(VI_Debitos!$V:$V,VI_Debitos!$H:$H,$C208,VI_Debitos!$T:$T,$D208,VI_Debitos!$R:$R,LEFT(PAGADO!J$1,4),VI_Debitos!$Q:$Q,RIGHT(J$1,2))</f>
        <v>0</v>
      </c>
      <c r="K208" s="2">
        <f>SUMIFS(VI_Debitos!$V:$V,VI_Debitos!$H:$H,$C208,VI_Debitos!$T:$T,$D208,VI_Debitos!$R:$R,LEFT(PAGADO!K$1,4),VI_Debitos!$Q:$Q,RIGHT(K$1,2))</f>
        <v>0</v>
      </c>
      <c r="L208" s="2">
        <f>SUMIFS(VI_Debitos!$V:$V,VI_Debitos!$H:$H,$C208,VI_Debitos!$T:$T,$D208,VI_Debitos!$R:$R,LEFT(PAGADO!L$1,4),VI_Debitos!$Q:$Q,RIGHT(L$1,2))</f>
        <v>0</v>
      </c>
      <c r="M208" s="2">
        <f>SUMIFS(VI_Debitos!$V:$V,VI_Debitos!$H:$H,$C208,VI_Debitos!$T:$T,$D208,VI_Debitos!$R:$R,LEFT(PAGADO!M$1,4),VI_Debitos!$Q:$Q,RIGHT(M$1,2))</f>
        <v>0</v>
      </c>
      <c r="N208" s="2">
        <f>SUMIFS(VI_Debitos!$V:$V,VI_Debitos!$H:$H,$C208,VI_Debitos!$T:$T,$D208,VI_Debitos!$R:$R,LEFT(PAGADO!N$1,4),VI_Debitos!$Q:$Q,RIGHT(N$1,2))</f>
        <v>0</v>
      </c>
      <c r="O208" s="2">
        <f>SUMIFS(VI_Debitos!$V:$V,VI_Debitos!$H:$H,$C208,VI_Debitos!$T:$T,$D208,VI_Debitos!$R:$R,LEFT(PAGADO!O$1,4),VI_Debitos!$Q:$Q,RIGHT(O$1,2))</f>
        <v>0</v>
      </c>
      <c r="P208" s="2">
        <f>SUMIFS(VI_Debitos!$V:$V,VI_Debitos!$H:$H,$C208,VI_Debitos!$T:$T,$D208,VI_Debitos!$R:$R,LEFT(PAGADO!P$1,4),VI_Debitos!$Q:$Q,RIGHT(P$1,2))</f>
        <v>0</v>
      </c>
      <c r="Q208" s="2">
        <f>SUMIFS(VI_Debitos!$V:$V,VI_Debitos!$H:$H,$C208,VI_Debitos!$T:$T,$D208,VI_Debitos!$R:$R,LEFT(PAGADO!Q$1,4),VI_Debitos!$Q:$Q,RIGHT(Q$1,2))</f>
        <v>0</v>
      </c>
      <c r="R208" s="2">
        <f t="shared" si="3"/>
        <v>0</v>
      </c>
    </row>
    <row r="209" spans="6:18">
      <c r="F209" s="2">
        <f>SUMIFS(VI_Debitos!$V:$V,VI_Debitos!$H:$H,$C209,VI_Debitos!$T:$T,$D209,VI_Debitos!$R:$R,LEFT(PAGADO!F$1,4),VI_Debitos!$Q:$Q,RIGHT(F$1,2))</f>
        <v>0</v>
      </c>
      <c r="G209" s="2">
        <f>SUMIFS(VI_Debitos!$V:$V,VI_Debitos!$H:$H,$C209,VI_Debitos!$T:$T,$D209,VI_Debitos!$R:$R,LEFT(PAGADO!G$1,4),VI_Debitos!$Q:$Q,RIGHT(G$1,2))</f>
        <v>0</v>
      </c>
      <c r="H209" s="2">
        <f>SUMIFS(VI_Debitos!$V:$V,VI_Debitos!$H:$H,$C209,VI_Debitos!$T:$T,$D209,VI_Debitos!$R:$R,LEFT(PAGADO!H$1,4),VI_Debitos!$Q:$Q,RIGHT(H$1,2))</f>
        <v>0</v>
      </c>
      <c r="I209" s="2">
        <f>SUMIFS(VI_Debitos!$V:$V,VI_Debitos!$H:$H,$C209,VI_Debitos!$T:$T,$D209,VI_Debitos!$R:$R,LEFT(PAGADO!I$1,4),VI_Debitos!$Q:$Q,RIGHT(I$1,2))</f>
        <v>0</v>
      </c>
      <c r="J209" s="2">
        <f>SUMIFS(VI_Debitos!$V:$V,VI_Debitos!$H:$H,$C209,VI_Debitos!$T:$T,$D209,VI_Debitos!$R:$R,LEFT(PAGADO!J$1,4),VI_Debitos!$Q:$Q,RIGHT(J$1,2))</f>
        <v>0</v>
      </c>
      <c r="K209" s="2">
        <f>SUMIFS(VI_Debitos!$V:$V,VI_Debitos!$H:$H,$C209,VI_Debitos!$T:$T,$D209,VI_Debitos!$R:$R,LEFT(PAGADO!K$1,4),VI_Debitos!$Q:$Q,RIGHT(K$1,2))</f>
        <v>0</v>
      </c>
      <c r="L209" s="2">
        <f>SUMIFS(VI_Debitos!$V:$V,VI_Debitos!$H:$H,$C209,VI_Debitos!$T:$T,$D209,VI_Debitos!$R:$R,LEFT(PAGADO!L$1,4),VI_Debitos!$Q:$Q,RIGHT(L$1,2))</f>
        <v>0</v>
      </c>
      <c r="M209" s="2">
        <f>SUMIFS(VI_Debitos!$V:$V,VI_Debitos!$H:$H,$C209,VI_Debitos!$T:$T,$D209,VI_Debitos!$R:$R,LEFT(PAGADO!M$1,4),VI_Debitos!$Q:$Q,RIGHT(M$1,2))</f>
        <v>0</v>
      </c>
      <c r="N209" s="2">
        <f>SUMIFS(VI_Debitos!$V:$V,VI_Debitos!$H:$H,$C209,VI_Debitos!$T:$T,$D209,VI_Debitos!$R:$R,LEFT(PAGADO!N$1,4),VI_Debitos!$Q:$Q,RIGHT(N$1,2))</f>
        <v>0</v>
      </c>
      <c r="O209" s="2">
        <f>SUMIFS(VI_Debitos!$V:$V,VI_Debitos!$H:$H,$C209,VI_Debitos!$T:$T,$D209,VI_Debitos!$R:$R,LEFT(PAGADO!O$1,4),VI_Debitos!$Q:$Q,RIGHT(O$1,2))</f>
        <v>0</v>
      </c>
      <c r="P209" s="2">
        <f>SUMIFS(VI_Debitos!$V:$V,VI_Debitos!$H:$H,$C209,VI_Debitos!$T:$T,$D209,VI_Debitos!$R:$R,LEFT(PAGADO!P$1,4),VI_Debitos!$Q:$Q,RIGHT(P$1,2))</f>
        <v>0</v>
      </c>
      <c r="Q209" s="2">
        <f>SUMIFS(VI_Debitos!$V:$V,VI_Debitos!$H:$H,$C209,VI_Debitos!$T:$T,$D209,VI_Debitos!$R:$R,LEFT(PAGADO!Q$1,4),VI_Debitos!$Q:$Q,RIGHT(Q$1,2))</f>
        <v>0</v>
      </c>
      <c r="R209" s="2">
        <f t="shared" si="3"/>
        <v>0</v>
      </c>
    </row>
    <row r="210" spans="6:18">
      <c r="F210" s="2">
        <f>SUMIFS(VI_Debitos!$V:$V,VI_Debitos!$H:$H,$C210,VI_Debitos!$T:$T,$D210,VI_Debitos!$R:$R,LEFT(PAGADO!F$1,4),VI_Debitos!$Q:$Q,RIGHT(F$1,2))</f>
        <v>0</v>
      </c>
      <c r="G210" s="2">
        <f>SUMIFS(VI_Debitos!$V:$V,VI_Debitos!$H:$H,$C210,VI_Debitos!$T:$T,$D210,VI_Debitos!$R:$R,LEFT(PAGADO!G$1,4),VI_Debitos!$Q:$Q,RIGHT(G$1,2))</f>
        <v>0</v>
      </c>
      <c r="H210" s="2">
        <f>SUMIFS(VI_Debitos!$V:$V,VI_Debitos!$H:$H,$C210,VI_Debitos!$T:$T,$D210,VI_Debitos!$R:$R,LEFT(PAGADO!H$1,4),VI_Debitos!$Q:$Q,RIGHT(H$1,2))</f>
        <v>0</v>
      </c>
      <c r="I210" s="2">
        <f>SUMIFS(VI_Debitos!$V:$V,VI_Debitos!$H:$H,$C210,VI_Debitos!$T:$T,$D210,VI_Debitos!$R:$R,LEFT(PAGADO!I$1,4),VI_Debitos!$Q:$Q,RIGHT(I$1,2))</f>
        <v>0</v>
      </c>
      <c r="J210" s="2">
        <f>SUMIFS(VI_Debitos!$V:$V,VI_Debitos!$H:$H,$C210,VI_Debitos!$T:$T,$D210,VI_Debitos!$R:$R,LEFT(PAGADO!J$1,4),VI_Debitos!$Q:$Q,RIGHT(J$1,2))</f>
        <v>0</v>
      </c>
      <c r="K210" s="2">
        <f>SUMIFS(VI_Debitos!$V:$V,VI_Debitos!$H:$H,$C210,VI_Debitos!$T:$T,$D210,VI_Debitos!$R:$R,LEFT(PAGADO!K$1,4),VI_Debitos!$Q:$Q,RIGHT(K$1,2))</f>
        <v>0</v>
      </c>
      <c r="L210" s="2">
        <f>SUMIFS(VI_Debitos!$V:$V,VI_Debitos!$H:$H,$C210,VI_Debitos!$T:$T,$D210,VI_Debitos!$R:$R,LEFT(PAGADO!L$1,4),VI_Debitos!$Q:$Q,RIGHT(L$1,2))</f>
        <v>0</v>
      </c>
      <c r="M210" s="2">
        <f>SUMIFS(VI_Debitos!$V:$V,VI_Debitos!$H:$H,$C210,VI_Debitos!$T:$T,$D210,VI_Debitos!$R:$R,LEFT(PAGADO!M$1,4),VI_Debitos!$Q:$Q,RIGHT(M$1,2))</f>
        <v>0</v>
      </c>
      <c r="N210" s="2">
        <f>SUMIFS(VI_Debitos!$V:$V,VI_Debitos!$H:$H,$C210,VI_Debitos!$T:$T,$D210,VI_Debitos!$R:$R,LEFT(PAGADO!N$1,4),VI_Debitos!$Q:$Q,RIGHT(N$1,2))</f>
        <v>0</v>
      </c>
      <c r="O210" s="2">
        <f>SUMIFS(VI_Debitos!$V:$V,VI_Debitos!$H:$H,$C210,VI_Debitos!$T:$T,$D210,VI_Debitos!$R:$R,LEFT(PAGADO!O$1,4),VI_Debitos!$Q:$Q,RIGHT(O$1,2))</f>
        <v>0</v>
      </c>
      <c r="P210" s="2">
        <f>SUMIFS(VI_Debitos!$V:$V,VI_Debitos!$H:$H,$C210,VI_Debitos!$T:$T,$D210,VI_Debitos!$R:$R,LEFT(PAGADO!P$1,4),VI_Debitos!$Q:$Q,RIGHT(P$1,2))</f>
        <v>0</v>
      </c>
      <c r="Q210" s="2">
        <f>SUMIFS(VI_Debitos!$V:$V,VI_Debitos!$H:$H,$C210,VI_Debitos!$T:$T,$D210,VI_Debitos!$R:$R,LEFT(PAGADO!Q$1,4),VI_Debitos!$Q:$Q,RIGHT(Q$1,2))</f>
        <v>0</v>
      </c>
      <c r="R210" s="2">
        <f t="shared" si="3"/>
        <v>0</v>
      </c>
    </row>
    <row r="211" spans="6:18">
      <c r="F211" s="2">
        <f>SUMIFS(VI_Debitos!$V:$V,VI_Debitos!$H:$H,$C211,VI_Debitos!$T:$T,$D211,VI_Debitos!$R:$R,LEFT(PAGADO!F$1,4),VI_Debitos!$Q:$Q,RIGHT(F$1,2))</f>
        <v>0</v>
      </c>
      <c r="G211" s="2">
        <f>SUMIFS(VI_Debitos!$V:$V,VI_Debitos!$H:$H,$C211,VI_Debitos!$T:$T,$D211,VI_Debitos!$R:$R,LEFT(PAGADO!G$1,4),VI_Debitos!$Q:$Q,RIGHT(G$1,2))</f>
        <v>0</v>
      </c>
      <c r="H211" s="2">
        <f>SUMIFS(VI_Debitos!$V:$V,VI_Debitos!$H:$H,$C211,VI_Debitos!$T:$T,$D211,VI_Debitos!$R:$R,LEFT(PAGADO!H$1,4),VI_Debitos!$Q:$Q,RIGHT(H$1,2))</f>
        <v>0</v>
      </c>
      <c r="I211" s="2">
        <f>SUMIFS(VI_Debitos!$V:$V,VI_Debitos!$H:$H,$C211,VI_Debitos!$T:$T,$D211,VI_Debitos!$R:$R,LEFT(PAGADO!I$1,4),VI_Debitos!$Q:$Q,RIGHT(I$1,2))</f>
        <v>0</v>
      </c>
      <c r="J211" s="2">
        <f>SUMIFS(VI_Debitos!$V:$V,VI_Debitos!$H:$H,$C211,VI_Debitos!$T:$T,$D211,VI_Debitos!$R:$R,LEFT(PAGADO!J$1,4),VI_Debitos!$Q:$Q,RIGHT(J$1,2))</f>
        <v>0</v>
      </c>
      <c r="K211" s="2">
        <f>SUMIFS(VI_Debitos!$V:$V,VI_Debitos!$H:$H,$C211,VI_Debitos!$T:$T,$D211,VI_Debitos!$R:$R,LEFT(PAGADO!K$1,4),VI_Debitos!$Q:$Q,RIGHT(K$1,2))</f>
        <v>0</v>
      </c>
      <c r="L211" s="2">
        <f>SUMIFS(VI_Debitos!$V:$V,VI_Debitos!$H:$H,$C211,VI_Debitos!$T:$T,$D211,VI_Debitos!$R:$R,LEFT(PAGADO!L$1,4),VI_Debitos!$Q:$Q,RIGHT(L$1,2))</f>
        <v>0</v>
      </c>
      <c r="M211" s="2">
        <f>SUMIFS(VI_Debitos!$V:$V,VI_Debitos!$H:$H,$C211,VI_Debitos!$T:$T,$D211,VI_Debitos!$R:$R,LEFT(PAGADO!M$1,4),VI_Debitos!$Q:$Q,RIGHT(M$1,2))</f>
        <v>0</v>
      </c>
      <c r="N211" s="2">
        <f>SUMIFS(VI_Debitos!$V:$V,VI_Debitos!$H:$H,$C211,VI_Debitos!$T:$T,$D211,VI_Debitos!$R:$R,LEFT(PAGADO!N$1,4),VI_Debitos!$Q:$Q,RIGHT(N$1,2))</f>
        <v>0</v>
      </c>
      <c r="O211" s="2">
        <f>SUMIFS(VI_Debitos!$V:$V,VI_Debitos!$H:$H,$C211,VI_Debitos!$T:$T,$D211,VI_Debitos!$R:$R,LEFT(PAGADO!O$1,4),VI_Debitos!$Q:$Q,RIGHT(O$1,2))</f>
        <v>0</v>
      </c>
      <c r="P211" s="2">
        <f>SUMIFS(VI_Debitos!$V:$V,VI_Debitos!$H:$H,$C211,VI_Debitos!$T:$T,$D211,VI_Debitos!$R:$R,LEFT(PAGADO!P$1,4),VI_Debitos!$Q:$Q,RIGHT(P$1,2))</f>
        <v>0</v>
      </c>
      <c r="Q211" s="2">
        <f>SUMIFS(VI_Debitos!$V:$V,VI_Debitos!$H:$H,$C211,VI_Debitos!$T:$T,$D211,VI_Debitos!$R:$R,LEFT(PAGADO!Q$1,4),VI_Debitos!$Q:$Q,RIGHT(Q$1,2))</f>
        <v>0</v>
      </c>
      <c r="R211" s="2">
        <f t="shared" si="3"/>
        <v>0</v>
      </c>
    </row>
    <row r="212" spans="6:18">
      <c r="F212" s="2">
        <f>SUMIFS(VI_Debitos!$V:$V,VI_Debitos!$H:$H,$C212,VI_Debitos!$T:$T,$D212,VI_Debitos!$R:$R,LEFT(PAGADO!F$1,4),VI_Debitos!$Q:$Q,RIGHT(F$1,2))</f>
        <v>0</v>
      </c>
      <c r="G212" s="2">
        <f>SUMIFS(VI_Debitos!$V:$V,VI_Debitos!$H:$H,$C212,VI_Debitos!$T:$T,$D212,VI_Debitos!$R:$R,LEFT(PAGADO!G$1,4),VI_Debitos!$Q:$Q,RIGHT(G$1,2))</f>
        <v>0</v>
      </c>
      <c r="H212" s="2">
        <f>SUMIFS(VI_Debitos!$V:$V,VI_Debitos!$H:$H,$C212,VI_Debitos!$T:$T,$D212,VI_Debitos!$R:$R,LEFT(PAGADO!H$1,4),VI_Debitos!$Q:$Q,RIGHT(H$1,2))</f>
        <v>0</v>
      </c>
      <c r="I212" s="2">
        <f>SUMIFS(VI_Debitos!$V:$V,VI_Debitos!$H:$H,$C212,VI_Debitos!$T:$T,$D212,VI_Debitos!$R:$R,LEFT(PAGADO!I$1,4),VI_Debitos!$Q:$Q,RIGHT(I$1,2))</f>
        <v>0</v>
      </c>
      <c r="J212" s="2">
        <f>SUMIFS(VI_Debitos!$V:$V,VI_Debitos!$H:$H,$C212,VI_Debitos!$T:$T,$D212,VI_Debitos!$R:$R,LEFT(PAGADO!J$1,4),VI_Debitos!$Q:$Q,RIGHT(J$1,2))</f>
        <v>0</v>
      </c>
      <c r="K212" s="2">
        <f>SUMIFS(VI_Debitos!$V:$V,VI_Debitos!$H:$H,$C212,VI_Debitos!$T:$T,$D212,VI_Debitos!$R:$R,LEFT(PAGADO!K$1,4),VI_Debitos!$Q:$Q,RIGHT(K$1,2))</f>
        <v>0</v>
      </c>
      <c r="L212" s="2">
        <f>SUMIFS(VI_Debitos!$V:$V,VI_Debitos!$H:$H,$C212,VI_Debitos!$T:$T,$D212,VI_Debitos!$R:$R,LEFT(PAGADO!L$1,4),VI_Debitos!$Q:$Q,RIGHT(L$1,2))</f>
        <v>0</v>
      </c>
      <c r="M212" s="2">
        <f>SUMIFS(VI_Debitos!$V:$V,VI_Debitos!$H:$H,$C212,VI_Debitos!$T:$T,$D212,VI_Debitos!$R:$R,LEFT(PAGADO!M$1,4),VI_Debitos!$Q:$Q,RIGHT(M$1,2))</f>
        <v>0</v>
      </c>
      <c r="N212" s="2">
        <f>SUMIFS(VI_Debitos!$V:$V,VI_Debitos!$H:$H,$C212,VI_Debitos!$T:$T,$D212,VI_Debitos!$R:$R,LEFT(PAGADO!N$1,4),VI_Debitos!$Q:$Q,RIGHT(N$1,2))</f>
        <v>0</v>
      </c>
      <c r="O212" s="2">
        <f>SUMIFS(VI_Debitos!$V:$V,VI_Debitos!$H:$H,$C212,VI_Debitos!$T:$T,$D212,VI_Debitos!$R:$R,LEFT(PAGADO!O$1,4),VI_Debitos!$Q:$Q,RIGHT(O$1,2))</f>
        <v>0</v>
      </c>
      <c r="P212" s="2">
        <f>SUMIFS(VI_Debitos!$V:$V,VI_Debitos!$H:$H,$C212,VI_Debitos!$T:$T,$D212,VI_Debitos!$R:$R,LEFT(PAGADO!P$1,4),VI_Debitos!$Q:$Q,RIGHT(P$1,2))</f>
        <v>0</v>
      </c>
      <c r="Q212" s="2">
        <f>SUMIFS(VI_Debitos!$V:$V,VI_Debitos!$H:$H,$C212,VI_Debitos!$T:$T,$D212,VI_Debitos!$R:$R,LEFT(PAGADO!Q$1,4),VI_Debitos!$Q:$Q,RIGHT(Q$1,2))</f>
        <v>0</v>
      </c>
      <c r="R212" s="2">
        <f t="shared" si="3"/>
        <v>0</v>
      </c>
    </row>
    <row r="213" spans="6:18">
      <c r="F213" s="2">
        <f>SUMIFS(VI_Debitos!$V:$V,VI_Debitos!$H:$H,$C213,VI_Debitos!$T:$T,$D213,VI_Debitos!$R:$R,LEFT(PAGADO!F$1,4),VI_Debitos!$Q:$Q,RIGHT(F$1,2))</f>
        <v>0</v>
      </c>
      <c r="G213" s="2">
        <f>SUMIFS(VI_Debitos!$V:$V,VI_Debitos!$H:$H,$C213,VI_Debitos!$T:$T,$D213,VI_Debitos!$R:$R,LEFT(PAGADO!G$1,4),VI_Debitos!$Q:$Q,RIGHT(G$1,2))</f>
        <v>0</v>
      </c>
      <c r="H213" s="2">
        <f>SUMIFS(VI_Debitos!$V:$V,VI_Debitos!$H:$H,$C213,VI_Debitos!$T:$T,$D213,VI_Debitos!$R:$R,LEFT(PAGADO!H$1,4),VI_Debitos!$Q:$Q,RIGHT(H$1,2))</f>
        <v>0</v>
      </c>
      <c r="I213" s="2">
        <f>SUMIFS(VI_Debitos!$V:$V,VI_Debitos!$H:$H,$C213,VI_Debitos!$T:$T,$D213,VI_Debitos!$R:$R,LEFT(PAGADO!I$1,4),VI_Debitos!$Q:$Q,RIGHT(I$1,2))</f>
        <v>0</v>
      </c>
      <c r="J213" s="2">
        <f>SUMIFS(VI_Debitos!$V:$V,VI_Debitos!$H:$H,$C213,VI_Debitos!$T:$T,$D213,VI_Debitos!$R:$R,LEFT(PAGADO!J$1,4),VI_Debitos!$Q:$Q,RIGHT(J$1,2))</f>
        <v>0</v>
      </c>
      <c r="K213" s="2">
        <f>SUMIFS(VI_Debitos!$V:$V,VI_Debitos!$H:$H,$C213,VI_Debitos!$T:$T,$D213,VI_Debitos!$R:$R,LEFT(PAGADO!K$1,4),VI_Debitos!$Q:$Q,RIGHT(K$1,2))</f>
        <v>0</v>
      </c>
      <c r="L213" s="2">
        <f>SUMIFS(VI_Debitos!$V:$V,VI_Debitos!$H:$H,$C213,VI_Debitos!$T:$T,$D213,VI_Debitos!$R:$R,LEFT(PAGADO!L$1,4),VI_Debitos!$Q:$Q,RIGHT(L$1,2))</f>
        <v>0</v>
      </c>
      <c r="M213" s="2">
        <f>SUMIFS(VI_Debitos!$V:$V,VI_Debitos!$H:$H,$C213,VI_Debitos!$T:$T,$D213,VI_Debitos!$R:$R,LEFT(PAGADO!M$1,4),VI_Debitos!$Q:$Q,RIGHT(M$1,2))</f>
        <v>0</v>
      </c>
      <c r="N213" s="2">
        <f>SUMIFS(VI_Debitos!$V:$V,VI_Debitos!$H:$H,$C213,VI_Debitos!$T:$T,$D213,VI_Debitos!$R:$R,LEFT(PAGADO!N$1,4),VI_Debitos!$Q:$Q,RIGHT(N$1,2))</f>
        <v>0</v>
      </c>
      <c r="O213" s="2">
        <f>SUMIFS(VI_Debitos!$V:$V,VI_Debitos!$H:$H,$C213,VI_Debitos!$T:$T,$D213,VI_Debitos!$R:$R,LEFT(PAGADO!O$1,4),VI_Debitos!$Q:$Q,RIGHT(O$1,2))</f>
        <v>0</v>
      </c>
      <c r="P213" s="2">
        <f>SUMIFS(VI_Debitos!$V:$V,VI_Debitos!$H:$H,$C213,VI_Debitos!$T:$T,$D213,VI_Debitos!$R:$R,LEFT(PAGADO!P$1,4),VI_Debitos!$Q:$Q,RIGHT(P$1,2))</f>
        <v>0</v>
      </c>
      <c r="Q213" s="2">
        <f>SUMIFS(VI_Debitos!$V:$V,VI_Debitos!$H:$H,$C213,VI_Debitos!$T:$T,$D213,VI_Debitos!$R:$R,LEFT(PAGADO!Q$1,4),VI_Debitos!$Q:$Q,RIGHT(Q$1,2))</f>
        <v>0</v>
      </c>
      <c r="R213" s="2">
        <f t="shared" si="3"/>
        <v>0</v>
      </c>
    </row>
    <row r="214" spans="6:18">
      <c r="F214" s="2">
        <f>SUMIFS(VI_Debitos!$V:$V,VI_Debitos!$H:$H,$C214,VI_Debitos!$T:$T,$D214,VI_Debitos!$R:$R,LEFT(PAGADO!F$1,4),VI_Debitos!$Q:$Q,RIGHT(F$1,2))</f>
        <v>0</v>
      </c>
      <c r="G214" s="2">
        <f>SUMIFS(VI_Debitos!$V:$V,VI_Debitos!$H:$H,$C214,VI_Debitos!$T:$T,$D214,VI_Debitos!$R:$R,LEFT(PAGADO!G$1,4),VI_Debitos!$Q:$Q,RIGHT(G$1,2))</f>
        <v>0</v>
      </c>
      <c r="H214" s="2">
        <f>SUMIFS(VI_Debitos!$V:$V,VI_Debitos!$H:$H,$C214,VI_Debitos!$T:$T,$D214,VI_Debitos!$R:$R,LEFT(PAGADO!H$1,4),VI_Debitos!$Q:$Q,RIGHT(H$1,2))</f>
        <v>0</v>
      </c>
      <c r="I214" s="2">
        <f>SUMIFS(VI_Debitos!$V:$V,VI_Debitos!$H:$H,$C214,VI_Debitos!$T:$T,$D214,VI_Debitos!$R:$R,LEFT(PAGADO!I$1,4),VI_Debitos!$Q:$Q,RIGHT(I$1,2))</f>
        <v>0</v>
      </c>
      <c r="J214" s="2">
        <f>SUMIFS(VI_Debitos!$V:$V,VI_Debitos!$H:$H,$C214,VI_Debitos!$T:$T,$D214,VI_Debitos!$R:$R,LEFT(PAGADO!J$1,4),VI_Debitos!$Q:$Q,RIGHT(J$1,2))</f>
        <v>0</v>
      </c>
      <c r="K214" s="2">
        <f>SUMIFS(VI_Debitos!$V:$V,VI_Debitos!$H:$H,$C214,VI_Debitos!$T:$T,$D214,VI_Debitos!$R:$R,LEFT(PAGADO!K$1,4),VI_Debitos!$Q:$Q,RIGHT(K$1,2))</f>
        <v>0</v>
      </c>
      <c r="L214" s="2">
        <f>SUMIFS(VI_Debitos!$V:$V,VI_Debitos!$H:$H,$C214,VI_Debitos!$T:$T,$D214,VI_Debitos!$R:$R,LEFT(PAGADO!L$1,4),VI_Debitos!$Q:$Q,RIGHT(L$1,2))</f>
        <v>0</v>
      </c>
      <c r="M214" s="2">
        <f>SUMIFS(VI_Debitos!$V:$V,VI_Debitos!$H:$H,$C214,VI_Debitos!$T:$T,$D214,VI_Debitos!$R:$R,LEFT(PAGADO!M$1,4),VI_Debitos!$Q:$Q,RIGHT(M$1,2))</f>
        <v>0</v>
      </c>
      <c r="N214" s="2">
        <f>SUMIFS(VI_Debitos!$V:$V,VI_Debitos!$H:$H,$C214,VI_Debitos!$T:$T,$D214,VI_Debitos!$R:$R,LEFT(PAGADO!N$1,4),VI_Debitos!$Q:$Q,RIGHT(N$1,2))</f>
        <v>0</v>
      </c>
      <c r="O214" s="2">
        <f>SUMIFS(VI_Debitos!$V:$V,VI_Debitos!$H:$H,$C214,VI_Debitos!$T:$T,$D214,VI_Debitos!$R:$R,LEFT(PAGADO!O$1,4),VI_Debitos!$Q:$Q,RIGHT(O$1,2))</f>
        <v>0</v>
      </c>
      <c r="P214" s="2">
        <f>SUMIFS(VI_Debitos!$V:$V,VI_Debitos!$H:$H,$C214,VI_Debitos!$T:$T,$D214,VI_Debitos!$R:$R,LEFT(PAGADO!P$1,4),VI_Debitos!$Q:$Q,RIGHT(P$1,2))</f>
        <v>0</v>
      </c>
      <c r="Q214" s="2">
        <f>SUMIFS(VI_Debitos!$V:$V,VI_Debitos!$H:$H,$C214,VI_Debitos!$T:$T,$D214,VI_Debitos!$R:$R,LEFT(PAGADO!Q$1,4),VI_Debitos!$Q:$Q,RIGHT(Q$1,2))</f>
        <v>0</v>
      </c>
      <c r="R214" s="2">
        <f t="shared" si="3"/>
        <v>0</v>
      </c>
    </row>
    <row r="215" spans="6:18">
      <c r="F215" s="2">
        <f>SUMIFS(VI_Debitos!$V:$V,VI_Debitos!$H:$H,$C215,VI_Debitos!$T:$T,$D215,VI_Debitos!$R:$R,LEFT(PAGADO!F$1,4),VI_Debitos!$Q:$Q,RIGHT(F$1,2))</f>
        <v>0</v>
      </c>
      <c r="G215" s="2">
        <f>SUMIFS(VI_Debitos!$V:$V,VI_Debitos!$H:$H,$C215,VI_Debitos!$T:$T,$D215,VI_Debitos!$R:$R,LEFT(PAGADO!G$1,4),VI_Debitos!$Q:$Q,RIGHT(G$1,2))</f>
        <v>0</v>
      </c>
      <c r="H215" s="2">
        <f>SUMIFS(VI_Debitos!$V:$V,VI_Debitos!$H:$H,$C215,VI_Debitos!$T:$T,$D215,VI_Debitos!$R:$R,LEFT(PAGADO!H$1,4),VI_Debitos!$Q:$Q,RIGHT(H$1,2))</f>
        <v>0</v>
      </c>
      <c r="I215" s="2">
        <f>SUMIFS(VI_Debitos!$V:$V,VI_Debitos!$H:$H,$C215,VI_Debitos!$T:$T,$D215,VI_Debitos!$R:$R,LEFT(PAGADO!I$1,4),VI_Debitos!$Q:$Q,RIGHT(I$1,2))</f>
        <v>0</v>
      </c>
      <c r="J215" s="2">
        <f>SUMIFS(VI_Debitos!$V:$V,VI_Debitos!$H:$H,$C215,VI_Debitos!$T:$T,$D215,VI_Debitos!$R:$R,LEFT(PAGADO!J$1,4),VI_Debitos!$Q:$Q,RIGHT(J$1,2))</f>
        <v>0</v>
      </c>
      <c r="K215" s="2">
        <f>SUMIFS(VI_Debitos!$V:$V,VI_Debitos!$H:$H,$C215,VI_Debitos!$T:$T,$D215,VI_Debitos!$R:$R,LEFT(PAGADO!K$1,4),VI_Debitos!$Q:$Q,RIGHT(K$1,2))</f>
        <v>0</v>
      </c>
      <c r="L215" s="2">
        <f>SUMIFS(VI_Debitos!$V:$V,VI_Debitos!$H:$H,$C215,VI_Debitos!$T:$T,$D215,VI_Debitos!$R:$R,LEFT(PAGADO!L$1,4),VI_Debitos!$Q:$Q,RIGHT(L$1,2))</f>
        <v>0</v>
      </c>
      <c r="M215" s="2">
        <f>SUMIFS(VI_Debitos!$V:$V,VI_Debitos!$H:$H,$C215,VI_Debitos!$T:$T,$D215,VI_Debitos!$R:$R,LEFT(PAGADO!M$1,4),VI_Debitos!$Q:$Q,RIGHT(M$1,2))</f>
        <v>0</v>
      </c>
      <c r="N215" s="2">
        <f>SUMIFS(VI_Debitos!$V:$V,VI_Debitos!$H:$H,$C215,VI_Debitos!$T:$T,$D215,VI_Debitos!$R:$R,LEFT(PAGADO!N$1,4),VI_Debitos!$Q:$Q,RIGHT(N$1,2))</f>
        <v>0</v>
      </c>
      <c r="O215" s="2">
        <f>SUMIFS(VI_Debitos!$V:$V,VI_Debitos!$H:$H,$C215,VI_Debitos!$T:$T,$D215,VI_Debitos!$R:$R,LEFT(PAGADO!O$1,4),VI_Debitos!$Q:$Q,RIGHT(O$1,2))</f>
        <v>0</v>
      </c>
      <c r="P215" s="2">
        <f>SUMIFS(VI_Debitos!$V:$V,VI_Debitos!$H:$H,$C215,VI_Debitos!$T:$T,$D215,VI_Debitos!$R:$R,LEFT(PAGADO!P$1,4),VI_Debitos!$Q:$Q,RIGHT(P$1,2))</f>
        <v>0</v>
      </c>
      <c r="Q215" s="2">
        <f>SUMIFS(VI_Debitos!$V:$V,VI_Debitos!$H:$H,$C215,VI_Debitos!$T:$T,$D215,VI_Debitos!$R:$R,LEFT(PAGADO!Q$1,4),VI_Debitos!$Q:$Q,RIGHT(Q$1,2))</f>
        <v>0</v>
      </c>
      <c r="R215" s="2">
        <f t="shared" si="3"/>
        <v>0</v>
      </c>
    </row>
    <row r="216" spans="6:18">
      <c r="F216" s="2">
        <f>SUMIFS(VI_Debitos!$V:$V,VI_Debitos!$H:$H,$C216,VI_Debitos!$T:$T,$D216,VI_Debitos!$R:$R,LEFT(PAGADO!F$1,4),VI_Debitos!$Q:$Q,RIGHT(F$1,2))</f>
        <v>0</v>
      </c>
      <c r="G216" s="2">
        <f>SUMIFS(VI_Debitos!$V:$V,VI_Debitos!$H:$H,$C216,VI_Debitos!$T:$T,$D216,VI_Debitos!$R:$R,LEFT(PAGADO!G$1,4),VI_Debitos!$Q:$Q,RIGHT(G$1,2))</f>
        <v>0</v>
      </c>
      <c r="H216" s="2">
        <f>SUMIFS(VI_Debitos!$V:$V,VI_Debitos!$H:$H,$C216,VI_Debitos!$T:$T,$D216,VI_Debitos!$R:$R,LEFT(PAGADO!H$1,4),VI_Debitos!$Q:$Q,RIGHT(H$1,2))</f>
        <v>0</v>
      </c>
      <c r="I216" s="2">
        <f>SUMIFS(VI_Debitos!$V:$V,VI_Debitos!$H:$H,$C216,VI_Debitos!$T:$T,$D216,VI_Debitos!$R:$R,LEFT(PAGADO!I$1,4),VI_Debitos!$Q:$Q,RIGHT(I$1,2))</f>
        <v>0</v>
      </c>
      <c r="J216" s="2">
        <f>SUMIFS(VI_Debitos!$V:$V,VI_Debitos!$H:$H,$C216,VI_Debitos!$T:$T,$D216,VI_Debitos!$R:$R,LEFT(PAGADO!J$1,4),VI_Debitos!$Q:$Q,RIGHT(J$1,2))</f>
        <v>0</v>
      </c>
      <c r="K216" s="2">
        <f>SUMIFS(VI_Debitos!$V:$V,VI_Debitos!$H:$H,$C216,VI_Debitos!$T:$T,$D216,VI_Debitos!$R:$R,LEFT(PAGADO!K$1,4),VI_Debitos!$Q:$Q,RIGHT(K$1,2))</f>
        <v>0</v>
      </c>
      <c r="L216" s="2">
        <f>SUMIFS(VI_Debitos!$V:$V,VI_Debitos!$H:$H,$C216,VI_Debitos!$T:$T,$D216,VI_Debitos!$R:$R,LEFT(PAGADO!L$1,4),VI_Debitos!$Q:$Q,RIGHT(L$1,2))</f>
        <v>0</v>
      </c>
      <c r="M216" s="2">
        <f>SUMIFS(VI_Debitos!$V:$V,VI_Debitos!$H:$H,$C216,VI_Debitos!$T:$T,$D216,VI_Debitos!$R:$R,LEFT(PAGADO!M$1,4),VI_Debitos!$Q:$Q,RIGHT(M$1,2))</f>
        <v>0</v>
      </c>
      <c r="N216" s="2">
        <f>SUMIFS(VI_Debitos!$V:$V,VI_Debitos!$H:$H,$C216,VI_Debitos!$T:$T,$D216,VI_Debitos!$R:$R,LEFT(PAGADO!N$1,4),VI_Debitos!$Q:$Q,RIGHT(N$1,2))</f>
        <v>0</v>
      </c>
      <c r="O216" s="2">
        <f>SUMIFS(VI_Debitos!$V:$V,VI_Debitos!$H:$H,$C216,VI_Debitos!$T:$T,$D216,VI_Debitos!$R:$R,LEFT(PAGADO!O$1,4),VI_Debitos!$Q:$Q,RIGHT(O$1,2))</f>
        <v>0</v>
      </c>
      <c r="P216" s="2">
        <f>SUMIFS(VI_Debitos!$V:$V,VI_Debitos!$H:$H,$C216,VI_Debitos!$T:$T,$D216,VI_Debitos!$R:$R,LEFT(PAGADO!P$1,4),VI_Debitos!$Q:$Q,RIGHT(P$1,2))</f>
        <v>0</v>
      </c>
      <c r="Q216" s="2">
        <f>SUMIFS(VI_Debitos!$V:$V,VI_Debitos!$H:$H,$C216,VI_Debitos!$T:$T,$D216,VI_Debitos!$R:$R,LEFT(PAGADO!Q$1,4),VI_Debitos!$Q:$Q,RIGHT(Q$1,2))</f>
        <v>0</v>
      </c>
      <c r="R216" s="2">
        <f t="shared" si="3"/>
        <v>0</v>
      </c>
    </row>
    <row r="217" spans="6:18">
      <c r="F217" s="2">
        <f>SUMIFS(VI_Debitos!$V:$V,VI_Debitos!$H:$H,$C217,VI_Debitos!$T:$T,$D217,VI_Debitos!$R:$R,LEFT(PAGADO!F$1,4),VI_Debitos!$Q:$Q,RIGHT(F$1,2))</f>
        <v>0</v>
      </c>
      <c r="G217" s="2">
        <f>SUMIFS(VI_Debitos!$V:$V,VI_Debitos!$H:$H,$C217,VI_Debitos!$T:$T,$D217,VI_Debitos!$R:$R,LEFT(PAGADO!G$1,4),VI_Debitos!$Q:$Q,RIGHT(G$1,2))</f>
        <v>0</v>
      </c>
      <c r="H217" s="2">
        <f>SUMIFS(VI_Debitos!$V:$V,VI_Debitos!$H:$H,$C217,VI_Debitos!$T:$T,$D217,VI_Debitos!$R:$R,LEFT(PAGADO!H$1,4),VI_Debitos!$Q:$Q,RIGHT(H$1,2))</f>
        <v>0</v>
      </c>
      <c r="I217" s="2">
        <f>SUMIFS(VI_Debitos!$V:$V,VI_Debitos!$H:$H,$C217,VI_Debitos!$T:$T,$D217,VI_Debitos!$R:$R,LEFT(PAGADO!I$1,4),VI_Debitos!$Q:$Q,RIGHT(I$1,2))</f>
        <v>0</v>
      </c>
      <c r="J217" s="2">
        <f>SUMIFS(VI_Debitos!$V:$V,VI_Debitos!$H:$H,$C217,VI_Debitos!$T:$T,$D217,VI_Debitos!$R:$R,LEFT(PAGADO!J$1,4),VI_Debitos!$Q:$Q,RIGHT(J$1,2))</f>
        <v>0</v>
      </c>
      <c r="K217" s="2">
        <f>SUMIFS(VI_Debitos!$V:$V,VI_Debitos!$H:$H,$C217,VI_Debitos!$T:$T,$D217,VI_Debitos!$R:$R,LEFT(PAGADO!K$1,4),VI_Debitos!$Q:$Q,RIGHT(K$1,2))</f>
        <v>0</v>
      </c>
      <c r="L217" s="2">
        <f>SUMIFS(VI_Debitos!$V:$V,VI_Debitos!$H:$H,$C217,VI_Debitos!$T:$T,$D217,VI_Debitos!$R:$R,LEFT(PAGADO!L$1,4),VI_Debitos!$Q:$Q,RIGHT(L$1,2))</f>
        <v>0</v>
      </c>
      <c r="M217" s="2">
        <f>SUMIFS(VI_Debitos!$V:$V,VI_Debitos!$H:$H,$C217,VI_Debitos!$T:$T,$D217,VI_Debitos!$R:$R,LEFT(PAGADO!M$1,4),VI_Debitos!$Q:$Q,RIGHT(M$1,2))</f>
        <v>0</v>
      </c>
      <c r="N217" s="2">
        <f>SUMIFS(VI_Debitos!$V:$V,VI_Debitos!$H:$H,$C217,VI_Debitos!$T:$T,$D217,VI_Debitos!$R:$R,LEFT(PAGADO!N$1,4),VI_Debitos!$Q:$Q,RIGHT(N$1,2))</f>
        <v>0</v>
      </c>
      <c r="O217" s="2">
        <f>SUMIFS(VI_Debitos!$V:$V,VI_Debitos!$H:$H,$C217,VI_Debitos!$T:$T,$D217,VI_Debitos!$R:$R,LEFT(PAGADO!O$1,4),VI_Debitos!$Q:$Q,RIGHT(O$1,2))</f>
        <v>0</v>
      </c>
      <c r="P217" s="2">
        <f>SUMIFS(VI_Debitos!$V:$V,VI_Debitos!$H:$H,$C217,VI_Debitos!$T:$T,$D217,VI_Debitos!$R:$R,LEFT(PAGADO!P$1,4),VI_Debitos!$Q:$Q,RIGHT(P$1,2))</f>
        <v>0</v>
      </c>
      <c r="Q217" s="2">
        <f>SUMIFS(VI_Debitos!$V:$V,VI_Debitos!$H:$H,$C217,VI_Debitos!$T:$T,$D217,VI_Debitos!$R:$R,LEFT(PAGADO!Q$1,4),VI_Debitos!$Q:$Q,RIGHT(Q$1,2))</f>
        <v>0</v>
      </c>
      <c r="R217" s="2">
        <f t="shared" si="3"/>
        <v>0</v>
      </c>
    </row>
    <row r="218" spans="6:18">
      <c r="F218" s="2">
        <f>SUMIFS(VI_Debitos!$V:$V,VI_Debitos!$H:$H,$C218,VI_Debitos!$T:$T,$D218,VI_Debitos!$R:$R,LEFT(PAGADO!F$1,4),VI_Debitos!$Q:$Q,RIGHT(F$1,2))</f>
        <v>0</v>
      </c>
      <c r="G218" s="2">
        <f>SUMIFS(VI_Debitos!$V:$V,VI_Debitos!$H:$H,$C218,VI_Debitos!$T:$T,$D218,VI_Debitos!$R:$R,LEFT(PAGADO!G$1,4),VI_Debitos!$Q:$Q,RIGHT(G$1,2))</f>
        <v>0</v>
      </c>
      <c r="H218" s="2">
        <f>SUMIFS(VI_Debitos!$V:$V,VI_Debitos!$H:$H,$C218,VI_Debitos!$T:$T,$D218,VI_Debitos!$R:$R,LEFT(PAGADO!H$1,4),VI_Debitos!$Q:$Q,RIGHT(H$1,2))</f>
        <v>0</v>
      </c>
      <c r="I218" s="2">
        <f>SUMIFS(VI_Debitos!$V:$V,VI_Debitos!$H:$H,$C218,VI_Debitos!$T:$T,$D218,VI_Debitos!$R:$R,LEFT(PAGADO!I$1,4),VI_Debitos!$Q:$Q,RIGHT(I$1,2))</f>
        <v>0</v>
      </c>
      <c r="J218" s="2">
        <f>SUMIFS(VI_Debitos!$V:$V,VI_Debitos!$H:$H,$C218,VI_Debitos!$T:$T,$D218,VI_Debitos!$R:$R,LEFT(PAGADO!J$1,4),VI_Debitos!$Q:$Q,RIGHT(J$1,2))</f>
        <v>0</v>
      </c>
      <c r="K218" s="2">
        <f>SUMIFS(VI_Debitos!$V:$V,VI_Debitos!$H:$H,$C218,VI_Debitos!$T:$T,$D218,VI_Debitos!$R:$R,LEFT(PAGADO!K$1,4),VI_Debitos!$Q:$Q,RIGHT(K$1,2))</f>
        <v>0</v>
      </c>
      <c r="L218" s="2">
        <f>SUMIFS(VI_Debitos!$V:$V,VI_Debitos!$H:$H,$C218,VI_Debitos!$T:$T,$D218,VI_Debitos!$R:$R,LEFT(PAGADO!L$1,4),VI_Debitos!$Q:$Q,RIGHT(L$1,2))</f>
        <v>0</v>
      </c>
      <c r="M218" s="2">
        <f>SUMIFS(VI_Debitos!$V:$V,VI_Debitos!$H:$H,$C218,VI_Debitos!$T:$T,$D218,VI_Debitos!$R:$R,LEFT(PAGADO!M$1,4),VI_Debitos!$Q:$Q,RIGHT(M$1,2))</f>
        <v>0</v>
      </c>
      <c r="N218" s="2">
        <f>SUMIFS(VI_Debitos!$V:$V,VI_Debitos!$H:$H,$C218,VI_Debitos!$T:$T,$D218,VI_Debitos!$R:$R,LEFT(PAGADO!N$1,4),VI_Debitos!$Q:$Q,RIGHT(N$1,2))</f>
        <v>0</v>
      </c>
      <c r="O218" s="2">
        <f>SUMIFS(VI_Debitos!$V:$V,VI_Debitos!$H:$H,$C218,VI_Debitos!$T:$T,$D218,VI_Debitos!$R:$R,LEFT(PAGADO!O$1,4),VI_Debitos!$Q:$Q,RIGHT(O$1,2))</f>
        <v>0</v>
      </c>
      <c r="P218" s="2">
        <f>SUMIFS(VI_Debitos!$V:$V,VI_Debitos!$H:$H,$C218,VI_Debitos!$T:$T,$D218,VI_Debitos!$R:$R,LEFT(PAGADO!P$1,4),VI_Debitos!$Q:$Q,RIGHT(P$1,2))</f>
        <v>0</v>
      </c>
      <c r="Q218" s="2">
        <f>SUMIFS(VI_Debitos!$V:$V,VI_Debitos!$H:$H,$C218,VI_Debitos!$T:$T,$D218,VI_Debitos!$R:$R,LEFT(PAGADO!Q$1,4),VI_Debitos!$Q:$Q,RIGHT(Q$1,2))</f>
        <v>0</v>
      </c>
      <c r="R218" s="2">
        <f t="shared" si="3"/>
        <v>0</v>
      </c>
    </row>
    <row r="219" spans="6:18">
      <c r="F219" s="2">
        <f>SUMIFS(VI_Debitos!$V:$V,VI_Debitos!$H:$H,$C219,VI_Debitos!$T:$T,$D219,VI_Debitos!$R:$R,LEFT(PAGADO!F$1,4),VI_Debitos!$Q:$Q,RIGHT(F$1,2))</f>
        <v>0</v>
      </c>
      <c r="G219" s="2">
        <f>SUMIFS(VI_Debitos!$V:$V,VI_Debitos!$H:$H,$C219,VI_Debitos!$T:$T,$D219,VI_Debitos!$R:$R,LEFT(PAGADO!G$1,4),VI_Debitos!$Q:$Q,RIGHT(G$1,2))</f>
        <v>0</v>
      </c>
      <c r="H219" s="2">
        <f>SUMIFS(VI_Debitos!$V:$V,VI_Debitos!$H:$H,$C219,VI_Debitos!$T:$T,$D219,VI_Debitos!$R:$R,LEFT(PAGADO!H$1,4),VI_Debitos!$Q:$Q,RIGHT(H$1,2))</f>
        <v>0</v>
      </c>
      <c r="I219" s="2">
        <f>SUMIFS(VI_Debitos!$V:$V,VI_Debitos!$H:$H,$C219,VI_Debitos!$T:$T,$D219,VI_Debitos!$R:$R,LEFT(PAGADO!I$1,4),VI_Debitos!$Q:$Q,RIGHT(I$1,2))</f>
        <v>0</v>
      </c>
      <c r="J219" s="2">
        <f>SUMIFS(VI_Debitos!$V:$V,VI_Debitos!$H:$H,$C219,VI_Debitos!$T:$T,$D219,VI_Debitos!$R:$R,LEFT(PAGADO!J$1,4),VI_Debitos!$Q:$Q,RIGHT(J$1,2))</f>
        <v>0</v>
      </c>
      <c r="K219" s="2">
        <f>SUMIFS(VI_Debitos!$V:$V,VI_Debitos!$H:$H,$C219,VI_Debitos!$T:$T,$D219,VI_Debitos!$R:$R,LEFT(PAGADO!K$1,4),VI_Debitos!$Q:$Q,RIGHT(K$1,2))</f>
        <v>0</v>
      </c>
      <c r="L219" s="2">
        <f>SUMIFS(VI_Debitos!$V:$V,VI_Debitos!$H:$H,$C219,VI_Debitos!$T:$T,$D219,VI_Debitos!$R:$R,LEFT(PAGADO!L$1,4),VI_Debitos!$Q:$Q,RIGHT(L$1,2))</f>
        <v>0</v>
      </c>
      <c r="M219" s="2">
        <f>SUMIFS(VI_Debitos!$V:$V,VI_Debitos!$H:$H,$C219,VI_Debitos!$T:$T,$D219,VI_Debitos!$R:$R,LEFT(PAGADO!M$1,4),VI_Debitos!$Q:$Q,RIGHT(M$1,2))</f>
        <v>0</v>
      </c>
      <c r="N219" s="2">
        <f>SUMIFS(VI_Debitos!$V:$V,VI_Debitos!$H:$H,$C219,VI_Debitos!$T:$T,$D219,VI_Debitos!$R:$R,LEFT(PAGADO!N$1,4),VI_Debitos!$Q:$Q,RIGHT(N$1,2))</f>
        <v>0</v>
      </c>
      <c r="O219" s="2">
        <f>SUMIFS(VI_Debitos!$V:$V,VI_Debitos!$H:$H,$C219,VI_Debitos!$T:$T,$D219,VI_Debitos!$R:$R,LEFT(PAGADO!O$1,4),VI_Debitos!$Q:$Q,RIGHT(O$1,2))</f>
        <v>0</v>
      </c>
      <c r="P219" s="2">
        <f>SUMIFS(VI_Debitos!$V:$V,VI_Debitos!$H:$H,$C219,VI_Debitos!$T:$T,$D219,VI_Debitos!$R:$R,LEFT(PAGADO!P$1,4),VI_Debitos!$Q:$Q,RIGHT(P$1,2))</f>
        <v>0</v>
      </c>
      <c r="Q219" s="2">
        <f>SUMIFS(VI_Debitos!$V:$V,VI_Debitos!$H:$H,$C219,VI_Debitos!$T:$T,$D219,VI_Debitos!$R:$R,LEFT(PAGADO!Q$1,4),VI_Debitos!$Q:$Q,RIGHT(Q$1,2))</f>
        <v>0</v>
      </c>
      <c r="R219" s="2">
        <f t="shared" si="3"/>
        <v>0</v>
      </c>
    </row>
    <row r="220" spans="6:18">
      <c r="F220" s="2">
        <f>SUMIFS(VI_Debitos!$V:$V,VI_Debitos!$H:$H,$C220,VI_Debitos!$T:$T,$D220,VI_Debitos!$R:$R,LEFT(PAGADO!F$1,4),VI_Debitos!$Q:$Q,RIGHT(F$1,2))</f>
        <v>0</v>
      </c>
      <c r="G220" s="2">
        <f>SUMIFS(VI_Debitos!$V:$V,VI_Debitos!$H:$H,$C220,VI_Debitos!$T:$T,$D220,VI_Debitos!$R:$R,LEFT(PAGADO!G$1,4),VI_Debitos!$Q:$Q,RIGHT(G$1,2))</f>
        <v>0</v>
      </c>
      <c r="H220" s="2">
        <f>SUMIFS(VI_Debitos!$V:$V,VI_Debitos!$H:$H,$C220,VI_Debitos!$T:$T,$D220,VI_Debitos!$R:$R,LEFT(PAGADO!H$1,4),VI_Debitos!$Q:$Q,RIGHT(H$1,2))</f>
        <v>0</v>
      </c>
      <c r="I220" s="2">
        <f>SUMIFS(VI_Debitos!$V:$V,VI_Debitos!$H:$H,$C220,VI_Debitos!$T:$T,$D220,VI_Debitos!$R:$R,LEFT(PAGADO!I$1,4),VI_Debitos!$Q:$Q,RIGHT(I$1,2))</f>
        <v>0</v>
      </c>
      <c r="J220" s="2">
        <f>SUMIFS(VI_Debitos!$V:$V,VI_Debitos!$H:$H,$C220,VI_Debitos!$T:$T,$D220,VI_Debitos!$R:$R,LEFT(PAGADO!J$1,4),VI_Debitos!$Q:$Q,RIGHT(J$1,2))</f>
        <v>0</v>
      </c>
      <c r="K220" s="2">
        <f>SUMIFS(VI_Debitos!$V:$V,VI_Debitos!$H:$H,$C220,VI_Debitos!$T:$T,$D220,VI_Debitos!$R:$R,LEFT(PAGADO!K$1,4),VI_Debitos!$Q:$Q,RIGHT(K$1,2))</f>
        <v>0</v>
      </c>
      <c r="L220" s="2">
        <f>SUMIFS(VI_Debitos!$V:$V,VI_Debitos!$H:$H,$C220,VI_Debitos!$T:$T,$D220,VI_Debitos!$R:$R,LEFT(PAGADO!L$1,4),VI_Debitos!$Q:$Q,RIGHT(L$1,2))</f>
        <v>0</v>
      </c>
      <c r="M220" s="2">
        <f>SUMIFS(VI_Debitos!$V:$V,VI_Debitos!$H:$H,$C220,VI_Debitos!$T:$T,$D220,VI_Debitos!$R:$R,LEFT(PAGADO!M$1,4),VI_Debitos!$Q:$Q,RIGHT(M$1,2))</f>
        <v>0</v>
      </c>
      <c r="N220" s="2">
        <f>SUMIFS(VI_Debitos!$V:$V,VI_Debitos!$H:$H,$C220,VI_Debitos!$T:$T,$D220,VI_Debitos!$R:$R,LEFT(PAGADO!N$1,4),VI_Debitos!$Q:$Q,RIGHT(N$1,2))</f>
        <v>0</v>
      </c>
      <c r="O220" s="2">
        <f>SUMIFS(VI_Debitos!$V:$V,VI_Debitos!$H:$H,$C220,VI_Debitos!$T:$T,$D220,VI_Debitos!$R:$R,LEFT(PAGADO!O$1,4),VI_Debitos!$Q:$Q,RIGHT(O$1,2))</f>
        <v>0</v>
      </c>
      <c r="P220" s="2">
        <f>SUMIFS(VI_Debitos!$V:$V,VI_Debitos!$H:$H,$C220,VI_Debitos!$T:$T,$D220,VI_Debitos!$R:$R,LEFT(PAGADO!P$1,4),VI_Debitos!$Q:$Q,RIGHT(P$1,2))</f>
        <v>0</v>
      </c>
      <c r="Q220" s="2">
        <f>SUMIFS(VI_Debitos!$V:$V,VI_Debitos!$H:$H,$C220,VI_Debitos!$T:$T,$D220,VI_Debitos!$R:$R,LEFT(PAGADO!Q$1,4),VI_Debitos!$Q:$Q,RIGHT(Q$1,2))</f>
        <v>0</v>
      </c>
      <c r="R220" s="2">
        <f t="shared" si="3"/>
        <v>0</v>
      </c>
    </row>
    <row r="221" spans="6:18">
      <c r="F221" s="2">
        <f>SUMIFS(VI_Debitos!$V:$V,VI_Debitos!$H:$H,$C221,VI_Debitos!$T:$T,$D221,VI_Debitos!$R:$R,LEFT(PAGADO!F$1,4),VI_Debitos!$Q:$Q,RIGHT(F$1,2))</f>
        <v>0</v>
      </c>
      <c r="G221" s="2">
        <f>SUMIFS(VI_Debitos!$V:$V,VI_Debitos!$H:$H,$C221,VI_Debitos!$T:$T,$D221,VI_Debitos!$R:$R,LEFT(PAGADO!G$1,4),VI_Debitos!$Q:$Q,RIGHT(G$1,2))</f>
        <v>0</v>
      </c>
      <c r="H221" s="2">
        <f>SUMIFS(VI_Debitos!$V:$V,VI_Debitos!$H:$H,$C221,VI_Debitos!$T:$T,$D221,VI_Debitos!$R:$R,LEFT(PAGADO!H$1,4),VI_Debitos!$Q:$Q,RIGHT(H$1,2))</f>
        <v>0</v>
      </c>
      <c r="I221" s="2">
        <f>SUMIFS(VI_Debitos!$V:$V,VI_Debitos!$H:$H,$C221,VI_Debitos!$T:$T,$D221,VI_Debitos!$R:$R,LEFT(PAGADO!I$1,4),VI_Debitos!$Q:$Q,RIGHT(I$1,2))</f>
        <v>0</v>
      </c>
      <c r="J221" s="2">
        <f>SUMIFS(VI_Debitos!$V:$V,VI_Debitos!$H:$H,$C221,VI_Debitos!$T:$T,$D221,VI_Debitos!$R:$R,LEFT(PAGADO!J$1,4),VI_Debitos!$Q:$Q,RIGHT(J$1,2))</f>
        <v>0</v>
      </c>
      <c r="K221" s="2">
        <f>SUMIFS(VI_Debitos!$V:$V,VI_Debitos!$H:$H,$C221,VI_Debitos!$T:$T,$D221,VI_Debitos!$R:$R,LEFT(PAGADO!K$1,4),VI_Debitos!$Q:$Q,RIGHT(K$1,2))</f>
        <v>0</v>
      </c>
      <c r="L221" s="2">
        <f>SUMIFS(VI_Debitos!$V:$V,VI_Debitos!$H:$H,$C221,VI_Debitos!$T:$T,$D221,VI_Debitos!$R:$R,LEFT(PAGADO!L$1,4),VI_Debitos!$Q:$Q,RIGHT(L$1,2))</f>
        <v>0</v>
      </c>
      <c r="M221" s="2">
        <f>SUMIFS(VI_Debitos!$V:$V,VI_Debitos!$H:$H,$C221,VI_Debitos!$T:$T,$D221,VI_Debitos!$R:$R,LEFT(PAGADO!M$1,4),VI_Debitos!$Q:$Q,RIGHT(M$1,2))</f>
        <v>0</v>
      </c>
      <c r="N221" s="2">
        <f>SUMIFS(VI_Debitos!$V:$V,VI_Debitos!$H:$H,$C221,VI_Debitos!$T:$T,$D221,VI_Debitos!$R:$R,LEFT(PAGADO!N$1,4),VI_Debitos!$Q:$Q,RIGHT(N$1,2))</f>
        <v>0</v>
      </c>
      <c r="O221" s="2">
        <f>SUMIFS(VI_Debitos!$V:$V,VI_Debitos!$H:$H,$C221,VI_Debitos!$T:$T,$D221,VI_Debitos!$R:$R,LEFT(PAGADO!O$1,4),VI_Debitos!$Q:$Q,RIGHT(O$1,2))</f>
        <v>0</v>
      </c>
      <c r="P221" s="2">
        <f>SUMIFS(VI_Debitos!$V:$V,VI_Debitos!$H:$H,$C221,VI_Debitos!$T:$T,$D221,VI_Debitos!$R:$R,LEFT(PAGADO!P$1,4),VI_Debitos!$Q:$Q,RIGHT(P$1,2))</f>
        <v>0</v>
      </c>
      <c r="Q221" s="2">
        <f>SUMIFS(VI_Debitos!$V:$V,VI_Debitos!$H:$H,$C221,VI_Debitos!$T:$T,$D221,VI_Debitos!$R:$R,LEFT(PAGADO!Q$1,4),VI_Debitos!$Q:$Q,RIGHT(Q$1,2))</f>
        <v>0</v>
      </c>
      <c r="R221" s="2">
        <f t="shared" si="3"/>
        <v>0</v>
      </c>
    </row>
    <row r="222" spans="6:18">
      <c r="F222" s="2">
        <f>SUMIFS(VI_Debitos!$V:$V,VI_Debitos!$H:$H,$C222,VI_Debitos!$T:$T,$D222,VI_Debitos!$R:$R,LEFT(PAGADO!F$1,4),VI_Debitos!$Q:$Q,RIGHT(F$1,2))</f>
        <v>0</v>
      </c>
      <c r="G222" s="2">
        <f>SUMIFS(VI_Debitos!$V:$V,VI_Debitos!$H:$H,$C222,VI_Debitos!$T:$T,$D222,VI_Debitos!$R:$R,LEFT(PAGADO!G$1,4),VI_Debitos!$Q:$Q,RIGHT(G$1,2))</f>
        <v>0</v>
      </c>
      <c r="H222" s="2">
        <f>SUMIFS(VI_Debitos!$V:$V,VI_Debitos!$H:$H,$C222,VI_Debitos!$T:$T,$D222,VI_Debitos!$R:$R,LEFT(PAGADO!H$1,4),VI_Debitos!$Q:$Q,RIGHT(H$1,2))</f>
        <v>0</v>
      </c>
      <c r="I222" s="2">
        <f>SUMIFS(VI_Debitos!$V:$V,VI_Debitos!$H:$H,$C222,VI_Debitos!$T:$T,$D222,VI_Debitos!$R:$R,LEFT(PAGADO!I$1,4),VI_Debitos!$Q:$Q,RIGHT(I$1,2))</f>
        <v>0</v>
      </c>
      <c r="J222" s="2">
        <f>SUMIFS(VI_Debitos!$V:$V,VI_Debitos!$H:$H,$C222,VI_Debitos!$T:$T,$D222,VI_Debitos!$R:$R,LEFT(PAGADO!J$1,4),VI_Debitos!$Q:$Q,RIGHT(J$1,2))</f>
        <v>0</v>
      </c>
      <c r="K222" s="2">
        <f>SUMIFS(VI_Debitos!$V:$V,VI_Debitos!$H:$H,$C222,VI_Debitos!$T:$T,$D222,VI_Debitos!$R:$R,LEFT(PAGADO!K$1,4),VI_Debitos!$Q:$Q,RIGHT(K$1,2))</f>
        <v>0</v>
      </c>
      <c r="L222" s="2">
        <f>SUMIFS(VI_Debitos!$V:$V,VI_Debitos!$H:$H,$C222,VI_Debitos!$T:$T,$D222,VI_Debitos!$R:$R,LEFT(PAGADO!L$1,4),VI_Debitos!$Q:$Q,RIGHT(L$1,2))</f>
        <v>0</v>
      </c>
      <c r="M222" s="2">
        <f>SUMIFS(VI_Debitos!$V:$V,VI_Debitos!$H:$H,$C222,VI_Debitos!$T:$T,$D222,VI_Debitos!$R:$R,LEFT(PAGADO!M$1,4),VI_Debitos!$Q:$Q,RIGHT(M$1,2))</f>
        <v>0</v>
      </c>
      <c r="N222" s="2">
        <f>SUMIFS(VI_Debitos!$V:$V,VI_Debitos!$H:$H,$C222,VI_Debitos!$T:$T,$D222,VI_Debitos!$R:$R,LEFT(PAGADO!N$1,4),VI_Debitos!$Q:$Q,RIGHT(N$1,2))</f>
        <v>0</v>
      </c>
      <c r="O222" s="2">
        <f>SUMIFS(VI_Debitos!$V:$V,VI_Debitos!$H:$H,$C222,VI_Debitos!$T:$T,$D222,VI_Debitos!$R:$R,LEFT(PAGADO!O$1,4),VI_Debitos!$Q:$Q,RIGHT(O$1,2))</f>
        <v>0</v>
      </c>
      <c r="P222" s="2">
        <f>SUMIFS(VI_Debitos!$V:$V,VI_Debitos!$H:$H,$C222,VI_Debitos!$T:$T,$D222,VI_Debitos!$R:$R,LEFT(PAGADO!P$1,4),VI_Debitos!$Q:$Q,RIGHT(P$1,2))</f>
        <v>0</v>
      </c>
      <c r="Q222" s="2">
        <f>SUMIFS(VI_Debitos!$V:$V,VI_Debitos!$H:$H,$C222,VI_Debitos!$T:$T,$D222,VI_Debitos!$R:$R,LEFT(PAGADO!Q$1,4),VI_Debitos!$Q:$Q,RIGHT(Q$1,2))</f>
        <v>0</v>
      </c>
      <c r="R222" s="2">
        <f t="shared" si="3"/>
        <v>0</v>
      </c>
    </row>
    <row r="223" spans="6:18">
      <c r="F223" s="2">
        <f>SUMIFS(VI_Debitos!$V:$V,VI_Debitos!$H:$H,$C223,VI_Debitos!$T:$T,$D223,VI_Debitos!$R:$R,LEFT(PAGADO!F$1,4),VI_Debitos!$Q:$Q,RIGHT(F$1,2))</f>
        <v>0</v>
      </c>
      <c r="G223" s="2">
        <f>SUMIFS(VI_Debitos!$V:$V,VI_Debitos!$H:$H,$C223,VI_Debitos!$T:$T,$D223,VI_Debitos!$R:$R,LEFT(PAGADO!G$1,4),VI_Debitos!$Q:$Q,RIGHT(G$1,2))</f>
        <v>0</v>
      </c>
      <c r="H223" s="2">
        <f>SUMIFS(VI_Debitos!$V:$V,VI_Debitos!$H:$H,$C223,VI_Debitos!$T:$T,$D223,VI_Debitos!$R:$R,LEFT(PAGADO!H$1,4),VI_Debitos!$Q:$Q,RIGHT(H$1,2))</f>
        <v>0</v>
      </c>
      <c r="I223" s="2">
        <f>SUMIFS(VI_Debitos!$V:$V,VI_Debitos!$H:$H,$C223,VI_Debitos!$T:$T,$D223,VI_Debitos!$R:$R,LEFT(PAGADO!I$1,4),VI_Debitos!$Q:$Q,RIGHT(I$1,2))</f>
        <v>0</v>
      </c>
      <c r="J223" s="2">
        <f>SUMIFS(VI_Debitos!$V:$V,VI_Debitos!$H:$H,$C223,VI_Debitos!$T:$T,$D223,VI_Debitos!$R:$R,LEFT(PAGADO!J$1,4),VI_Debitos!$Q:$Q,RIGHT(J$1,2))</f>
        <v>0</v>
      </c>
      <c r="K223" s="2">
        <f>SUMIFS(VI_Debitos!$V:$V,VI_Debitos!$H:$H,$C223,VI_Debitos!$T:$T,$D223,VI_Debitos!$R:$R,LEFT(PAGADO!K$1,4),VI_Debitos!$Q:$Q,RIGHT(K$1,2))</f>
        <v>0</v>
      </c>
      <c r="L223" s="2">
        <f>SUMIFS(VI_Debitos!$V:$V,VI_Debitos!$H:$H,$C223,VI_Debitos!$T:$T,$D223,VI_Debitos!$R:$R,LEFT(PAGADO!L$1,4),VI_Debitos!$Q:$Q,RIGHT(L$1,2))</f>
        <v>0</v>
      </c>
      <c r="M223" s="2">
        <f>SUMIFS(VI_Debitos!$V:$V,VI_Debitos!$H:$H,$C223,VI_Debitos!$T:$T,$D223,VI_Debitos!$R:$R,LEFT(PAGADO!M$1,4),VI_Debitos!$Q:$Q,RIGHT(M$1,2))</f>
        <v>0</v>
      </c>
      <c r="N223" s="2">
        <f>SUMIFS(VI_Debitos!$V:$V,VI_Debitos!$H:$H,$C223,VI_Debitos!$T:$T,$D223,VI_Debitos!$R:$R,LEFT(PAGADO!N$1,4),VI_Debitos!$Q:$Q,RIGHT(N$1,2))</f>
        <v>0</v>
      </c>
      <c r="O223" s="2">
        <f>SUMIFS(VI_Debitos!$V:$V,VI_Debitos!$H:$H,$C223,VI_Debitos!$T:$T,$D223,VI_Debitos!$R:$R,LEFT(PAGADO!O$1,4),VI_Debitos!$Q:$Q,RIGHT(O$1,2))</f>
        <v>0</v>
      </c>
      <c r="P223" s="2">
        <f>SUMIFS(VI_Debitos!$V:$V,VI_Debitos!$H:$H,$C223,VI_Debitos!$T:$T,$D223,VI_Debitos!$R:$R,LEFT(PAGADO!P$1,4),VI_Debitos!$Q:$Q,RIGHT(P$1,2))</f>
        <v>0</v>
      </c>
      <c r="Q223" s="2">
        <f>SUMIFS(VI_Debitos!$V:$V,VI_Debitos!$H:$H,$C223,VI_Debitos!$T:$T,$D223,VI_Debitos!$R:$R,LEFT(PAGADO!Q$1,4),VI_Debitos!$Q:$Q,RIGHT(Q$1,2))</f>
        <v>0</v>
      </c>
      <c r="R223" s="2">
        <f t="shared" si="3"/>
        <v>0</v>
      </c>
    </row>
    <row r="224" spans="6:18">
      <c r="F224" s="2">
        <f>SUMIFS(VI_Debitos!$V:$V,VI_Debitos!$H:$H,$C224,VI_Debitos!$T:$T,$D224,VI_Debitos!$R:$R,LEFT(PAGADO!F$1,4),VI_Debitos!$Q:$Q,RIGHT(F$1,2))</f>
        <v>0</v>
      </c>
      <c r="G224" s="2">
        <f>SUMIFS(VI_Debitos!$V:$V,VI_Debitos!$H:$H,$C224,VI_Debitos!$T:$T,$D224,VI_Debitos!$R:$R,LEFT(PAGADO!G$1,4),VI_Debitos!$Q:$Q,RIGHT(G$1,2))</f>
        <v>0</v>
      </c>
      <c r="H224" s="2">
        <f>SUMIFS(VI_Debitos!$V:$V,VI_Debitos!$H:$H,$C224,VI_Debitos!$T:$T,$D224,VI_Debitos!$R:$R,LEFT(PAGADO!H$1,4),VI_Debitos!$Q:$Q,RIGHT(H$1,2))</f>
        <v>0</v>
      </c>
      <c r="I224" s="2">
        <f>SUMIFS(VI_Debitos!$V:$V,VI_Debitos!$H:$H,$C224,VI_Debitos!$T:$T,$D224,VI_Debitos!$R:$R,LEFT(PAGADO!I$1,4),VI_Debitos!$Q:$Q,RIGHT(I$1,2))</f>
        <v>0</v>
      </c>
      <c r="J224" s="2">
        <f>SUMIFS(VI_Debitos!$V:$V,VI_Debitos!$H:$H,$C224,VI_Debitos!$T:$T,$D224,VI_Debitos!$R:$R,LEFT(PAGADO!J$1,4),VI_Debitos!$Q:$Q,RIGHT(J$1,2))</f>
        <v>0</v>
      </c>
      <c r="K224" s="2">
        <f>SUMIFS(VI_Debitos!$V:$V,VI_Debitos!$H:$H,$C224,VI_Debitos!$T:$T,$D224,VI_Debitos!$R:$R,LEFT(PAGADO!K$1,4),VI_Debitos!$Q:$Q,RIGHT(K$1,2))</f>
        <v>0</v>
      </c>
      <c r="L224" s="2">
        <f>SUMIFS(VI_Debitos!$V:$V,VI_Debitos!$H:$H,$C224,VI_Debitos!$T:$T,$D224,VI_Debitos!$R:$R,LEFT(PAGADO!L$1,4),VI_Debitos!$Q:$Q,RIGHT(L$1,2))</f>
        <v>0</v>
      </c>
      <c r="M224" s="2">
        <f>SUMIFS(VI_Debitos!$V:$V,VI_Debitos!$H:$H,$C224,VI_Debitos!$T:$T,$D224,VI_Debitos!$R:$R,LEFT(PAGADO!M$1,4),VI_Debitos!$Q:$Q,RIGHT(M$1,2))</f>
        <v>0</v>
      </c>
      <c r="N224" s="2">
        <f>SUMIFS(VI_Debitos!$V:$V,VI_Debitos!$H:$H,$C224,VI_Debitos!$T:$T,$D224,VI_Debitos!$R:$R,LEFT(PAGADO!N$1,4),VI_Debitos!$Q:$Q,RIGHT(N$1,2))</f>
        <v>0</v>
      </c>
      <c r="O224" s="2">
        <f>SUMIFS(VI_Debitos!$V:$V,VI_Debitos!$H:$H,$C224,VI_Debitos!$T:$T,$D224,VI_Debitos!$R:$R,LEFT(PAGADO!O$1,4),VI_Debitos!$Q:$Q,RIGHT(O$1,2))</f>
        <v>0</v>
      </c>
      <c r="P224" s="2">
        <f>SUMIFS(VI_Debitos!$V:$V,VI_Debitos!$H:$H,$C224,VI_Debitos!$T:$T,$D224,VI_Debitos!$R:$R,LEFT(PAGADO!P$1,4),VI_Debitos!$Q:$Q,RIGHT(P$1,2))</f>
        <v>0</v>
      </c>
      <c r="Q224" s="2">
        <f>SUMIFS(VI_Debitos!$V:$V,VI_Debitos!$H:$H,$C224,VI_Debitos!$T:$T,$D224,VI_Debitos!$R:$R,LEFT(PAGADO!Q$1,4),VI_Debitos!$Q:$Q,RIGHT(Q$1,2))</f>
        <v>0</v>
      </c>
      <c r="R224" s="2">
        <f t="shared" si="3"/>
        <v>0</v>
      </c>
    </row>
    <row r="225" spans="6:18">
      <c r="F225" s="2">
        <f>SUMIFS(VI_Debitos!$V:$V,VI_Debitos!$H:$H,$C225,VI_Debitos!$T:$T,$D225,VI_Debitos!$R:$R,LEFT(PAGADO!F$1,4),VI_Debitos!$Q:$Q,RIGHT(F$1,2))</f>
        <v>0</v>
      </c>
      <c r="G225" s="2">
        <f>SUMIFS(VI_Debitos!$V:$V,VI_Debitos!$H:$H,$C225,VI_Debitos!$T:$T,$D225,VI_Debitos!$R:$R,LEFT(PAGADO!G$1,4),VI_Debitos!$Q:$Q,RIGHT(G$1,2))</f>
        <v>0</v>
      </c>
      <c r="H225" s="2">
        <f>SUMIFS(VI_Debitos!$V:$V,VI_Debitos!$H:$H,$C225,VI_Debitos!$T:$T,$D225,VI_Debitos!$R:$R,LEFT(PAGADO!H$1,4),VI_Debitos!$Q:$Q,RIGHT(H$1,2))</f>
        <v>0</v>
      </c>
      <c r="I225" s="2">
        <f>SUMIFS(VI_Debitos!$V:$V,VI_Debitos!$H:$H,$C225,VI_Debitos!$T:$T,$D225,VI_Debitos!$R:$R,LEFT(PAGADO!I$1,4),VI_Debitos!$Q:$Q,RIGHT(I$1,2))</f>
        <v>0</v>
      </c>
      <c r="J225" s="2">
        <f>SUMIFS(VI_Debitos!$V:$V,VI_Debitos!$H:$H,$C225,VI_Debitos!$T:$T,$D225,VI_Debitos!$R:$R,LEFT(PAGADO!J$1,4),VI_Debitos!$Q:$Q,RIGHT(J$1,2))</f>
        <v>0</v>
      </c>
      <c r="K225" s="2">
        <f>SUMIFS(VI_Debitos!$V:$V,VI_Debitos!$H:$H,$C225,VI_Debitos!$T:$T,$D225,VI_Debitos!$R:$R,LEFT(PAGADO!K$1,4),VI_Debitos!$Q:$Q,RIGHT(K$1,2))</f>
        <v>0</v>
      </c>
      <c r="L225" s="2">
        <f>SUMIFS(VI_Debitos!$V:$V,VI_Debitos!$H:$H,$C225,VI_Debitos!$T:$T,$D225,VI_Debitos!$R:$R,LEFT(PAGADO!L$1,4),VI_Debitos!$Q:$Q,RIGHT(L$1,2))</f>
        <v>0</v>
      </c>
      <c r="M225" s="2">
        <f>SUMIFS(VI_Debitos!$V:$V,VI_Debitos!$H:$H,$C225,VI_Debitos!$T:$T,$D225,VI_Debitos!$R:$R,LEFT(PAGADO!M$1,4),VI_Debitos!$Q:$Q,RIGHT(M$1,2))</f>
        <v>0</v>
      </c>
      <c r="N225" s="2">
        <f>SUMIFS(VI_Debitos!$V:$V,VI_Debitos!$H:$H,$C225,VI_Debitos!$T:$T,$D225,VI_Debitos!$R:$R,LEFT(PAGADO!N$1,4),VI_Debitos!$Q:$Q,RIGHT(N$1,2))</f>
        <v>0</v>
      </c>
      <c r="O225" s="2">
        <f>SUMIFS(VI_Debitos!$V:$V,VI_Debitos!$H:$H,$C225,VI_Debitos!$T:$T,$D225,VI_Debitos!$R:$R,LEFT(PAGADO!O$1,4),VI_Debitos!$Q:$Q,RIGHT(O$1,2))</f>
        <v>0</v>
      </c>
      <c r="P225" s="2">
        <f>SUMIFS(VI_Debitos!$V:$V,VI_Debitos!$H:$H,$C225,VI_Debitos!$T:$T,$D225,VI_Debitos!$R:$R,LEFT(PAGADO!P$1,4),VI_Debitos!$Q:$Q,RIGHT(P$1,2))</f>
        <v>0</v>
      </c>
      <c r="Q225" s="2">
        <f>SUMIFS(VI_Debitos!$V:$V,VI_Debitos!$H:$H,$C225,VI_Debitos!$T:$T,$D225,VI_Debitos!$R:$R,LEFT(PAGADO!Q$1,4),VI_Debitos!$Q:$Q,RIGHT(Q$1,2))</f>
        <v>0</v>
      </c>
      <c r="R225" s="2">
        <f t="shared" si="3"/>
        <v>0</v>
      </c>
    </row>
    <row r="226" spans="6:18">
      <c r="F226" s="2">
        <f>SUMIFS(VI_Debitos!$V:$V,VI_Debitos!$H:$H,$C226,VI_Debitos!$T:$T,$D226,VI_Debitos!$R:$R,LEFT(PAGADO!F$1,4),VI_Debitos!$Q:$Q,RIGHT(F$1,2))</f>
        <v>0</v>
      </c>
      <c r="G226" s="2">
        <f>SUMIFS(VI_Debitos!$V:$V,VI_Debitos!$H:$H,$C226,VI_Debitos!$T:$T,$D226,VI_Debitos!$R:$R,LEFT(PAGADO!G$1,4),VI_Debitos!$Q:$Q,RIGHT(G$1,2))</f>
        <v>0</v>
      </c>
      <c r="H226" s="2">
        <f>SUMIFS(VI_Debitos!$V:$V,VI_Debitos!$H:$H,$C226,VI_Debitos!$T:$T,$D226,VI_Debitos!$R:$R,LEFT(PAGADO!H$1,4),VI_Debitos!$Q:$Q,RIGHT(H$1,2))</f>
        <v>0</v>
      </c>
      <c r="I226" s="2">
        <f>SUMIFS(VI_Debitos!$V:$V,VI_Debitos!$H:$H,$C226,VI_Debitos!$T:$T,$D226,VI_Debitos!$R:$R,LEFT(PAGADO!I$1,4),VI_Debitos!$Q:$Q,RIGHT(I$1,2))</f>
        <v>0</v>
      </c>
      <c r="J226" s="2">
        <f>SUMIFS(VI_Debitos!$V:$V,VI_Debitos!$H:$H,$C226,VI_Debitos!$T:$T,$D226,VI_Debitos!$R:$R,LEFT(PAGADO!J$1,4),VI_Debitos!$Q:$Q,RIGHT(J$1,2))</f>
        <v>0</v>
      </c>
      <c r="K226" s="2">
        <f>SUMIFS(VI_Debitos!$V:$V,VI_Debitos!$H:$H,$C226,VI_Debitos!$T:$T,$D226,VI_Debitos!$R:$R,LEFT(PAGADO!K$1,4),VI_Debitos!$Q:$Q,RIGHT(K$1,2))</f>
        <v>0</v>
      </c>
      <c r="L226" s="2">
        <f>SUMIFS(VI_Debitos!$V:$V,VI_Debitos!$H:$H,$C226,VI_Debitos!$T:$T,$D226,VI_Debitos!$R:$R,LEFT(PAGADO!L$1,4),VI_Debitos!$Q:$Q,RIGHT(L$1,2))</f>
        <v>0</v>
      </c>
      <c r="M226" s="2">
        <f>SUMIFS(VI_Debitos!$V:$V,VI_Debitos!$H:$H,$C226,VI_Debitos!$T:$T,$D226,VI_Debitos!$R:$R,LEFT(PAGADO!M$1,4),VI_Debitos!$Q:$Q,RIGHT(M$1,2))</f>
        <v>0</v>
      </c>
      <c r="N226" s="2">
        <f>SUMIFS(VI_Debitos!$V:$V,VI_Debitos!$H:$H,$C226,VI_Debitos!$T:$T,$D226,VI_Debitos!$R:$R,LEFT(PAGADO!N$1,4),VI_Debitos!$Q:$Q,RIGHT(N$1,2))</f>
        <v>0</v>
      </c>
      <c r="O226" s="2">
        <f>SUMIFS(VI_Debitos!$V:$V,VI_Debitos!$H:$H,$C226,VI_Debitos!$T:$T,$D226,VI_Debitos!$R:$R,LEFT(PAGADO!O$1,4),VI_Debitos!$Q:$Q,RIGHT(O$1,2))</f>
        <v>0</v>
      </c>
      <c r="P226" s="2">
        <f>SUMIFS(VI_Debitos!$V:$V,VI_Debitos!$H:$H,$C226,VI_Debitos!$T:$T,$D226,VI_Debitos!$R:$R,LEFT(PAGADO!P$1,4),VI_Debitos!$Q:$Q,RIGHT(P$1,2))</f>
        <v>0</v>
      </c>
      <c r="Q226" s="2">
        <f>SUMIFS(VI_Debitos!$V:$V,VI_Debitos!$H:$H,$C226,VI_Debitos!$T:$T,$D226,VI_Debitos!$R:$R,LEFT(PAGADO!Q$1,4),VI_Debitos!$Q:$Q,RIGHT(Q$1,2))</f>
        <v>0</v>
      </c>
      <c r="R226" s="2">
        <f t="shared" si="3"/>
        <v>0</v>
      </c>
    </row>
    <row r="227" spans="6:18">
      <c r="F227" s="2">
        <f>SUMIFS(VI_Debitos!$V:$V,VI_Debitos!$H:$H,$C227,VI_Debitos!$T:$T,$D227,VI_Debitos!$R:$R,LEFT(PAGADO!F$1,4),VI_Debitos!$Q:$Q,RIGHT(F$1,2))</f>
        <v>0</v>
      </c>
      <c r="G227" s="2">
        <f>SUMIFS(VI_Debitos!$V:$V,VI_Debitos!$H:$H,$C227,VI_Debitos!$T:$T,$D227,VI_Debitos!$R:$R,LEFT(PAGADO!G$1,4),VI_Debitos!$Q:$Q,RIGHT(G$1,2))</f>
        <v>0</v>
      </c>
      <c r="H227" s="2">
        <f>SUMIFS(VI_Debitos!$V:$V,VI_Debitos!$H:$H,$C227,VI_Debitos!$T:$T,$D227,VI_Debitos!$R:$R,LEFT(PAGADO!H$1,4),VI_Debitos!$Q:$Q,RIGHT(H$1,2))</f>
        <v>0</v>
      </c>
      <c r="I227" s="2">
        <f>SUMIFS(VI_Debitos!$V:$V,VI_Debitos!$H:$H,$C227,VI_Debitos!$T:$T,$D227,VI_Debitos!$R:$R,LEFT(PAGADO!I$1,4),VI_Debitos!$Q:$Q,RIGHT(I$1,2))</f>
        <v>0</v>
      </c>
      <c r="J227" s="2">
        <f>SUMIFS(VI_Debitos!$V:$V,VI_Debitos!$H:$H,$C227,VI_Debitos!$T:$T,$D227,VI_Debitos!$R:$R,LEFT(PAGADO!J$1,4),VI_Debitos!$Q:$Q,RIGHT(J$1,2))</f>
        <v>0</v>
      </c>
      <c r="K227" s="2">
        <f>SUMIFS(VI_Debitos!$V:$V,VI_Debitos!$H:$H,$C227,VI_Debitos!$T:$T,$D227,VI_Debitos!$R:$R,LEFT(PAGADO!K$1,4),VI_Debitos!$Q:$Q,RIGHT(K$1,2))</f>
        <v>0</v>
      </c>
      <c r="L227" s="2">
        <f>SUMIFS(VI_Debitos!$V:$V,VI_Debitos!$H:$H,$C227,VI_Debitos!$T:$T,$D227,VI_Debitos!$R:$R,LEFT(PAGADO!L$1,4),VI_Debitos!$Q:$Q,RIGHT(L$1,2))</f>
        <v>0</v>
      </c>
      <c r="M227" s="2">
        <f>SUMIFS(VI_Debitos!$V:$V,VI_Debitos!$H:$H,$C227,VI_Debitos!$T:$T,$D227,VI_Debitos!$R:$R,LEFT(PAGADO!M$1,4),VI_Debitos!$Q:$Q,RIGHT(M$1,2))</f>
        <v>0</v>
      </c>
      <c r="N227" s="2">
        <f>SUMIFS(VI_Debitos!$V:$V,VI_Debitos!$H:$H,$C227,VI_Debitos!$T:$T,$D227,VI_Debitos!$R:$R,LEFT(PAGADO!N$1,4),VI_Debitos!$Q:$Q,RIGHT(N$1,2))</f>
        <v>0</v>
      </c>
      <c r="O227" s="2">
        <f>SUMIFS(VI_Debitos!$V:$V,VI_Debitos!$H:$H,$C227,VI_Debitos!$T:$T,$D227,VI_Debitos!$R:$R,LEFT(PAGADO!O$1,4),VI_Debitos!$Q:$Q,RIGHT(O$1,2))</f>
        <v>0</v>
      </c>
      <c r="P227" s="2">
        <f>SUMIFS(VI_Debitos!$V:$V,VI_Debitos!$H:$H,$C227,VI_Debitos!$T:$T,$D227,VI_Debitos!$R:$R,LEFT(PAGADO!P$1,4),VI_Debitos!$Q:$Q,RIGHT(P$1,2))</f>
        <v>0</v>
      </c>
      <c r="Q227" s="2">
        <f>SUMIFS(VI_Debitos!$V:$V,VI_Debitos!$H:$H,$C227,VI_Debitos!$T:$T,$D227,VI_Debitos!$R:$R,LEFT(PAGADO!Q$1,4),VI_Debitos!$Q:$Q,RIGHT(Q$1,2))</f>
        <v>0</v>
      </c>
      <c r="R227" s="2">
        <f t="shared" si="3"/>
        <v>0</v>
      </c>
    </row>
    <row r="228" spans="6:18">
      <c r="F228" s="2">
        <f>SUMIFS(VI_Debitos!$V:$V,VI_Debitos!$H:$H,$C228,VI_Debitos!$T:$T,$D228,VI_Debitos!$R:$R,LEFT(PAGADO!F$1,4),VI_Debitos!$Q:$Q,RIGHT(F$1,2))</f>
        <v>0</v>
      </c>
      <c r="G228" s="2">
        <f>SUMIFS(VI_Debitos!$V:$V,VI_Debitos!$H:$H,$C228,VI_Debitos!$T:$T,$D228,VI_Debitos!$R:$R,LEFT(PAGADO!G$1,4),VI_Debitos!$Q:$Q,RIGHT(G$1,2))</f>
        <v>0</v>
      </c>
      <c r="H228" s="2">
        <f>SUMIFS(VI_Debitos!$V:$V,VI_Debitos!$H:$H,$C228,VI_Debitos!$T:$T,$D228,VI_Debitos!$R:$R,LEFT(PAGADO!H$1,4),VI_Debitos!$Q:$Q,RIGHT(H$1,2))</f>
        <v>0</v>
      </c>
      <c r="I228" s="2">
        <f>SUMIFS(VI_Debitos!$V:$V,VI_Debitos!$H:$H,$C228,VI_Debitos!$T:$T,$D228,VI_Debitos!$R:$R,LEFT(PAGADO!I$1,4),VI_Debitos!$Q:$Q,RIGHT(I$1,2))</f>
        <v>0</v>
      </c>
      <c r="J228" s="2">
        <f>SUMIFS(VI_Debitos!$V:$V,VI_Debitos!$H:$H,$C228,VI_Debitos!$T:$T,$D228,VI_Debitos!$R:$R,LEFT(PAGADO!J$1,4),VI_Debitos!$Q:$Q,RIGHT(J$1,2))</f>
        <v>0</v>
      </c>
      <c r="K228" s="2">
        <f>SUMIFS(VI_Debitos!$V:$V,VI_Debitos!$H:$H,$C228,VI_Debitos!$T:$T,$D228,VI_Debitos!$R:$R,LEFT(PAGADO!K$1,4),VI_Debitos!$Q:$Q,RIGHT(K$1,2))</f>
        <v>0</v>
      </c>
      <c r="L228" s="2">
        <f>SUMIFS(VI_Debitos!$V:$V,VI_Debitos!$H:$H,$C228,VI_Debitos!$T:$T,$D228,VI_Debitos!$R:$R,LEFT(PAGADO!L$1,4),VI_Debitos!$Q:$Q,RIGHT(L$1,2))</f>
        <v>0</v>
      </c>
      <c r="M228" s="2">
        <f>SUMIFS(VI_Debitos!$V:$V,VI_Debitos!$H:$H,$C228,VI_Debitos!$T:$T,$D228,VI_Debitos!$R:$R,LEFT(PAGADO!M$1,4),VI_Debitos!$Q:$Q,RIGHT(M$1,2))</f>
        <v>0</v>
      </c>
      <c r="N228" s="2">
        <f>SUMIFS(VI_Debitos!$V:$V,VI_Debitos!$H:$H,$C228,VI_Debitos!$T:$T,$D228,VI_Debitos!$R:$R,LEFT(PAGADO!N$1,4),VI_Debitos!$Q:$Q,RIGHT(N$1,2))</f>
        <v>0</v>
      </c>
      <c r="O228" s="2">
        <f>SUMIFS(VI_Debitos!$V:$V,VI_Debitos!$H:$H,$C228,VI_Debitos!$T:$T,$D228,VI_Debitos!$R:$R,LEFT(PAGADO!O$1,4),VI_Debitos!$Q:$Q,RIGHT(O$1,2))</f>
        <v>0</v>
      </c>
      <c r="P228" s="2">
        <f>SUMIFS(VI_Debitos!$V:$V,VI_Debitos!$H:$H,$C228,VI_Debitos!$T:$T,$D228,VI_Debitos!$R:$R,LEFT(PAGADO!P$1,4),VI_Debitos!$Q:$Q,RIGHT(P$1,2))</f>
        <v>0</v>
      </c>
      <c r="Q228" s="2">
        <f>SUMIFS(VI_Debitos!$V:$V,VI_Debitos!$H:$H,$C228,VI_Debitos!$T:$T,$D228,VI_Debitos!$R:$R,LEFT(PAGADO!Q$1,4),VI_Debitos!$Q:$Q,RIGHT(Q$1,2))</f>
        <v>0</v>
      </c>
      <c r="R228" s="2">
        <f t="shared" si="3"/>
        <v>0</v>
      </c>
    </row>
    <row r="229" spans="6:18">
      <c r="F229" s="2">
        <f>SUMIFS(VI_Debitos!$V:$V,VI_Debitos!$H:$H,$C229,VI_Debitos!$T:$T,$D229,VI_Debitos!$R:$R,LEFT(PAGADO!F$1,4),VI_Debitos!$Q:$Q,RIGHT(F$1,2))</f>
        <v>0</v>
      </c>
      <c r="G229" s="2">
        <f>SUMIFS(VI_Debitos!$V:$V,VI_Debitos!$H:$H,$C229,VI_Debitos!$T:$T,$D229,VI_Debitos!$R:$R,LEFT(PAGADO!G$1,4),VI_Debitos!$Q:$Q,RIGHT(G$1,2))</f>
        <v>0</v>
      </c>
      <c r="H229" s="2">
        <f>SUMIFS(VI_Debitos!$V:$V,VI_Debitos!$H:$H,$C229,VI_Debitos!$T:$T,$D229,VI_Debitos!$R:$R,LEFT(PAGADO!H$1,4),VI_Debitos!$Q:$Q,RIGHT(H$1,2))</f>
        <v>0</v>
      </c>
      <c r="I229" s="2">
        <f>SUMIFS(VI_Debitos!$V:$V,VI_Debitos!$H:$H,$C229,VI_Debitos!$T:$T,$D229,VI_Debitos!$R:$R,LEFT(PAGADO!I$1,4),VI_Debitos!$Q:$Q,RIGHT(I$1,2))</f>
        <v>0</v>
      </c>
      <c r="J229" s="2">
        <f>SUMIFS(VI_Debitos!$V:$V,VI_Debitos!$H:$H,$C229,VI_Debitos!$T:$T,$D229,VI_Debitos!$R:$R,LEFT(PAGADO!J$1,4),VI_Debitos!$Q:$Q,RIGHT(J$1,2))</f>
        <v>0</v>
      </c>
      <c r="K229" s="2">
        <f>SUMIFS(VI_Debitos!$V:$V,VI_Debitos!$H:$H,$C229,VI_Debitos!$T:$T,$D229,VI_Debitos!$R:$R,LEFT(PAGADO!K$1,4),VI_Debitos!$Q:$Q,RIGHT(K$1,2))</f>
        <v>0</v>
      </c>
      <c r="L229" s="2">
        <f>SUMIFS(VI_Debitos!$V:$V,VI_Debitos!$H:$H,$C229,VI_Debitos!$T:$T,$D229,VI_Debitos!$R:$R,LEFT(PAGADO!L$1,4),VI_Debitos!$Q:$Q,RIGHT(L$1,2))</f>
        <v>0</v>
      </c>
      <c r="M229" s="2">
        <f>SUMIFS(VI_Debitos!$V:$V,VI_Debitos!$H:$H,$C229,VI_Debitos!$T:$T,$D229,VI_Debitos!$R:$R,LEFT(PAGADO!M$1,4),VI_Debitos!$Q:$Q,RIGHT(M$1,2))</f>
        <v>0</v>
      </c>
      <c r="N229" s="2">
        <f>SUMIFS(VI_Debitos!$V:$V,VI_Debitos!$H:$H,$C229,VI_Debitos!$T:$T,$D229,VI_Debitos!$R:$R,LEFT(PAGADO!N$1,4),VI_Debitos!$Q:$Q,RIGHT(N$1,2))</f>
        <v>0</v>
      </c>
      <c r="O229" s="2">
        <f>SUMIFS(VI_Debitos!$V:$V,VI_Debitos!$H:$H,$C229,VI_Debitos!$T:$T,$D229,VI_Debitos!$R:$R,LEFT(PAGADO!O$1,4),VI_Debitos!$Q:$Q,RIGHT(O$1,2))</f>
        <v>0</v>
      </c>
      <c r="P229" s="2">
        <f>SUMIFS(VI_Debitos!$V:$V,VI_Debitos!$H:$H,$C229,VI_Debitos!$T:$T,$D229,VI_Debitos!$R:$R,LEFT(PAGADO!P$1,4),VI_Debitos!$Q:$Q,RIGHT(P$1,2))</f>
        <v>0</v>
      </c>
      <c r="Q229" s="2">
        <f>SUMIFS(VI_Debitos!$V:$V,VI_Debitos!$H:$H,$C229,VI_Debitos!$T:$T,$D229,VI_Debitos!$R:$R,LEFT(PAGADO!Q$1,4),VI_Debitos!$Q:$Q,RIGHT(Q$1,2))</f>
        <v>0</v>
      </c>
      <c r="R229" s="2">
        <f t="shared" si="3"/>
        <v>0</v>
      </c>
    </row>
    <row r="230" spans="6:18">
      <c r="F230" s="2">
        <f>SUMIFS(VI_Debitos!$V:$V,VI_Debitos!$H:$H,$C230,VI_Debitos!$T:$T,$D230,VI_Debitos!$R:$R,LEFT(PAGADO!F$1,4),VI_Debitos!$Q:$Q,RIGHT(F$1,2))</f>
        <v>0</v>
      </c>
      <c r="G230" s="2">
        <f>SUMIFS(VI_Debitos!$V:$V,VI_Debitos!$H:$H,$C230,VI_Debitos!$T:$T,$D230,VI_Debitos!$R:$R,LEFT(PAGADO!G$1,4),VI_Debitos!$Q:$Q,RIGHT(G$1,2))</f>
        <v>0</v>
      </c>
      <c r="H230" s="2">
        <f>SUMIFS(VI_Debitos!$V:$V,VI_Debitos!$H:$H,$C230,VI_Debitos!$T:$T,$D230,VI_Debitos!$R:$R,LEFT(PAGADO!H$1,4),VI_Debitos!$Q:$Q,RIGHT(H$1,2))</f>
        <v>0</v>
      </c>
      <c r="I230" s="2">
        <f>SUMIFS(VI_Debitos!$V:$V,VI_Debitos!$H:$H,$C230,VI_Debitos!$T:$T,$D230,VI_Debitos!$R:$R,LEFT(PAGADO!I$1,4),VI_Debitos!$Q:$Q,RIGHT(I$1,2))</f>
        <v>0</v>
      </c>
      <c r="J230" s="2">
        <f>SUMIFS(VI_Debitos!$V:$V,VI_Debitos!$H:$H,$C230,VI_Debitos!$T:$T,$D230,VI_Debitos!$R:$R,LEFT(PAGADO!J$1,4),VI_Debitos!$Q:$Q,RIGHT(J$1,2))</f>
        <v>0</v>
      </c>
      <c r="K230" s="2">
        <f>SUMIFS(VI_Debitos!$V:$V,VI_Debitos!$H:$H,$C230,VI_Debitos!$T:$T,$D230,VI_Debitos!$R:$R,LEFT(PAGADO!K$1,4),VI_Debitos!$Q:$Q,RIGHT(K$1,2))</f>
        <v>0</v>
      </c>
      <c r="L230" s="2">
        <f>SUMIFS(VI_Debitos!$V:$V,VI_Debitos!$H:$H,$C230,VI_Debitos!$T:$T,$D230,VI_Debitos!$R:$R,LEFT(PAGADO!L$1,4),VI_Debitos!$Q:$Q,RIGHT(L$1,2))</f>
        <v>0</v>
      </c>
      <c r="M230" s="2">
        <f>SUMIFS(VI_Debitos!$V:$V,VI_Debitos!$H:$H,$C230,VI_Debitos!$T:$T,$D230,VI_Debitos!$R:$R,LEFT(PAGADO!M$1,4),VI_Debitos!$Q:$Q,RIGHT(M$1,2))</f>
        <v>0</v>
      </c>
      <c r="N230" s="2">
        <f>SUMIFS(VI_Debitos!$V:$V,VI_Debitos!$H:$H,$C230,VI_Debitos!$T:$T,$D230,VI_Debitos!$R:$R,LEFT(PAGADO!N$1,4),VI_Debitos!$Q:$Q,RIGHT(N$1,2))</f>
        <v>0</v>
      </c>
      <c r="O230" s="2">
        <f>SUMIFS(VI_Debitos!$V:$V,VI_Debitos!$H:$H,$C230,VI_Debitos!$T:$T,$D230,VI_Debitos!$R:$R,LEFT(PAGADO!O$1,4),VI_Debitos!$Q:$Q,RIGHT(O$1,2))</f>
        <v>0</v>
      </c>
      <c r="P230" s="2">
        <f>SUMIFS(VI_Debitos!$V:$V,VI_Debitos!$H:$H,$C230,VI_Debitos!$T:$T,$D230,VI_Debitos!$R:$R,LEFT(PAGADO!P$1,4),VI_Debitos!$Q:$Q,RIGHT(P$1,2))</f>
        <v>0</v>
      </c>
      <c r="Q230" s="2">
        <f>SUMIFS(VI_Debitos!$V:$V,VI_Debitos!$H:$H,$C230,VI_Debitos!$T:$T,$D230,VI_Debitos!$R:$R,LEFT(PAGADO!Q$1,4),VI_Debitos!$Q:$Q,RIGHT(Q$1,2))</f>
        <v>0</v>
      </c>
      <c r="R230" s="2">
        <f t="shared" si="3"/>
        <v>0</v>
      </c>
    </row>
    <row r="231" spans="6:18">
      <c r="F231" s="2">
        <f>SUMIFS(VI_Debitos!$V:$V,VI_Debitos!$H:$H,$C231,VI_Debitos!$T:$T,$D231,VI_Debitos!$R:$R,LEFT(PAGADO!F$1,4),VI_Debitos!$Q:$Q,RIGHT(F$1,2))</f>
        <v>0</v>
      </c>
      <c r="G231" s="2">
        <f>SUMIFS(VI_Debitos!$V:$V,VI_Debitos!$H:$H,$C231,VI_Debitos!$T:$T,$D231,VI_Debitos!$R:$R,LEFT(PAGADO!G$1,4),VI_Debitos!$Q:$Q,RIGHT(G$1,2))</f>
        <v>0</v>
      </c>
      <c r="H231" s="2">
        <f>SUMIFS(VI_Debitos!$V:$V,VI_Debitos!$H:$H,$C231,VI_Debitos!$T:$T,$D231,VI_Debitos!$R:$R,LEFT(PAGADO!H$1,4),VI_Debitos!$Q:$Q,RIGHT(H$1,2))</f>
        <v>0</v>
      </c>
      <c r="I231" s="2">
        <f>SUMIFS(VI_Debitos!$V:$V,VI_Debitos!$H:$H,$C231,VI_Debitos!$T:$T,$D231,VI_Debitos!$R:$R,LEFT(PAGADO!I$1,4),VI_Debitos!$Q:$Q,RIGHT(I$1,2))</f>
        <v>0</v>
      </c>
      <c r="J231" s="2">
        <f>SUMIFS(VI_Debitos!$V:$V,VI_Debitos!$H:$H,$C231,VI_Debitos!$T:$T,$D231,VI_Debitos!$R:$R,LEFT(PAGADO!J$1,4),VI_Debitos!$Q:$Q,RIGHT(J$1,2))</f>
        <v>0</v>
      </c>
      <c r="K231" s="2">
        <f>SUMIFS(VI_Debitos!$V:$V,VI_Debitos!$H:$H,$C231,VI_Debitos!$T:$T,$D231,VI_Debitos!$R:$R,LEFT(PAGADO!K$1,4),VI_Debitos!$Q:$Q,RIGHT(K$1,2))</f>
        <v>0</v>
      </c>
      <c r="L231" s="2">
        <f>SUMIFS(VI_Debitos!$V:$V,VI_Debitos!$H:$H,$C231,VI_Debitos!$T:$T,$D231,VI_Debitos!$R:$R,LEFT(PAGADO!L$1,4),VI_Debitos!$Q:$Q,RIGHT(L$1,2))</f>
        <v>0</v>
      </c>
      <c r="M231" s="2">
        <f>SUMIFS(VI_Debitos!$V:$V,VI_Debitos!$H:$H,$C231,VI_Debitos!$T:$T,$D231,VI_Debitos!$R:$R,LEFT(PAGADO!M$1,4),VI_Debitos!$Q:$Q,RIGHT(M$1,2))</f>
        <v>0</v>
      </c>
      <c r="N231" s="2">
        <f>SUMIFS(VI_Debitos!$V:$V,VI_Debitos!$H:$H,$C231,VI_Debitos!$T:$T,$D231,VI_Debitos!$R:$R,LEFT(PAGADO!N$1,4),VI_Debitos!$Q:$Q,RIGHT(N$1,2))</f>
        <v>0</v>
      </c>
      <c r="O231" s="2">
        <f>SUMIFS(VI_Debitos!$V:$V,VI_Debitos!$H:$H,$C231,VI_Debitos!$T:$T,$D231,VI_Debitos!$R:$R,LEFT(PAGADO!O$1,4),VI_Debitos!$Q:$Q,RIGHT(O$1,2))</f>
        <v>0</v>
      </c>
      <c r="P231" s="2">
        <f>SUMIFS(VI_Debitos!$V:$V,VI_Debitos!$H:$H,$C231,VI_Debitos!$T:$T,$D231,VI_Debitos!$R:$R,LEFT(PAGADO!P$1,4),VI_Debitos!$Q:$Q,RIGHT(P$1,2))</f>
        <v>0</v>
      </c>
      <c r="Q231" s="2">
        <f>SUMIFS(VI_Debitos!$V:$V,VI_Debitos!$H:$H,$C231,VI_Debitos!$T:$T,$D231,VI_Debitos!$R:$R,LEFT(PAGADO!Q$1,4),VI_Debitos!$Q:$Q,RIGHT(Q$1,2))</f>
        <v>0</v>
      </c>
      <c r="R231" s="2">
        <f t="shared" si="3"/>
        <v>0</v>
      </c>
    </row>
    <row r="232" spans="6:18">
      <c r="F232" s="2">
        <f>SUMIFS(VI_Debitos!$V:$V,VI_Debitos!$H:$H,$C232,VI_Debitos!$T:$T,$D232,VI_Debitos!$R:$R,LEFT(PAGADO!F$1,4),VI_Debitos!$Q:$Q,RIGHT(F$1,2))</f>
        <v>0</v>
      </c>
      <c r="G232" s="2">
        <f>SUMIFS(VI_Debitos!$V:$V,VI_Debitos!$H:$H,$C232,VI_Debitos!$T:$T,$D232,VI_Debitos!$R:$R,LEFT(PAGADO!G$1,4),VI_Debitos!$Q:$Q,RIGHT(G$1,2))</f>
        <v>0</v>
      </c>
      <c r="H232" s="2">
        <f>SUMIFS(VI_Debitos!$V:$V,VI_Debitos!$H:$H,$C232,VI_Debitos!$T:$T,$D232,VI_Debitos!$R:$R,LEFT(PAGADO!H$1,4),VI_Debitos!$Q:$Q,RIGHT(H$1,2))</f>
        <v>0</v>
      </c>
      <c r="I232" s="2">
        <f>SUMIFS(VI_Debitos!$V:$V,VI_Debitos!$H:$H,$C232,VI_Debitos!$T:$T,$D232,VI_Debitos!$R:$R,LEFT(PAGADO!I$1,4),VI_Debitos!$Q:$Q,RIGHT(I$1,2))</f>
        <v>0</v>
      </c>
      <c r="J232" s="2">
        <f>SUMIFS(VI_Debitos!$V:$V,VI_Debitos!$H:$H,$C232,VI_Debitos!$T:$T,$D232,VI_Debitos!$R:$R,LEFT(PAGADO!J$1,4),VI_Debitos!$Q:$Q,RIGHT(J$1,2))</f>
        <v>0</v>
      </c>
      <c r="K232" s="2">
        <f>SUMIFS(VI_Debitos!$V:$V,VI_Debitos!$H:$H,$C232,VI_Debitos!$T:$T,$D232,VI_Debitos!$R:$R,LEFT(PAGADO!K$1,4),VI_Debitos!$Q:$Q,RIGHT(K$1,2))</f>
        <v>0</v>
      </c>
      <c r="L232" s="2">
        <f>SUMIFS(VI_Debitos!$V:$V,VI_Debitos!$H:$H,$C232,VI_Debitos!$T:$T,$D232,VI_Debitos!$R:$R,LEFT(PAGADO!L$1,4),VI_Debitos!$Q:$Q,RIGHT(L$1,2))</f>
        <v>0</v>
      </c>
      <c r="M232" s="2">
        <f>SUMIFS(VI_Debitos!$V:$V,VI_Debitos!$H:$H,$C232,VI_Debitos!$T:$T,$D232,VI_Debitos!$R:$R,LEFT(PAGADO!M$1,4),VI_Debitos!$Q:$Q,RIGHT(M$1,2))</f>
        <v>0</v>
      </c>
      <c r="N232" s="2">
        <f>SUMIFS(VI_Debitos!$V:$V,VI_Debitos!$H:$H,$C232,VI_Debitos!$T:$T,$D232,VI_Debitos!$R:$R,LEFT(PAGADO!N$1,4),VI_Debitos!$Q:$Q,RIGHT(N$1,2))</f>
        <v>0</v>
      </c>
      <c r="O232" s="2">
        <f>SUMIFS(VI_Debitos!$V:$V,VI_Debitos!$H:$H,$C232,VI_Debitos!$T:$T,$D232,VI_Debitos!$R:$R,LEFT(PAGADO!O$1,4),VI_Debitos!$Q:$Q,RIGHT(O$1,2))</f>
        <v>0</v>
      </c>
      <c r="P232" s="2">
        <f>SUMIFS(VI_Debitos!$V:$V,VI_Debitos!$H:$H,$C232,VI_Debitos!$T:$T,$D232,VI_Debitos!$R:$R,LEFT(PAGADO!P$1,4),VI_Debitos!$Q:$Q,RIGHT(P$1,2))</f>
        <v>0</v>
      </c>
      <c r="Q232" s="2">
        <f>SUMIFS(VI_Debitos!$V:$V,VI_Debitos!$H:$H,$C232,VI_Debitos!$T:$T,$D232,VI_Debitos!$R:$R,LEFT(PAGADO!Q$1,4),VI_Debitos!$Q:$Q,RIGHT(Q$1,2))</f>
        <v>0</v>
      </c>
      <c r="R232" s="2">
        <f t="shared" si="3"/>
        <v>0</v>
      </c>
    </row>
    <row r="233" spans="6:18">
      <c r="F233" s="2">
        <f>SUMIFS(VI_Debitos!$V:$V,VI_Debitos!$H:$H,$C233,VI_Debitos!$T:$T,$D233,VI_Debitos!$R:$R,LEFT(PAGADO!F$1,4),VI_Debitos!$Q:$Q,RIGHT(F$1,2))</f>
        <v>0</v>
      </c>
      <c r="G233" s="2">
        <f>SUMIFS(VI_Debitos!$V:$V,VI_Debitos!$H:$H,$C233,VI_Debitos!$T:$T,$D233,VI_Debitos!$R:$R,LEFT(PAGADO!G$1,4),VI_Debitos!$Q:$Q,RIGHT(G$1,2))</f>
        <v>0</v>
      </c>
      <c r="H233" s="2">
        <f>SUMIFS(VI_Debitos!$V:$V,VI_Debitos!$H:$H,$C233,VI_Debitos!$T:$T,$D233,VI_Debitos!$R:$R,LEFT(PAGADO!H$1,4),VI_Debitos!$Q:$Q,RIGHT(H$1,2))</f>
        <v>0</v>
      </c>
      <c r="I233" s="2">
        <f>SUMIFS(VI_Debitos!$V:$V,VI_Debitos!$H:$H,$C233,VI_Debitos!$T:$T,$D233,VI_Debitos!$R:$R,LEFT(PAGADO!I$1,4),VI_Debitos!$Q:$Q,RIGHT(I$1,2))</f>
        <v>0</v>
      </c>
      <c r="J233" s="2">
        <f>SUMIFS(VI_Debitos!$V:$V,VI_Debitos!$H:$H,$C233,VI_Debitos!$T:$T,$D233,VI_Debitos!$R:$R,LEFT(PAGADO!J$1,4),VI_Debitos!$Q:$Q,RIGHT(J$1,2))</f>
        <v>0</v>
      </c>
      <c r="K233" s="2">
        <f>SUMIFS(VI_Debitos!$V:$V,VI_Debitos!$H:$H,$C233,VI_Debitos!$T:$T,$D233,VI_Debitos!$R:$R,LEFT(PAGADO!K$1,4),VI_Debitos!$Q:$Q,RIGHT(K$1,2))</f>
        <v>0</v>
      </c>
      <c r="L233" s="2">
        <f>SUMIFS(VI_Debitos!$V:$V,VI_Debitos!$H:$H,$C233,VI_Debitos!$T:$T,$D233,VI_Debitos!$R:$R,LEFT(PAGADO!L$1,4),VI_Debitos!$Q:$Q,RIGHT(L$1,2))</f>
        <v>0</v>
      </c>
      <c r="M233" s="2">
        <f>SUMIFS(VI_Debitos!$V:$V,VI_Debitos!$H:$H,$C233,VI_Debitos!$T:$T,$D233,VI_Debitos!$R:$R,LEFT(PAGADO!M$1,4),VI_Debitos!$Q:$Q,RIGHT(M$1,2))</f>
        <v>0</v>
      </c>
      <c r="N233" s="2">
        <f>SUMIFS(VI_Debitos!$V:$V,VI_Debitos!$H:$H,$C233,VI_Debitos!$T:$T,$D233,VI_Debitos!$R:$R,LEFT(PAGADO!N$1,4),VI_Debitos!$Q:$Q,RIGHT(N$1,2))</f>
        <v>0</v>
      </c>
      <c r="O233" s="2">
        <f>SUMIFS(VI_Debitos!$V:$V,VI_Debitos!$H:$H,$C233,VI_Debitos!$T:$T,$D233,VI_Debitos!$R:$R,LEFT(PAGADO!O$1,4),VI_Debitos!$Q:$Q,RIGHT(O$1,2))</f>
        <v>0</v>
      </c>
      <c r="P233" s="2">
        <f>SUMIFS(VI_Debitos!$V:$V,VI_Debitos!$H:$H,$C233,VI_Debitos!$T:$T,$D233,VI_Debitos!$R:$R,LEFT(PAGADO!P$1,4),VI_Debitos!$Q:$Q,RIGHT(P$1,2))</f>
        <v>0</v>
      </c>
      <c r="Q233" s="2">
        <f>SUMIFS(VI_Debitos!$V:$V,VI_Debitos!$H:$H,$C233,VI_Debitos!$T:$T,$D233,VI_Debitos!$R:$R,LEFT(PAGADO!Q$1,4),VI_Debitos!$Q:$Q,RIGHT(Q$1,2))</f>
        <v>0</v>
      </c>
      <c r="R233" s="2">
        <f t="shared" si="3"/>
        <v>0</v>
      </c>
    </row>
    <row r="234" spans="6:18">
      <c r="F234" s="2">
        <f>SUMIFS(VI_Debitos!$V:$V,VI_Debitos!$H:$H,$C234,VI_Debitos!$T:$T,$D234,VI_Debitos!$R:$R,LEFT(PAGADO!F$1,4),VI_Debitos!$Q:$Q,RIGHT(F$1,2))</f>
        <v>0</v>
      </c>
      <c r="G234" s="2">
        <f>SUMIFS(VI_Debitos!$V:$V,VI_Debitos!$H:$H,$C234,VI_Debitos!$T:$T,$D234,VI_Debitos!$R:$R,LEFT(PAGADO!G$1,4),VI_Debitos!$Q:$Q,RIGHT(G$1,2))</f>
        <v>0</v>
      </c>
      <c r="H234" s="2">
        <f>SUMIFS(VI_Debitos!$V:$V,VI_Debitos!$H:$H,$C234,VI_Debitos!$T:$T,$D234,VI_Debitos!$R:$R,LEFT(PAGADO!H$1,4),VI_Debitos!$Q:$Q,RIGHT(H$1,2))</f>
        <v>0</v>
      </c>
      <c r="I234" s="2">
        <f>SUMIFS(VI_Debitos!$V:$V,VI_Debitos!$H:$H,$C234,VI_Debitos!$T:$T,$D234,VI_Debitos!$R:$R,LEFT(PAGADO!I$1,4),VI_Debitos!$Q:$Q,RIGHT(I$1,2))</f>
        <v>0</v>
      </c>
      <c r="J234" s="2">
        <f>SUMIFS(VI_Debitos!$V:$V,VI_Debitos!$H:$H,$C234,VI_Debitos!$T:$T,$D234,VI_Debitos!$R:$R,LEFT(PAGADO!J$1,4),VI_Debitos!$Q:$Q,RIGHT(J$1,2))</f>
        <v>0</v>
      </c>
      <c r="K234" s="2">
        <f>SUMIFS(VI_Debitos!$V:$V,VI_Debitos!$H:$H,$C234,VI_Debitos!$T:$T,$D234,VI_Debitos!$R:$R,LEFT(PAGADO!K$1,4),VI_Debitos!$Q:$Q,RIGHT(K$1,2))</f>
        <v>0</v>
      </c>
      <c r="L234" s="2">
        <f>SUMIFS(VI_Debitos!$V:$V,VI_Debitos!$H:$H,$C234,VI_Debitos!$T:$T,$D234,VI_Debitos!$R:$R,LEFT(PAGADO!L$1,4),VI_Debitos!$Q:$Q,RIGHT(L$1,2))</f>
        <v>0</v>
      </c>
      <c r="M234" s="2">
        <f>SUMIFS(VI_Debitos!$V:$V,VI_Debitos!$H:$H,$C234,VI_Debitos!$T:$T,$D234,VI_Debitos!$R:$R,LEFT(PAGADO!M$1,4),VI_Debitos!$Q:$Q,RIGHT(M$1,2))</f>
        <v>0</v>
      </c>
      <c r="N234" s="2">
        <f>SUMIFS(VI_Debitos!$V:$V,VI_Debitos!$H:$H,$C234,VI_Debitos!$T:$T,$D234,VI_Debitos!$R:$R,LEFT(PAGADO!N$1,4),VI_Debitos!$Q:$Q,RIGHT(N$1,2))</f>
        <v>0</v>
      </c>
      <c r="O234" s="2">
        <f>SUMIFS(VI_Debitos!$V:$V,VI_Debitos!$H:$H,$C234,VI_Debitos!$T:$T,$D234,VI_Debitos!$R:$R,LEFT(PAGADO!O$1,4),VI_Debitos!$Q:$Q,RIGHT(O$1,2))</f>
        <v>0</v>
      </c>
      <c r="P234" s="2">
        <f>SUMIFS(VI_Debitos!$V:$V,VI_Debitos!$H:$H,$C234,VI_Debitos!$T:$T,$D234,VI_Debitos!$R:$R,LEFT(PAGADO!P$1,4),VI_Debitos!$Q:$Q,RIGHT(P$1,2))</f>
        <v>0</v>
      </c>
      <c r="Q234" s="2">
        <f>SUMIFS(VI_Debitos!$V:$V,VI_Debitos!$H:$H,$C234,VI_Debitos!$T:$T,$D234,VI_Debitos!$R:$R,LEFT(PAGADO!Q$1,4),VI_Debitos!$Q:$Q,RIGHT(Q$1,2))</f>
        <v>0</v>
      </c>
      <c r="R234" s="2">
        <f t="shared" si="3"/>
        <v>0</v>
      </c>
    </row>
    <row r="235" spans="6:18">
      <c r="F235" s="2">
        <f>SUMIFS(VI_Debitos!$V:$V,VI_Debitos!$H:$H,$C235,VI_Debitos!$T:$T,$D235,VI_Debitos!$R:$R,LEFT(PAGADO!F$1,4),VI_Debitos!$Q:$Q,RIGHT(F$1,2))</f>
        <v>0</v>
      </c>
      <c r="G235" s="2">
        <f>SUMIFS(VI_Debitos!$V:$V,VI_Debitos!$H:$H,$C235,VI_Debitos!$T:$T,$D235,VI_Debitos!$R:$R,LEFT(PAGADO!G$1,4),VI_Debitos!$Q:$Q,RIGHT(G$1,2))</f>
        <v>0</v>
      </c>
      <c r="H235" s="2">
        <f>SUMIFS(VI_Debitos!$V:$V,VI_Debitos!$H:$H,$C235,VI_Debitos!$T:$T,$D235,VI_Debitos!$R:$R,LEFT(PAGADO!H$1,4),VI_Debitos!$Q:$Q,RIGHT(H$1,2))</f>
        <v>0</v>
      </c>
      <c r="I235" s="2">
        <f>SUMIFS(VI_Debitos!$V:$V,VI_Debitos!$H:$H,$C235,VI_Debitos!$T:$T,$D235,VI_Debitos!$R:$R,LEFT(PAGADO!I$1,4),VI_Debitos!$Q:$Q,RIGHT(I$1,2))</f>
        <v>0</v>
      </c>
      <c r="J235" s="2">
        <f>SUMIFS(VI_Debitos!$V:$V,VI_Debitos!$H:$H,$C235,VI_Debitos!$T:$T,$D235,VI_Debitos!$R:$R,LEFT(PAGADO!J$1,4),VI_Debitos!$Q:$Q,RIGHT(J$1,2))</f>
        <v>0</v>
      </c>
      <c r="K235" s="2">
        <f>SUMIFS(VI_Debitos!$V:$V,VI_Debitos!$H:$H,$C235,VI_Debitos!$T:$T,$D235,VI_Debitos!$R:$R,LEFT(PAGADO!K$1,4),VI_Debitos!$Q:$Q,RIGHT(K$1,2))</f>
        <v>0</v>
      </c>
      <c r="L235" s="2">
        <f>SUMIFS(VI_Debitos!$V:$V,VI_Debitos!$H:$H,$C235,VI_Debitos!$T:$T,$D235,VI_Debitos!$R:$R,LEFT(PAGADO!L$1,4),VI_Debitos!$Q:$Q,RIGHT(L$1,2))</f>
        <v>0</v>
      </c>
      <c r="M235" s="2">
        <f>SUMIFS(VI_Debitos!$V:$V,VI_Debitos!$H:$H,$C235,VI_Debitos!$T:$T,$D235,VI_Debitos!$R:$R,LEFT(PAGADO!M$1,4),VI_Debitos!$Q:$Q,RIGHT(M$1,2))</f>
        <v>0</v>
      </c>
      <c r="N235" s="2">
        <f>SUMIFS(VI_Debitos!$V:$V,VI_Debitos!$H:$H,$C235,VI_Debitos!$T:$T,$D235,VI_Debitos!$R:$R,LEFT(PAGADO!N$1,4),VI_Debitos!$Q:$Q,RIGHT(N$1,2))</f>
        <v>0</v>
      </c>
      <c r="O235" s="2">
        <f>SUMIFS(VI_Debitos!$V:$V,VI_Debitos!$H:$H,$C235,VI_Debitos!$T:$T,$D235,VI_Debitos!$R:$R,LEFT(PAGADO!O$1,4),VI_Debitos!$Q:$Q,RIGHT(O$1,2))</f>
        <v>0</v>
      </c>
      <c r="P235" s="2">
        <f>SUMIFS(VI_Debitos!$V:$V,VI_Debitos!$H:$H,$C235,VI_Debitos!$T:$T,$D235,VI_Debitos!$R:$R,LEFT(PAGADO!P$1,4),VI_Debitos!$Q:$Q,RIGHT(P$1,2))</f>
        <v>0</v>
      </c>
      <c r="Q235" s="2">
        <f>SUMIFS(VI_Debitos!$V:$V,VI_Debitos!$H:$H,$C235,VI_Debitos!$T:$T,$D235,VI_Debitos!$R:$R,LEFT(PAGADO!Q$1,4),VI_Debitos!$Q:$Q,RIGHT(Q$1,2))</f>
        <v>0</v>
      </c>
      <c r="R235" s="2">
        <f t="shared" si="3"/>
        <v>0</v>
      </c>
    </row>
    <row r="236" spans="6:18">
      <c r="F236" s="2">
        <f>SUMIFS(VI_Debitos!$V:$V,VI_Debitos!$H:$H,$C236,VI_Debitos!$T:$T,$D236,VI_Debitos!$R:$R,LEFT(PAGADO!F$1,4),VI_Debitos!$Q:$Q,RIGHT(F$1,2))</f>
        <v>0</v>
      </c>
      <c r="G236" s="2">
        <f>SUMIFS(VI_Debitos!$V:$V,VI_Debitos!$H:$H,$C236,VI_Debitos!$T:$T,$D236,VI_Debitos!$R:$R,LEFT(PAGADO!G$1,4),VI_Debitos!$Q:$Q,RIGHT(G$1,2))</f>
        <v>0</v>
      </c>
      <c r="H236" s="2">
        <f>SUMIFS(VI_Debitos!$V:$V,VI_Debitos!$H:$H,$C236,VI_Debitos!$T:$T,$D236,VI_Debitos!$R:$R,LEFT(PAGADO!H$1,4),VI_Debitos!$Q:$Q,RIGHT(H$1,2))</f>
        <v>0</v>
      </c>
      <c r="I236" s="2">
        <f>SUMIFS(VI_Debitos!$V:$V,VI_Debitos!$H:$H,$C236,VI_Debitos!$T:$T,$D236,VI_Debitos!$R:$R,LEFT(PAGADO!I$1,4),VI_Debitos!$Q:$Q,RIGHT(I$1,2))</f>
        <v>0</v>
      </c>
      <c r="J236" s="2">
        <f>SUMIFS(VI_Debitos!$V:$V,VI_Debitos!$H:$H,$C236,VI_Debitos!$T:$T,$D236,VI_Debitos!$R:$R,LEFT(PAGADO!J$1,4),VI_Debitos!$Q:$Q,RIGHT(J$1,2))</f>
        <v>0</v>
      </c>
      <c r="K236" s="2">
        <f>SUMIFS(VI_Debitos!$V:$V,VI_Debitos!$H:$H,$C236,VI_Debitos!$T:$T,$D236,VI_Debitos!$R:$R,LEFT(PAGADO!K$1,4),VI_Debitos!$Q:$Q,RIGHT(K$1,2))</f>
        <v>0</v>
      </c>
      <c r="L236" s="2">
        <f>SUMIFS(VI_Debitos!$V:$V,VI_Debitos!$H:$H,$C236,VI_Debitos!$T:$T,$D236,VI_Debitos!$R:$R,LEFT(PAGADO!L$1,4),VI_Debitos!$Q:$Q,RIGHT(L$1,2))</f>
        <v>0</v>
      </c>
      <c r="M236" s="2">
        <f>SUMIFS(VI_Debitos!$V:$V,VI_Debitos!$H:$H,$C236,VI_Debitos!$T:$T,$D236,VI_Debitos!$R:$R,LEFT(PAGADO!M$1,4),VI_Debitos!$Q:$Q,RIGHT(M$1,2))</f>
        <v>0</v>
      </c>
      <c r="N236" s="2">
        <f>SUMIFS(VI_Debitos!$V:$V,VI_Debitos!$H:$H,$C236,VI_Debitos!$T:$T,$D236,VI_Debitos!$R:$R,LEFT(PAGADO!N$1,4),VI_Debitos!$Q:$Q,RIGHT(N$1,2))</f>
        <v>0</v>
      </c>
      <c r="O236" s="2">
        <f>SUMIFS(VI_Debitos!$V:$V,VI_Debitos!$H:$H,$C236,VI_Debitos!$T:$T,$D236,VI_Debitos!$R:$R,LEFT(PAGADO!O$1,4),VI_Debitos!$Q:$Q,RIGHT(O$1,2))</f>
        <v>0</v>
      </c>
      <c r="P236" s="2">
        <f>SUMIFS(VI_Debitos!$V:$V,VI_Debitos!$H:$H,$C236,VI_Debitos!$T:$T,$D236,VI_Debitos!$R:$R,LEFT(PAGADO!P$1,4),VI_Debitos!$Q:$Q,RIGHT(P$1,2))</f>
        <v>0</v>
      </c>
      <c r="Q236" s="2">
        <f>SUMIFS(VI_Debitos!$V:$V,VI_Debitos!$H:$H,$C236,VI_Debitos!$T:$T,$D236,VI_Debitos!$R:$R,LEFT(PAGADO!Q$1,4),VI_Debitos!$Q:$Q,RIGHT(Q$1,2))</f>
        <v>0</v>
      </c>
      <c r="R236" s="2">
        <f t="shared" si="3"/>
        <v>0</v>
      </c>
    </row>
    <row r="237" spans="6:18">
      <c r="F237" s="2">
        <f>SUMIFS(VI_Debitos!$V:$V,VI_Debitos!$H:$H,$C237,VI_Debitos!$T:$T,$D237,VI_Debitos!$R:$R,LEFT(PAGADO!F$1,4),VI_Debitos!$Q:$Q,RIGHT(F$1,2))</f>
        <v>0</v>
      </c>
      <c r="G237" s="2">
        <f>SUMIFS(VI_Debitos!$V:$V,VI_Debitos!$H:$H,$C237,VI_Debitos!$T:$T,$D237,VI_Debitos!$R:$R,LEFT(PAGADO!G$1,4),VI_Debitos!$Q:$Q,RIGHT(G$1,2))</f>
        <v>0</v>
      </c>
      <c r="H237" s="2">
        <f>SUMIFS(VI_Debitos!$V:$V,VI_Debitos!$H:$H,$C237,VI_Debitos!$T:$T,$D237,VI_Debitos!$R:$R,LEFT(PAGADO!H$1,4),VI_Debitos!$Q:$Q,RIGHT(H$1,2))</f>
        <v>0</v>
      </c>
      <c r="I237" s="2">
        <f>SUMIFS(VI_Debitos!$V:$V,VI_Debitos!$H:$H,$C237,VI_Debitos!$T:$T,$D237,VI_Debitos!$R:$R,LEFT(PAGADO!I$1,4),VI_Debitos!$Q:$Q,RIGHT(I$1,2))</f>
        <v>0</v>
      </c>
      <c r="J237" s="2">
        <f>SUMIFS(VI_Debitos!$V:$V,VI_Debitos!$H:$H,$C237,VI_Debitos!$T:$T,$D237,VI_Debitos!$R:$R,LEFT(PAGADO!J$1,4),VI_Debitos!$Q:$Q,RIGHT(J$1,2))</f>
        <v>0</v>
      </c>
      <c r="K237" s="2">
        <f>SUMIFS(VI_Debitos!$V:$V,VI_Debitos!$H:$H,$C237,VI_Debitos!$T:$T,$D237,VI_Debitos!$R:$R,LEFT(PAGADO!K$1,4),VI_Debitos!$Q:$Q,RIGHT(K$1,2))</f>
        <v>0</v>
      </c>
      <c r="L237" s="2">
        <f>SUMIFS(VI_Debitos!$V:$V,VI_Debitos!$H:$H,$C237,VI_Debitos!$T:$T,$D237,VI_Debitos!$R:$R,LEFT(PAGADO!L$1,4),VI_Debitos!$Q:$Q,RIGHT(L$1,2))</f>
        <v>0</v>
      </c>
      <c r="M237" s="2">
        <f>SUMIFS(VI_Debitos!$V:$V,VI_Debitos!$H:$H,$C237,VI_Debitos!$T:$T,$D237,VI_Debitos!$R:$R,LEFT(PAGADO!M$1,4),VI_Debitos!$Q:$Q,RIGHT(M$1,2))</f>
        <v>0</v>
      </c>
      <c r="N237" s="2">
        <f>SUMIFS(VI_Debitos!$V:$V,VI_Debitos!$H:$H,$C237,VI_Debitos!$T:$T,$D237,VI_Debitos!$R:$R,LEFT(PAGADO!N$1,4),VI_Debitos!$Q:$Q,RIGHT(N$1,2))</f>
        <v>0</v>
      </c>
      <c r="O237" s="2">
        <f>SUMIFS(VI_Debitos!$V:$V,VI_Debitos!$H:$H,$C237,VI_Debitos!$T:$T,$D237,VI_Debitos!$R:$R,LEFT(PAGADO!O$1,4),VI_Debitos!$Q:$Q,RIGHT(O$1,2))</f>
        <v>0</v>
      </c>
      <c r="P237" s="2">
        <f>SUMIFS(VI_Debitos!$V:$V,VI_Debitos!$H:$H,$C237,VI_Debitos!$T:$T,$D237,VI_Debitos!$R:$R,LEFT(PAGADO!P$1,4),VI_Debitos!$Q:$Q,RIGHT(P$1,2))</f>
        <v>0</v>
      </c>
      <c r="Q237" s="2">
        <f>SUMIFS(VI_Debitos!$V:$V,VI_Debitos!$H:$H,$C237,VI_Debitos!$T:$T,$D237,VI_Debitos!$R:$R,LEFT(PAGADO!Q$1,4),VI_Debitos!$Q:$Q,RIGHT(Q$1,2))</f>
        <v>0</v>
      </c>
      <c r="R237" s="2">
        <f t="shared" si="3"/>
        <v>0</v>
      </c>
    </row>
    <row r="238" spans="6:18">
      <c r="F238" s="2">
        <f>SUMIFS(VI_Debitos!$V:$V,VI_Debitos!$H:$H,$C238,VI_Debitos!$T:$T,$D238,VI_Debitos!$R:$R,LEFT(PAGADO!F$1,4),VI_Debitos!$Q:$Q,RIGHT(F$1,2))</f>
        <v>0</v>
      </c>
      <c r="G238" s="2">
        <f>SUMIFS(VI_Debitos!$V:$V,VI_Debitos!$H:$H,$C238,VI_Debitos!$T:$T,$D238,VI_Debitos!$R:$R,LEFT(PAGADO!G$1,4),VI_Debitos!$Q:$Q,RIGHT(G$1,2))</f>
        <v>0</v>
      </c>
      <c r="H238" s="2">
        <f>SUMIFS(VI_Debitos!$V:$V,VI_Debitos!$H:$H,$C238,VI_Debitos!$T:$T,$D238,VI_Debitos!$R:$R,LEFT(PAGADO!H$1,4),VI_Debitos!$Q:$Q,RIGHT(H$1,2))</f>
        <v>0</v>
      </c>
      <c r="I238" s="2">
        <f>SUMIFS(VI_Debitos!$V:$V,VI_Debitos!$H:$H,$C238,VI_Debitos!$T:$T,$D238,VI_Debitos!$R:$R,LEFT(PAGADO!I$1,4),VI_Debitos!$Q:$Q,RIGHT(I$1,2))</f>
        <v>0</v>
      </c>
      <c r="J238" s="2">
        <f>SUMIFS(VI_Debitos!$V:$V,VI_Debitos!$H:$H,$C238,VI_Debitos!$T:$T,$D238,VI_Debitos!$R:$R,LEFT(PAGADO!J$1,4),VI_Debitos!$Q:$Q,RIGHT(J$1,2))</f>
        <v>0</v>
      </c>
      <c r="K238" s="2">
        <f>SUMIFS(VI_Debitos!$V:$V,VI_Debitos!$H:$H,$C238,VI_Debitos!$T:$T,$D238,VI_Debitos!$R:$R,LEFT(PAGADO!K$1,4),VI_Debitos!$Q:$Q,RIGHT(K$1,2))</f>
        <v>0</v>
      </c>
      <c r="L238" s="2">
        <f>SUMIFS(VI_Debitos!$V:$V,VI_Debitos!$H:$H,$C238,VI_Debitos!$T:$T,$D238,VI_Debitos!$R:$R,LEFT(PAGADO!L$1,4),VI_Debitos!$Q:$Q,RIGHT(L$1,2))</f>
        <v>0</v>
      </c>
      <c r="M238" s="2">
        <f>SUMIFS(VI_Debitos!$V:$V,VI_Debitos!$H:$H,$C238,VI_Debitos!$T:$T,$D238,VI_Debitos!$R:$R,LEFT(PAGADO!M$1,4),VI_Debitos!$Q:$Q,RIGHT(M$1,2))</f>
        <v>0</v>
      </c>
      <c r="N238" s="2">
        <f>SUMIFS(VI_Debitos!$V:$V,VI_Debitos!$H:$H,$C238,VI_Debitos!$T:$T,$D238,VI_Debitos!$R:$R,LEFT(PAGADO!N$1,4),VI_Debitos!$Q:$Q,RIGHT(N$1,2))</f>
        <v>0</v>
      </c>
      <c r="O238" s="2">
        <f>SUMIFS(VI_Debitos!$V:$V,VI_Debitos!$H:$H,$C238,VI_Debitos!$T:$T,$D238,VI_Debitos!$R:$R,LEFT(PAGADO!O$1,4),VI_Debitos!$Q:$Q,RIGHT(O$1,2))</f>
        <v>0</v>
      </c>
      <c r="P238" s="2">
        <f>SUMIFS(VI_Debitos!$V:$V,VI_Debitos!$H:$H,$C238,VI_Debitos!$T:$T,$D238,VI_Debitos!$R:$R,LEFT(PAGADO!P$1,4),VI_Debitos!$Q:$Q,RIGHT(P$1,2))</f>
        <v>0</v>
      </c>
      <c r="Q238" s="2">
        <f>SUMIFS(VI_Debitos!$V:$V,VI_Debitos!$H:$H,$C238,VI_Debitos!$T:$T,$D238,VI_Debitos!$R:$R,LEFT(PAGADO!Q$1,4),VI_Debitos!$Q:$Q,RIGHT(Q$1,2))</f>
        <v>0</v>
      </c>
      <c r="R238" s="2">
        <f t="shared" si="3"/>
        <v>0</v>
      </c>
    </row>
    <row r="239" spans="6:18">
      <c r="F239" s="2">
        <f>SUMIFS(VI_Debitos!$V:$V,VI_Debitos!$H:$H,$C239,VI_Debitos!$T:$T,$D239,VI_Debitos!$R:$R,LEFT(PAGADO!F$1,4),VI_Debitos!$Q:$Q,RIGHT(F$1,2))</f>
        <v>0</v>
      </c>
      <c r="G239" s="2">
        <f>SUMIFS(VI_Debitos!$V:$V,VI_Debitos!$H:$H,$C239,VI_Debitos!$T:$T,$D239,VI_Debitos!$R:$R,LEFT(PAGADO!G$1,4),VI_Debitos!$Q:$Q,RIGHT(G$1,2))</f>
        <v>0</v>
      </c>
      <c r="H239" s="2">
        <f>SUMIFS(VI_Debitos!$V:$V,VI_Debitos!$H:$H,$C239,VI_Debitos!$T:$T,$D239,VI_Debitos!$R:$R,LEFT(PAGADO!H$1,4),VI_Debitos!$Q:$Q,RIGHT(H$1,2))</f>
        <v>0</v>
      </c>
      <c r="I239" s="2">
        <f>SUMIFS(VI_Debitos!$V:$V,VI_Debitos!$H:$H,$C239,VI_Debitos!$T:$T,$D239,VI_Debitos!$R:$R,LEFT(PAGADO!I$1,4),VI_Debitos!$Q:$Q,RIGHT(I$1,2))</f>
        <v>0</v>
      </c>
      <c r="J239" s="2">
        <f>SUMIFS(VI_Debitos!$V:$V,VI_Debitos!$H:$H,$C239,VI_Debitos!$T:$T,$D239,VI_Debitos!$R:$R,LEFT(PAGADO!J$1,4),VI_Debitos!$Q:$Q,RIGHT(J$1,2))</f>
        <v>0</v>
      </c>
      <c r="K239" s="2">
        <f>SUMIFS(VI_Debitos!$V:$V,VI_Debitos!$H:$H,$C239,VI_Debitos!$T:$T,$D239,VI_Debitos!$R:$R,LEFT(PAGADO!K$1,4),VI_Debitos!$Q:$Q,RIGHT(K$1,2))</f>
        <v>0</v>
      </c>
      <c r="L239" s="2">
        <f>SUMIFS(VI_Debitos!$V:$V,VI_Debitos!$H:$H,$C239,VI_Debitos!$T:$T,$D239,VI_Debitos!$R:$R,LEFT(PAGADO!L$1,4),VI_Debitos!$Q:$Q,RIGHT(L$1,2))</f>
        <v>0</v>
      </c>
      <c r="M239" s="2">
        <f>SUMIFS(VI_Debitos!$V:$V,VI_Debitos!$H:$H,$C239,VI_Debitos!$T:$T,$D239,VI_Debitos!$R:$R,LEFT(PAGADO!M$1,4),VI_Debitos!$Q:$Q,RIGHT(M$1,2))</f>
        <v>0</v>
      </c>
      <c r="N239" s="2">
        <f>SUMIFS(VI_Debitos!$V:$V,VI_Debitos!$H:$H,$C239,VI_Debitos!$T:$T,$D239,VI_Debitos!$R:$R,LEFT(PAGADO!N$1,4),VI_Debitos!$Q:$Q,RIGHT(N$1,2))</f>
        <v>0</v>
      </c>
      <c r="O239" s="2">
        <f>SUMIFS(VI_Debitos!$V:$V,VI_Debitos!$H:$H,$C239,VI_Debitos!$T:$T,$D239,VI_Debitos!$R:$R,LEFT(PAGADO!O$1,4),VI_Debitos!$Q:$Q,RIGHT(O$1,2))</f>
        <v>0</v>
      </c>
      <c r="P239" s="2">
        <f>SUMIFS(VI_Debitos!$V:$V,VI_Debitos!$H:$H,$C239,VI_Debitos!$T:$T,$D239,VI_Debitos!$R:$R,LEFT(PAGADO!P$1,4),VI_Debitos!$Q:$Q,RIGHT(P$1,2))</f>
        <v>0</v>
      </c>
      <c r="Q239" s="2">
        <f>SUMIFS(VI_Debitos!$V:$V,VI_Debitos!$H:$H,$C239,VI_Debitos!$T:$T,$D239,VI_Debitos!$R:$R,LEFT(PAGADO!Q$1,4),VI_Debitos!$Q:$Q,RIGHT(Q$1,2))</f>
        <v>0</v>
      </c>
      <c r="R239" s="2">
        <f t="shared" si="3"/>
        <v>0</v>
      </c>
    </row>
    <row r="240" spans="6:18">
      <c r="F240" s="2">
        <f>SUMIFS(VI_Debitos!$V:$V,VI_Debitos!$H:$H,$C240,VI_Debitos!$T:$T,$D240,VI_Debitos!$R:$R,LEFT(PAGADO!F$1,4),VI_Debitos!$Q:$Q,RIGHT(F$1,2))</f>
        <v>0</v>
      </c>
      <c r="G240" s="2">
        <f>SUMIFS(VI_Debitos!$V:$V,VI_Debitos!$H:$H,$C240,VI_Debitos!$T:$T,$D240,VI_Debitos!$R:$R,LEFT(PAGADO!G$1,4),VI_Debitos!$Q:$Q,RIGHT(G$1,2))</f>
        <v>0</v>
      </c>
      <c r="H240" s="2">
        <f>SUMIFS(VI_Debitos!$V:$V,VI_Debitos!$H:$H,$C240,VI_Debitos!$T:$T,$D240,VI_Debitos!$R:$R,LEFT(PAGADO!H$1,4),VI_Debitos!$Q:$Q,RIGHT(H$1,2))</f>
        <v>0</v>
      </c>
      <c r="I240" s="2">
        <f>SUMIFS(VI_Debitos!$V:$V,VI_Debitos!$H:$H,$C240,VI_Debitos!$T:$T,$D240,VI_Debitos!$R:$R,LEFT(PAGADO!I$1,4),VI_Debitos!$Q:$Q,RIGHT(I$1,2))</f>
        <v>0</v>
      </c>
      <c r="J240" s="2">
        <f>SUMIFS(VI_Debitos!$V:$V,VI_Debitos!$H:$H,$C240,VI_Debitos!$T:$T,$D240,VI_Debitos!$R:$R,LEFT(PAGADO!J$1,4),VI_Debitos!$Q:$Q,RIGHT(J$1,2))</f>
        <v>0</v>
      </c>
      <c r="K240" s="2">
        <f>SUMIFS(VI_Debitos!$V:$V,VI_Debitos!$H:$H,$C240,VI_Debitos!$T:$T,$D240,VI_Debitos!$R:$R,LEFT(PAGADO!K$1,4),VI_Debitos!$Q:$Q,RIGHT(K$1,2))</f>
        <v>0</v>
      </c>
      <c r="L240" s="2">
        <f>SUMIFS(VI_Debitos!$V:$V,VI_Debitos!$H:$H,$C240,VI_Debitos!$T:$T,$D240,VI_Debitos!$R:$R,LEFT(PAGADO!L$1,4),VI_Debitos!$Q:$Q,RIGHT(L$1,2))</f>
        <v>0</v>
      </c>
      <c r="M240" s="2">
        <f>SUMIFS(VI_Debitos!$V:$V,VI_Debitos!$H:$H,$C240,VI_Debitos!$T:$T,$D240,VI_Debitos!$R:$R,LEFT(PAGADO!M$1,4),VI_Debitos!$Q:$Q,RIGHT(M$1,2))</f>
        <v>0</v>
      </c>
      <c r="N240" s="2">
        <f>SUMIFS(VI_Debitos!$V:$V,VI_Debitos!$H:$H,$C240,VI_Debitos!$T:$T,$D240,VI_Debitos!$R:$R,LEFT(PAGADO!N$1,4),VI_Debitos!$Q:$Q,RIGHT(N$1,2))</f>
        <v>0</v>
      </c>
      <c r="O240" s="2">
        <f>SUMIFS(VI_Debitos!$V:$V,VI_Debitos!$H:$H,$C240,VI_Debitos!$T:$T,$D240,VI_Debitos!$R:$R,LEFT(PAGADO!O$1,4),VI_Debitos!$Q:$Q,RIGHT(O$1,2))</f>
        <v>0</v>
      </c>
      <c r="P240" s="2">
        <f>SUMIFS(VI_Debitos!$V:$V,VI_Debitos!$H:$H,$C240,VI_Debitos!$T:$T,$D240,VI_Debitos!$R:$R,LEFT(PAGADO!P$1,4),VI_Debitos!$Q:$Q,RIGHT(P$1,2))</f>
        <v>0</v>
      </c>
      <c r="Q240" s="2">
        <f>SUMIFS(VI_Debitos!$V:$V,VI_Debitos!$H:$H,$C240,VI_Debitos!$T:$T,$D240,VI_Debitos!$R:$R,LEFT(PAGADO!Q$1,4),VI_Debitos!$Q:$Q,RIGHT(Q$1,2))</f>
        <v>0</v>
      </c>
      <c r="R240" s="2">
        <f t="shared" si="3"/>
        <v>0</v>
      </c>
    </row>
    <row r="241" spans="6:18">
      <c r="F241" s="2">
        <f>SUMIFS(VI_Debitos!$V:$V,VI_Debitos!$H:$H,$C241,VI_Debitos!$T:$T,$D241,VI_Debitos!$R:$R,LEFT(PAGADO!F$1,4),VI_Debitos!$Q:$Q,RIGHT(F$1,2))</f>
        <v>0</v>
      </c>
      <c r="G241" s="2">
        <f>SUMIFS(VI_Debitos!$V:$V,VI_Debitos!$H:$H,$C241,VI_Debitos!$T:$T,$D241,VI_Debitos!$R:$R,LEFT(PAGADO!G$1,4),VI_Debitos!$Q:$Q,RIGHT(G$1,2))</f>
        <v>0</v>
      </c>
      <c r="H241" s="2">
        <f>SUMIFS(VI_Debitos!$V:$V,VI_Debitos!$H:$H,$C241,VI_Debitos!$T:$T,$D241,VI_Debitos!$R:$R,LEFT(PAGADO!H$1,4),VI_Debitos!$Q:$Q,RIGHT(H$1,2))</f>
        <v>0</v>
      </c>
      <c r="I241" s="2">
        <f>SUMIFS(VI_Debitos!$V:$V,VI_Debitos!$H:$H,$C241,VI_Debitos!$T:$T,$D241,VI_Debitos!$R:$R,LEFT(PAGADO!I$1,4),VI_Debitos!$Q:$Q,RIGHT(I$1,2))</f>
        <v>0</v>
      </c>
      <c r="J241" s="2">
        <f>SUMIFS(VI_Debitos!$V:$V,VI_Debitos!$H:$H,$C241,VI_Debitos!$T:$T,$D241,VI_Debitos!$R:$R,LEFT(PAGADO!J$1,4),VI_Debitos!$Q:$Q,RIGHT(J$1,2))</f>
        <v>0</v>
      </c>
      <c r="K241" s="2">
        <f>SUMIFS(VI_Debitos!$V:$V,VI_Debitos!$H:$H,$C241,VI_Debitos!$T:$T,$D241,VI_Debitos!$R:$R,LEFT(PAGADO!K$1,4),VI_Debitos!$Q:$Q,RIGHT(K$1,2))</f>
        <v>0</v>
      </c>
      <c r="L241" s="2">
        <f>SUMIFS(VI_Debitos!$V:$V,VI_Debitos!$H:$H,$C241,VI_Debitos!$T:$T,$D241,VI_Debitos!$R:$R,LEFT(PAGADO!L$1,4),VI_Debitos!$Q:$Q,RIGHT(L$1,2))</f>
        <v>0</v>
      </c>
      <c r="M241" s="2">
        <f>SUMIFS(VI_Debitos!$V:$V,VI_Debitos!$H:$H,$C241,VI_Debitos!$T:$T,$D241,VI_Debitos!$R:$R,LEFT(PAGADO!M$1,4),VI_Debitos!$Q:$Q,RIGHT(M$1,2))</f>
        <v>0</v>
      </c>
      <c r="N241" s="2">
        <f>SUMIFS(VI_Debitos!$V:$V,VI_Debitos!$H:$H,$C241,VI_Debitos!$T:$T,$D241,VI_Debitos!$R:$R,LEFT(PAGADO!N$1,4),VI_Debitos!$Q:$Q,RIGHT(N$1,2))</f>
        <v>0</v>
      </c>
      <c r="O241" s="2">
        <f>SUMIFS(VI_Debitos!$V:$V,VI_Debitos!$H:$H,$C241,VI_Debitos!$T:$T,$D241,VI_Debitos!$R:$R,LEFT(PAGADO!O$1,4),VI_Debitos!$Q:$Q,RIGHT(O$1,2))</f>
        <v>0</v>
      </c>
      <c r="P241" s="2">
        <f>SUMIFS(VI_Debitos!$V:$V,VI_Debitos!$H:$H,$C241,VI_Debitos!$T:$T,$D241,VI_Debitos!$R:$R,LEFT(PAGADO!P$1,4),VI_Debitos!$Q:$Q,RIGHT(P$1,2))</f>
        <v>0</v>
      </c>
      <c r="Q241" s="2">
        <f>SUMIFS(VI_Debitos!$V:$V,VI_Debitos!$H:$H,$C241,VI_Debitos!$T:$T,$D241,VI_Debitos!$R:$R,LEFT(PAGADO!Q$1,4),VI_Debitos!$Q:$Q,RIGHT(Q$1,2))</f>
        <v>0</v>
      </c>
      <c r="R241" s="2">
        <f t="shared" si="3"/>
        <v>0</v>
      </c>
    </row>
    <row r="242" spans="6:18">
      <c r="F242" s="2">
        <f>SUMIFS(VI_Debitos!$V:$V,VI_Debitos!$H:$H,$C242,VI_Debitos!$T:$T,$D242,VI_Debitos!$R:$R,LEFT(PAGADO!F$1,4),VI_Debitos!$Q:$Q,RIGHT(F$1,2))</f>
        <v>0</v>
      </c>
      <c r="G242" s="2">
        <f>SUMIFS(VI_Debitos!$V:$V,VI_Debitos!$H:$H,$C242,VI_Debitos!$T:$T,$D242,VI_Debitos!$R:$R,LEFT(PAGADO!G$1,4),VI_Debitos!$Q:$Q,RIGHT(G$1,2))</f>
        <v>0</v>
      </c>
      <c r="H242" s="2">
        <f>SUMIFS(VI_Debitos!$V:$V,VI_Debitos!$H:$H,$C242,VI_Debitos!$T:$T,$D242,VI_Debitos!$R:$R,LEFT(PAGADO!H$1,4),VI_Debitos!$Q:$Q,RIGHT(H$1,2))</f>
        <v>0</v>
      </c>
      <c r="I242" s="2">
        <f>SUMIFS(VI_Debitos!$V:$V,VI_Debitos!$H:$H,$C242,VI_Debitos!$T:$T,$D242,VI_Debitos!$R:$R,LEFT(PAGADO!I$1,4),VI_Debitos!$Q:$Q,RIGHT(I$1,2))</f>
        <v>0</v>
      </c>
      <c r="J242" s="2">
        <f>SUMIFS(VI_Debitos!$V:$V,VI_Debitos!$H:$H,$C242,VI_Debitos!$T:$T,$D242,VI_Debitos!$R:$R,LEFT(PAGADO!J$1,4),VI_Debitos!$Q:$Q,RIGHT(J$1,2))</f>
        <v>0</v>
      </c>
      <c r="K242" s="2">
        <f>SUMIFS(VI_Debitos!$V:$V,VI_Debitos!$H:$H,$C242,VI_Debitos!$T:$T,$D242,VI_Debitos!$R:$R,LEFT(PAGADO!K$1,4),VI_Debitos!$Q:$Q,RIGHT(K$1,2))</f>
        <v>0</v>
      </c>
      <c r="L242" s="2">
        <f>SUMIFS(VI_Debitos!$V:$V,VI_Debitos!$H:$H,$C242,VI_Debitos!$T:$T,$D242,VI_Debitos!$R:$R,LEFT(PAGADO!L$1,4),VI_Debitos!$Q:$Q,RIGHT(L$1,2))</f>
        <v>0</v>
      </c>
      <c r="M242" s="2">
        <f>SUMIFS(VI_Debitos!$V:$V,VI_Debitos!$H:$H,$C242,VI_Debitos!$T:$T,$D242,VI_Debitos!$R:$R,LEFT(PAGADO!M$1,4),VI_Debitos!$Q:$Q,RIGHT(M$1,2))</f>
        <v>0</v>
      </c>
      <c r="N242" s="2">
        <f>SUMIFS(VI_Debitos!$V:$V,VI_Debitos!$H:$H,$C242,VI_Debitos!$T:$T,$D242,VI_Debitos!$R:$R,LEFT(PAGADO!N$1,4),VI_Debitos!$Q:$Q,RIGHT(N$1,2))</f>
        <v>0</v>
      </c>
      <c r="O242" s="2">
        <f>SUMIFS(VI_Debitos!$V:$V,VI_Debitos!$H:$H,$C242,VI_Debitos!$T:$T,$D242,VI_Debitos!$R:$R,LEFT(PAGADO!O$1,4),VI_Debitos!$Q:$Q,RIGHT(O$1,2))</f>
        <v>0</v>
      </c>
      <c r="P242" s="2">
        <f>SUMIFS(VI_Debitos!$V:$V,VI_Debitos!$H:$H,$C242,VI_Debitos!$T:$T,$D242,VI_Debitos!$R:$R,LEFT(PAGADO!P$1,4),VI_Debitos!$Q:$Q,RIGHT(P$1,2))</f>
        <v>0</v>
      </c>
      <c r="Q242" s="2">
        <f>SUMIFS(VI_Debitos!$V:$V,VI_Debitos!$H:$H,$C242,VI_Debitos!$T:$T,$D242,VI_Debitos!$R:$R,LEFT(PAGADO!Q$1,4),VI_Debitos!$Q:$Q,RIGHT(Q$1,2))</f>
        <v>0</v>
      </c>
      <c r="R242" s="2">
        <f t="shared" si="3"/>
        <v>0</v>
      </c>
    </row>
    <row r="243" spans="6:18">
      <c r="F243" s="2">
        <f>SUMIFS(VI_Debitos!$V:$V,VI_Debitos!$H:$H,$C243,VI_Debitos!$T:$T,$D243,VI_Debitos!$R:$R,LEFT(PAGADO!F$1,4),VI_Debitos!$Q:$Q,RIGHT(F$1,2))</f>
        <v>0</v>
      </c>
      <c r="G243" s="2">
        <f>SUMIFS(VI_Debitos!$V:$V,VI_Debitos!$H:$H,$C243,VI_Debitos!$T:$T,$D243,VI_Debitos!$R:$R,LEFT(PAGADO!G$1,4),VI_Debitos!$Q:$Q,RIGHT(G$1,2))</f>
        <v>0</v>
      </c>
      <c r="H243" s="2">
        <f>SUMIFS(VI_Debitos!$V:$V,VI_Debitos!$H:$H,$C243,VI_Debitos!$T:$T,$D243,VI_Debitos!$R:$R,LEFT(PAGADO!H$1,4),VI_Debitos!$Q:$Q,RIGHT(H$1,2))</f>
        <v>0</v>
      </c>
      <c r="I243" s="2">
        <f>SUMIFS(VI_Debitos!$V:$V,VI_Debitos!$H:$H,$C243,VI_Debitos!$T:$T,$D243,VI_Debitos!$R:$R,LEFT(PAGADO!I$1,4),VI_Debitos!$Q:$Q,RIGHT(I$1,2))</f>
        <v>0</v>
      </c>
      <c r="J243" s="2">
        <f>SUMIFS(VI_Debitos!$V:$V,VI_Debitos!$H:$H,$C243,VI_Debitos!$T:$T,$D243,VI_Debitos!$R:$R,LEFT(PAGADO!J$1,4),VI_Debitos!$Q:$Q,RIGHT(J$1,2))</f>
        <v>0</v>
      </c>
      <c r="K243" s="2">
        <f>SUMIFS(VI_Debitos!$V:$V,VI_Debitos!$H:$H,$C243,VI_Debitos!$T:$T,$D243,VI_Debitos!$R:$R,LEFT(PAGADO!K$1,4),VI_Debitos!$Q:$Q,RIGHT(K$1,2))</f>
        <v>0</v>
      </c>
      <c r="L243" s="2">
        <f>SUMIFS(VI_Debitos!$V:$V,VI_Debitos!$H:$H,$C243,VI_Debitos!$T:$T,$D243,VI_Debitos!$R:$R,LEFT(PAGADO!L$1,4),VI_Debitos!$Q:$Q,RIGHT(L$1,2))</f>
        <v>0</v>
      </c>
      <c r="M243" s="2">
        <f>SUMIFS(VI_Debitos!$V:$V,VI_Debitos!$H:$H,$C243,VI_Debitos!$T:$T,$D243,VI_Debitos!$R:$R,LEFT(PAGADO!M$1,4),VI_Debitos!$Q:$Q,RIGHT(M$1,2))</f>
        <v>0</v>
      </c>
      <c r="N243" s="2">
        <f>SUMIFS(VI_Debitos!$V:$V,VI_Debitos!$H:$H,$C243,VI_Debitos!$T:$T,$D243,VI_Debitos!$R:$R,LEFT(PAGADO!N$1,4),VI_Debitos!$Q:$Q,RIGHT(N$1,2))</f>
        <v>0</v>
      </c>
      <c r="O243" s="2">
        <f>SUMIFS(VI_Debitos!$V:$V,VI_Debitos!$H:$H,$C243,VI_Debitos!$T:$T,$D243,VI_Debitos!$R:$R,LEFT(PAGADO!O$1,4),VI_Debitos!$Q:$Q,RIGHT(O$1,2))</f>
        <v>0</v>
      </c>
      <c r="P243" s="2">
        <f>SUMIFS(VI_Debitos!$V:$V,VI_Debitos!$H:$H,$C243,VI_Debitos!$T:$T,$D243,VI_Debitos!$R:$R,LEFT(PAGADO!P$1,4),VI_Debitos!$Q:$Q,RIGHT(P$1,2))</f>
        <v>0</v>
      </c>
      <c r="Q243" s="2">
        <f>SUMIFS(VI_Debitos!$V:$V,VI_Debitos!$H:$H,$C243,VI_Debitos!$T:$T,$D243,VI_Debitos!$R:$R,LEFT(PAGADO!Q$1,4),VI_Debitos!$Q:$Q,RIGHT(Q$1,2))</f>
        <v>0</v>
      </c>
      <c r="R243" s="2">
        <f t="shared" si="3"/>
        <v>0</v>
      </c>
    </row>
    <row r="244" spans="6:18">
      <c r="F244" s="2">
        <f>SUMIFS(VI_Debitos!$V:$V,VI_Debitos!$H:$H,$C244,VI_Debitos!$T:$T,$D244,VI_Debitos!$R:$R,LEFT(PAGADO!F$1,4),VI_Debitos!$Q:$Q,RIGHT(F$1,2))</f>
        <v>0</v>
      </c>
      <c r="G244" s="2">
        <f>SUMIFS(VI_Debitos!$V:$V,VI_Debitos!$H:$H,$C244,VI_Debitos!$T:$T,$D244,VI_Debitos!$R:$R,LEFT(PAGADO!G$1,4),VI_Debitos!$Q:$Q,RIGHT(G$1,2))</f>
        <v>0</v>
      </c>
      <c r="H244" s="2">
        <f>SUMIFS(VI_Debitos!$V:$V,VI_Debitos!$H:$H,$C244,VI_Debitos!$T:$T,$D244,VI_Debitos!$R:$R,LEFT(PAGADO!H$1,4),VI_Debitos!$Q:$Q,RIGHT(H$1,2))</f>
        <v>0</v>
      </c>
      <c r="I244" s="2">
        <f>SUMIFS(VI_Debitos!$V:$V,VI_Debitos!$H:$H,$C244,VI_Debitos!$T:$T,$D244,VI_Debitos!$R:$R,LEFT(PAGADO!I$1,4),VI_Debitos!$Q:$Q,RIGHT(I$1,2))</f>
        <v>0</v>
      </c>
      <c r="J244" s="2">
        <f>SUMIFS(VI_Debitos!$V:$V,VI_Debitos!$H:$H,$C244,VI_Debitos!$T:$T,$D244,VI_Debitos!$R:$R,LEFT(PAGADO!J$1,4),VI_Debitos!$Q:$Q,RIGHT(J$1,2))</f>
        <v>0</v>
      </c>
      <c r="K244" s="2">
        <f>SUMIFS(VI_Debitos!$V:$V,VI_Debitos!$H:$H,$C244,VI_Debitos!$T:$T,$D244,VI_Debitos!$R:$R,LEFT(PAGADO!K$1,4),VI_Debitos!$Q:$Q,RIGHT(K$1,2))</f>
        <v>0</v>
      </c>
      <c r="L244" s="2">
        <f>SUMIFS(VI_Debitos!$V:$V,VI_Debitos!$H:$H,$C244,VI_Debitos!$T:$T,$D244,VI_Debitos!$R:$R,LEFT(PAGADO!L$1,4),VI_Debitos!$Q:$Q,RIGHT(L$1,2))</f>
        <v>0</v>
      </c>
      <c r="M244" s="2">
        <f>SUMIFS(VI_Debitos!$V:$V,VI_Debitos!$H:$H,$C244,VI_Debitos!$T:$T,$D244,VI_Debitos!$R:$R,LEFT(PAGADO!M$1,4),VI_Debitos!$Q:$Q,RIGHT(M$1,2))</f>
        <v>0</v>
      </c>
      <c r="N244" s="2">
        <f>SUMIFS(VI_Debitos!$V:$V,VI_Debitos!$H:$H,$C244,VI_Debitos!$T:$T,$D244,VI_Debitos!$R:$R,LEFT(PAGADO!N$1,4),VI_Debitos!$Q:$Q,RIGHT(N$1,2))</f>
        <v>0</v>
      </c>
      <c r="O244" s="2">
        <f>SUMIFS(VI_Debitos!$V:$V,VI_Debitos!$H:$H,$C244,VI_Debitos!$T:$T,$D244,VI_Debitos!$R:$R,LEFT(PAGADO!O$1,4),VI_Debitos!$Q:$Q,RIGHT(O$1,2))</f>
        <v>0</v>
      </c>
      <c r="P244" s="2">
        <f>SUMIFS(VI_Debitos!$V:$V,VI_Debitos!$H:$H,$C244,VI_Debitos!$T:$T,$D244,VI_Debitos!$R:$R,LEFT(PAGADO!P$1,4),VI_Debitos!$Q:$Q,RIGHT(P$1,2))</f>
        <v>0</v>
      </c>
      <c r="Q244" s="2">
        <f>SUMIFS(VI_Debitos!$V:$V,VI_Debitos!$H:$H,$C244,VI_Debitos!$T:$T,$D244,VI_Debitos!$R:$R,LEFT(PAGADO!Q$1,4),VI_Debitos!$Q:$Q,RIGHT(Q$1,2))</f>
        <v>0</v>
      </c>
      <c r="R244" s="2">
        <f t="shared" si="3"/>
        <v>0</v>
      </c>
    </row>
    <row r="245" spans="6:18">
      <c r="F245" s="2">
        <f>SUMIFS(VI_Debitos!$V:$V,VI_Debitos!$H:$H,$C245,VI_Debitos!$T:$T,$D245,VI_Debitos!$R:$R,LEFT(PAGADO!F$1,4),VI_Debitos!$Q:$Q,RIGHT(F$1,2))</f>
        <v>0</v>
      </c>
      <c r="G245" s="2">
        <f>SUMIFS(VI_Debitos!$V:$V,VI_Debitos!$H:$H,$C245,VI_Debitos!$T:$T,$D245,VI_Debitos!$R:$R,LEFT(PAGADO!G$1,4),VI_Debitos!$Q:$Q,RIGHT(G$1,2))</f>
        <v>0</v>
      </c>
      <c r="H245" s="2">
        <f>SUMIFS(VI_Debitos!$V:$V,VI_Debitos!$H:$H,$C245,VI_Debitos!$T:$T,$D245,VI_Debitos!$R:$R,LEFT(PAGADO!H$1,4),VI_Debitos!$Q:$Q,RIGHT(H$1,2))</f>
        <v>0</v>
      </c>
      <c r="I245" s="2">
        <f>SUMIFS(VI_Debitos!$V:$V,VI_Debitos!$H:$H,$C245,VI_Debitos!$T:$T,$D245,VI_Debitos!$R:$R,LEFT(PAGADO!I$1,4),VI_Debitos!$Q:$Q,RIGHT(I$1,2))</f>
        <v>0</v>
      </c>
      <c r="J245" s="2">
        <f>SUMIFS(VI_Debitos!$V:$V,VI_Debitos!$H:$H,$C245,VI_Debitos!$T:$T,$D245,VI_Debitos!$R:$R,LEFT(PAGADO!J$1,4),VI_Debitos!$Q:$Q,RIGHT(J$1,2))</f>
        <v>0</v>
      </c>
      <c r="K245" s="2">
        <f>SUMIFS(VI_Debitos!$V:$V,VI_Debitos!$H:$H,$C245,VI_Debitos!$T:$T,$D245,VI_Debitos!$R:$R,LEFT(PAGADO!K$1,4),VI_Debitos!$Q:$Q,RIGHT(K$1,2))</f>
        <v>0</v>
      </c>
      <c r="L245" s="2">
        <f>SUMIFS(VI_Debitos!$V:$V,VI_Debitos!$H:$H,$C245,VI_Debitos!$T:$T,$D245,VI_Debitos!$R:$R,LEFT(PAGADO!L$1,4),VI_Debitos!$Q:$Q,RIGHT(L$1,2))</f>
        <v>0</v>
      </c>
      <c r="M245" s="2">
        <f>SUMIFS(VI_Debitos!$V:$V,VI_Debitos!$H:$H,$C245,VI_Debitos!$T:$T,$D245,VI_Debitos!$R:$R,LEFT(PAGADO!M$1,4),VI_Debitos!$Q:$Q,RIGHT(M$1,2))</f>
        <v>0</v>
      </c>
      <c r="N245" s="2">
        <f>SUMIFS(VI_Debitos!$V:$V,VI_Debitos!$H:$H,$C245,VI_Debitos!$T:$T,$D245,VI_Debitos!$R:$R,LEFT(PAGADO!N$1,4),VI_Debitos!$Q:$Q,RIGHT(N$1,2))</f>
        <v>0</v>
      </c>
      <c r="O245" s="2">
        <f>SUMIFS(VI_Debitos!$V:$V,VI_Debitos!$H:$H,$C245,VI_Debitos!$T:$T,$D245,VI_Debitos!$R:$R,LEFT(PAGADO!O$1,4),VI_Debitos!$Q:$Q,RIGHT(O$1,2))</f>
        <v>0</v>
      </c>
      <c r="P245" s="2">
        <f>SUMIFS(VI_Debitos!$V:$V,VI_Debitos!$H:$H,$C245,VI_Debitos!$T:$T,$D245,VI_Debitos!$R:$R,LEFT(PAGADO!P$1,4),VI_Debitos!$Q:$Q,RIGHT(P$1,2))</f>
        <v>0</v>
      </c>
      <c r="Q245" s="2">
        <f>SUMIFS(VI_Debitos!$V:$V,VI_Debitos!$H:$H,$C245,VI_Debitos!$T:$T,$D245,VI_Debitos!$R:$R,LEFT(PAGADO!Q$1,4),VI_Debitos!$Q:$Q,RIGHT(Q$1,2))</f>
        <v>0</v>
      </c>
      <c r="R245" s="2">
        <f t="shared" si="3"/>
        <v>0</v>
      </c>
    </row>
    <row r="246" spans="6:18">
      <c r="F246" s="2">
        <f>SUMIFS(VI_Debitos!$V:$V,VI_Debitos!$H:$H,$C246,VI_Debitos!$T:$T,$D246,VI_Debitos!$R:$R,LEFT(PAGADO!F$1,4),VI_Debitos!$Q:$Q,RIGHT(F$1,2))</f>
        <v>0</v>
      </c>
      <c r="G246" s="2">
        <f>SUMIFS(VI_Debitos!$V:$V,VI_Debitos!$H:$H,$C246,VI_Debitos!$T:$T,$D246,VI_Debitos!$R:$R,LEFT(PAGADO!G$1,4),VI_Debitos!$Q:$Q,RIGHT(G$1,2))</f>
        <v>0</v>
      </c>
      <c r="H246" s="2">
        <f>SUMIFS(VI_Debitos!$V:$V,VI_Debitos!$H:$H,$C246,VI_Debitos!$T:$T,$D246,VI_Debitos!$R:$R,LEFT(PAGADO!H$1,4),VI_Debitos!$Q:$Q,RIGHT(H$1,2))</f>
        <v>0</v>
      </c>
      <c r="I246" s="2">
        <f>SUMIFS(VI_Debitos!$V:$V,VI_Debitos!$H:$H,$C246,VI_Debitos!$T:$T,$D246,VI_Debitos!$R:$R,LEFT(PAGADO!I$1,4),VI_Debitos!$Q:$Q,RIGHT(I$1,2))</f>
        <v>0</v>
      </c>
      <c r="J246" s="2">
        <f>SUMIFS(VI_Debitos!$V:$V,VI_Debitos!$H:$H,$C246,VI_Debitos!$T:$T,$D246,VI_Debitos!$R:$R,LEFT(PAGADO!J$1,4),VI_Debitos!$Q:$Q,RIGHT(J$1,2))</f>
        <v>0</v>
      </c>
      <c r="K246" s="2">
        <f>SUMIFS(VI_Debitos!$V:$V,VI_Debitos!$H:$H,$C246,VI_Debitos!$T:$T,$D246,VI_Debitos!$R:$R,LEFT(PAGADO!K$1,4),VI_Debitos!$Q:$Q,RIGHT(K$1,2))</f>
        <v>0</v>
      </c>
      <c r="L246" s="2">
        <f>SUMIFS(VI_Debitos!$V:$V,VI_Debitos!$H:$H,$C246,VI_Debitos!$T:$T,$D246,VI_Debitos!$R:$R,LEFT(PAGADO!L$1,4),VI_Debitos!$Q:$Q,RIGHT(L$1,2))</f>
        <v>0</v>
      </c>
      <c r="M246" s="2">
        <f>SUMIFS(VI_Debitos!$V:$V,VI_Debitos!$H:$H,$C246,VI_Debitos!$T:$T,$D246,VI_Debitos!$R:$R,LEFT(PAGADO!M$1,4),VI_Debitos!$Q:$Q,RIGHT(M$1,2))</f>
        <v>0</v>
      </c>
      <c r="N246" s="2">
        <f>SUMIFS(VI_Debitos!$V:$V,VI_Debitos!$H:$H,$C246,VI_Debitos!$T:$T,$D246,VI_Debitos!$R:$R,LEFT(PAGADO!N$1,4),VI_Debitos!$Q:$Q,RIGHT(N$1,2))</f>
        <v>0</v>
      </c>
      <c r="O246" s="2">
        <f>SUMIFS(VI_Debitos!$V:$V,VI_Debitos!$H:$H,$C246,VI_Debitos!$T:$T,$D246,VI_Debitos!$R:$R,LEFT(PAGADO!O$1,4),VI_Debitos!$Q:$Q,RIGHT(O$1,2))</f>
        <v>0</v>
      </c>
      <c r="P246" s="2">
        <f>SUMIFS(VI_Debitos!$V:$V,VI_Debitos!$H:$H,$C246,VI_Debitos!$T:$T,$D246,VI_Debitos!$R:$R,LEFT(PAGADO!P$1,4),VI_Debitos!$Q:$Q,RIGHT(P$1,2))</f>
        <v>0</v>
      </c>
      <c r="Q246" s="2">
        <f>SUMIFS(VI_Debitos!$V:$V,VI_Debitos!$H:$H,$C246,VI_Debitos!$T:$T,$D246,VI_Debitos!$R:$R,LEFT(PAGADO!Q$1,4),VI_Debitos!$Q:$Q,RIGHT(Q$1,2))</f>
        <v>0</v>
      </c>
      <c r="R246" s="2">
        <f t="shared" si="3"/>
        <v>0</v>
      </c>
    </row>
    <row r="247" spans="6:18">
      <c r="F247" s="2">
        <f>SUMIFS(VI_Debitos!$V:$V,VI_Debitos!$H:$H,$C247,VI_Debitos!$T:$T,$D247,VI_Debitos!$R:$R,LEFT(PAGADO!F$1,4),VI_Debitos!$Q:$Q,RIGHT(F$1,2))</f>
        <v>0</v>
      </c>
      <c r="G247" s="2">
        <f>SUMIFS(VI_Debitos!$V:$V,VI_Debitos!$H:$H,$C247,VI_Debitos!$T:$T,$D247,VI_Debitos!$R:$R,LEFT(PAGADO!G$1,4),VI_Debitos!$Q:$Q,RIGHT(G$1,2))</f>
        <v>0</v>
      </c>
      <c r="H247" s="2">
        <f>SUMIFS(VI_Debitos!$V:$V,VI_Debitos!$H:$H,$C247,VI_Debitos!$T:$T,$D247,VI_Debitos!$R:$R,LEFT(PAGADO!H$1,4),VI_Debitos!$Q:$Q,RIGHT(H$1,2))</f>
        <v>0</v>
      </c>
      <c r="I247" s="2">
        <f>SUMIFS(VI_Debitos!$V:$V,VI_Debitos!$H:$H,$C247,VI_Debitos!$T:$T,$D247,VI_Debitos!$R:$R,LEFT(PAGADO!I$1,4),VI_Debitos!$Q:$Q,RIGHT(I$1,2))</f>
        <v>0</v>
      </c>
      <c r="J247" s="2">
        <f>SUMIFS(VI_Debitos!$V:$V,VI_Debitos!$H:$H,$C247,VI_Debitos!$T:$T,$D247,VI_Debitos!$R:$R,LEFT(PAGADO!J$1,4),VI_Debitos!$Q:$Q,RIGHT(J$1,2))</f>
        <v>0</v>
      </c>
      <c r="K247" s="2">
        <f>SUMIFS(VI_Debitos!$V:$V,VI_Debitos!$H:$H,$C247,VI_Debitos!$T:$T,$D247,VI_Debitos!$R:$R,LEFT(PAGADO!K$1,4),VI_Debitos!$Q:$Q,RIGHT(K$1,2))</f>
        <v>0</v>
      </c>
      <c r="L247" s="2">
        <f>SUMIFS(VI_Debitos!$V:$V,VI_Debitos!$H:$H,$C247,VI_Debitos!$T:$T,$D247,VI_Debitos!$R:$R,LEFT(PAGADO!L$1,4),VI_Debitos!$Q:$Q,RIGHT(L$1,2))</f>
        <v>0</v>
      </c>
      <c r="M247" s="2">
        <f>SUMIFS(VI_Debitos!$V:$V,VI_Debitos!$H:$H,$C247,VI_Debitos!$T:$T,$D247,VI_Debitos!$R:$R,LEFT(PAGADO!M$1,4),VI_Debitos!$Q:$Q,RIGHT(M$1,2))</f>
        <v>0</v>
      </c>
      <c r="N247" s="2">
        <f>SUMIFS(VI_Debitos!$V:$V,VI_Debitos!$H:$H,$C247,VI_Debitos!$T:$T,$D247,VI_Debitos!$R:$R,LEFT(PAGADO!N$1,4),VI_Debitos!$Q:$Q,RIGHT(N$1,2))</f>
        <v>0</v>
      </c>
      <c r="O247" s="2">
        <f>SUMIFS(VI_Debitos!$V:$V,VI_Debitos!$H:$H,$C247,VI_Debitos!$T:$T,$D247,VI_Debitos!$R:$R,LEFT(PAGADO!O$1,4),VI_Debitos!$Q:$Q,RIGHT(O$1,2))</f>
        <v>0</v>
      </c>
      <c r="P247" s="2">
        <f>SUMIFS(VI_Debitos!$V:$V,VI_Debitos!$H:$H,$C247,VI_Debitos!$T:$T,$D247,VI_Debitos!$R:$R,LEFT(PAGADO!P$1,4),VI_Debitos!$Q:$Q,RIGHT(P$1,2))</f>
        <v>0</v>
      </c>
      <c r="Q247" s="2">
        <f>SUMIFS(VI_Debitos!$V:$V,VI_Debitos!$H:$H,$C247,VI_Debitos!$T:$T,$D247,VI_Debitos!$R:$R,LEFT(PAGADO!Q$1,4),VI_Debitos!$Q:$Q,RIGHT(Q$1,2))</f>
        <v>0</v>
      </c>
      <c r="R247" s="2">
        <f t="shared" si="3"/>
        <v>0</v>
      </c>
    </row>
    <row r="248" spans="6:18">
      <c r="F248" s="2">
        <f>SUMIFS(VI_Debitos!$V:$V,VI_Debitos!$H:$H,$C248,VI_Debitos!$T:$T,$D248,VI_Debitos!$R:$R,LEFT(PAGADO!F$1,4),VI_Debitos!$Q:$Q,RIGHT(F$1,2))</f>
        <v>0</v>
      </c>
      <c r="G248" s="2">
        <f>SUMIFS(VI_Debitos!$V:$V,VI_Debitos!$H:$H,$C248,VI_Debitos!$T:$T,$D248,VI_Debitos!$R:$R,LEFT(PAGADO!G$1,4),VI_Debitos!$Q:$Q,RIGHT(G$1,2))</f>
        <v>0</v>
      </c>
      <c r="H248" s="2">
        <f>SUMIFS(VI_Debitos!$V:$V,VI_Debitos!$H:$H,$C248,VI_Debitos!$T:$T,$D248,VI_Debitos!$R:$R,LEFT(PAGADO!H$1,4),VI_Debitos!$Q:$Q,RIGHT(H$1,2))</f>
        <v>0</v>
      </c>
      <c r="I248" s="2">
        <f>SUMIFS(VI_Debitos!$V:$V,VI_Debitos!$H:$H,$C248,VI_Debitos!$T:$T,$D248,VI_Debitos!$R:$R,LEFT(PAGADO!I$1,4),VI_Debitos!$Q:$Q,RIGHT(I$1,2))</f>
        <v>0</v>
      </c>
      <c r="J248" s="2">
        <f>SUMIFS(VI_Debitos!$V:$V,VI_Debitos!$H:$H,$C248,VI_Debitos!$T:$T,$D248,VI_Debitos!$R:$R,LEFT(PAGADO!J$1,4),VI_Debitos!$Q:$Q,RIGHT(J$1,2))</f>
        <v>0</v>
      </c>
      <c r="K248" s="2">
        <f>SUMIFS(VI_Debitos!$V:$V,VI_Debitos!$H:$H,$C248,VI_Debitos!$T:$T,$D248,VI_Debitos!$R:$R,LEFT(PAGADO!K$1,4),VI_Debitos!$Q:$Q,RIGHT(K$1,2))</f>
        <v>0</v>
      </c>
      <c r="L248" s="2">
        <f>SUMIFS(VI_Debitos!$V:$V,VI_Debitos!$H:$H,$C248,VI_Debitos!$T:$T,$D248,VI_Debitos!$R:$R,LEFT(PAGADO!L$1,4),VI_Debitos!$Q:$Q,RIGHT(L$1,2))</f>
        <v>0</v>
      </c>
      <c r="M248" s="2">
        <f>SUMIFS(VI_Debitos!$V:$V,VI_Debitos!$H:$H,$C248,VI_Debitos!$T:$T,$D248,VI_Debitos!$R:$R,LEFT(PAGADO!M$1,4),VI_Debitos!$Q:$Q,RIGHT(M$1,2))</f>
        <v>0</v>
      </c>
      <c r="N248" s="2">
        <f>SUMIFS(VI_Debitos!$V:$V,VI_Debitos!$H:$H,$C248,VI_Debitos!$T:$T,$D248,VI_Debitos!$R:$R,LEFT(PAGADO!N$1,4),VI_Debitos!$Q:$Q,RIGHT(N$1,2))</f>
        <v>0</v>
      </c>
      <c r="O248" s="2">
        <f>SUMIFS(VI_Debitos!$V:$V,VI_Debitos!$H:$H,$C248,VI_Debitos!$T:$T,$D248,VI_Debitos!$R:$R,LEFT(PAGADO!O$1,4),VI_Debitos!$Q:$Q,RIGHT(O$1,2))</f>
        <v>0</v>
      </c>
      <c r="P248" s="2">
        <f>SUMIFS(VI_Debitos!$V:$V,VI_Debitos!$H:$H,$C248,VI_Debitos!$T:$T,$D248,VI_Debitos!$R:$R,LEFT(PAGADO!P$1,4),VI_Debitos!$Q:$Q,RIGHT(P$1,2))</f>
        <v>0</v>
      </c>
      <c r="Q248" s="2">
        <f>SUMIFS(VI_Debitos!$V:$V,VI_Debitos!$H:$H,$C248,VI_Debitos!$T:$T,$D248,VI_Debitos!$R:$R,LEFT(PAGADO!Q$1,4),VI_Debitos!$Q:$Q,RIGHT(Q$1,2))</f>
        <v>0</v>
      </c>
      <c r="R248" s="2">
        <f t="shared" si="3"/>
        <v>0</v>
      </c>
    </row>
    <row r="249" spans="6:18">
      <c r="F249" s="2">
        <f>SUMIFS(VI_Debitos!$V:$V,VI_Debitos!$H:$H,$C249,VI_Debitos!$T:$T,$D249,VI_Debitos!$R:$R,LEFT(PAGADO!F$1,4),VI_Debitos!$Q:$Q,RIGHT(F$1,2))</f>
        <v>0</v>
      </c>
      <c r="G249" s="2">
        <f>SUMIFS(VI_Debitos!$V:$V,VI_Debitos!$H:$H,$C249,VI_Debitos!$T:$T,$D249,VI_Debitos!$R:$R,LEFT(PAGADO!G$1,4),VI_Debitos!$Q:$Q,RIGHT(G$1,2))</f>
        <v>0</v>
      </c>
      <c r="H249" s="2">
        <f>SUMIFS(VI_Debitos!$V:$V,VI_Debitos!$H:$H,$C249,VI_Debitos!$T:$T,$D249,VI_Debitos!$R:$R,LEFT(PAGADO!H$1,4),VI_Debitos!$Q:$Q,RIGHT(H$1,2))</f>
        <v>0</v>
      </c>
      <c r="I249" s="2">
        <f>SUMIFS(VI_Debitos!$V:$V,VI_Debitos!$H:$H,$C249,VI_Debitos!$T:$T,$D249,VI_Debitos!$R:$R,LEFT(PAGADO!I$1,4),VI_Debitos!$Q:$Q,RIGHT(I$1,2))</f>
        <v>0</v>
      </c>
      <c r="J249" s="2">
        <f>SUMIFS(VI_Debitos!$V:$V,VI_Debitos!$H:$H,$C249,VI_Debitos!$T:$T,$D249,VI_Debitos!$R:$R,LEFT(PAGADO!J$1,4),VI_Debitos!$Q:$Q,RIGHT(J$1,2))</f>
        <v>0</v>
      </c>
      <c r="K249" s="2">
        <f>SUMIFS(VI_Debitos!$V:$V,VI_Debitos!$H:$H,$C249,VI_Debitos!$T:$T,$D249,VI_Debitos!$R:$R,LEFT(PAGADO!K$1,4),VI_Debitos!$Q:$Q,RIGHT(K$1,2))</f>
        <v>0</v>
      </c>
      <c r="L249" s="2">
        <f>SUMIFS(VI_Debitos!$V:$V,VI_Debitos!$H:$H,$C249,VI_Debitos!$T:$T,$D249,VI_Debitos!$R:$R,LEFT(PAGADO!L$1,4),VI_Debitos!$Q:$Q,RIGHT(L$1,2))</f>
        <v>0</v>
      </c>
      <c r="M249" s="2">
        <f>SUMIFS(VI_Debitos!$V:$V,VI_Debitos!$H:$H,$C249,VI_Debitos!$T:$T,$D249,VI_Debitos!$R:$R,LEFT(PAGADO!M$1,4),VI_Debitos!$Q:$Q,RIGHT(M$1,2))</f>
        <v>0</v>
      </c>
      <c r="N249" s="2">
        <f>SUMIFS(VI_Debitos!$V:$V,VI_Debitos!$H:$H,$C249,VI_Debitos!$T:$T,$D249,VI_Debitos!$R:$R,LEFT(PAGADO!N$1,4),VI_Debitos!$Q:$Q,RIGHT(N$1,2))</f>
        <v>0</v>
      </c>
      <c r="O249" s="2">
        <f>SUMIFS(VI_Debitos!$V:$V,VI_Debitos!$H:$H,$C249,VI_Debitos!$T:$T,$D249,VI_Debitos!$R:$R,LEFT(PAGADO!O$1,4),VI_Debitos!$Q:$Q,RIGHT(O$1,2))</f>
        <v>0</v>
      </c>
      <c r="P249" s="2">
        <f>SUMIFS(VI_Debitos!$V:$V,VI_Debitos!$H:$H,$C249,VI_Debitos!$T:$T,$D249,VI_Debitos!$R:$R,LEFT(PAGADO!P$1,4),VI_Debitos!$Q:$Q,RIGHT(P$1,2))</f>
        <v>0</v>
      </c>
      <c r="Q249" s="2">
        <f>SUMIFS(VI_Debitos!$V:$V,VI_Debitos!$H:$H,$C249,VI_Debitos!$T:$T,$D249,VI_Debitos!$R:$R,LEFT(PAGADO!Q$1,4),VI_Debitos!$Q:$Q,RIGHT(Q$1,2))</f>
        <v>0</v>
      </c>
      <c r="R249" s="2">
        <f t="shared" si="3"/>
        <v>0</v>
      </c>
    </row>
    <row r="250" spans="6:18">
      <c r="F250" s="2">
        <f>SUMIFS(VI_Debitos!$V:$V,VI_Debitos!$H:$H,$C250,VI_Debitos!$T:$T,$D250,VI_Debitos!$R:$R,LEFT(PAGADO!F$1,4),VI_Debitos!$Q:$Q,RIGHT(F$1,2))</f>
        <v>0</v>
      </c>
      <c r="G250" s="2">
        <f>SUMIFS(VI_Debitos!$V:$V,VI_Debitos!$H:$H,$C250,VI_Debitos!$T:$T,$D250,VI_Debitos!$R:$R,LEFT(PAGADO!G$1,4),VI_Debitos!$Q:$Q,RIGHT(G$1,2))</f>
        <v>0</v>
      </c>
      <c r="H250" s="2">
        <f>SUMIFS(VI_Debitos!$V:$V,VI_Debitos!$H:$H,$C250,VI_Debitos!$T:$T,$D250,VI_Debitos!$R:$R,LEFT(PAGADO!H$1,4),VI_Debitos!$Q:$Q,RIGHT(H$1,2))</f>
        <v>0</v>
      </c>
      <c r="I250" s="2">
        <f>SUMIFS(VI_Debitos!$V:$V,VI_Debitos!$H:$H,$C250,VI_Debitos!$T:$T,$D250,VI_Debitos!$R:$R,LEFT(PAGADO!I$1,4),VI_Debitos!$Q:$Q,RIGHT(I$1,2))</f>
        <v>0</v>
      </c>
      <c r="J250" s="2">
        <f>SUMIFS(VI_Debitos!$V:$V,VI_Debitos!$H:$H,$C250,VI_Debitos!$T:$T,$D250,VI_Debitos!$R:$R,LEFT(PAGADO!J$1,4),VI_Debitos!$Q:$Q,RIGHT(J$1,2))</f>
        <v>0</v>
      </c>
      <c r="K250" s="2">
        <f>SUMIFS(VI_Debitos!$V:$V,VI_Debitos!$H:$H,$C250,VI_Debitos!$T:$T,$D250,VI_Debitos!$R:$R,LEFT(PAGADO!K$1,4),VI_Debitos!$Q:$Q,RIGHT(K$1,2))</f>
        <v>0</v>
      </c>
      <c r="L250" s="2">
        <f>SUMIFS(VI_Debitos!$V:$V,VI_Debitos!$H:$H,$C250,VI_Debitos!$T:$T,$D250,VI_Debitos!$R:$R,LEFT(PAGADO!L$1,4),VI_Debitos!$Q:$Q,RIGHT(L$1,2))</f>
        <v>0</v>
      </c>
      <c r="M250" s="2">
        <f>SUMIFS(VI_Debitos!$V:$V,VI_Debitos!$H:$H,$C250,VI_Debitos!$T:$T,$D250,VI_Debitos!$R:$R,LEFT(PAGADO!M$1,4),VI_Debitos!$Q:$Q,RIGHT(M$1,2))</f>
        <v>0</v>
      </c>
      <c r="N250" s="2">
        <f>SUMIFS(VI_Debitos!$V:$V,VI_Debitos!$H:$H,$C250,VI_Debitos!$T:$T,$D250,VI_Debitos!$R:$R,LEFT(PAGADO!N$1,4),VI_Debitos!$Q:$Q,RIGHT(N$1,2))</f>
        <v>0</v>
      </c>
      <c r="O250" s="2">
        <f>SUMIFS(VI_Debitos!$V:$V,VI_Debitos!$H:$H,$C250,VI_Debitos!$T:$T,$D250,VI_Debitos!$R:$R,LEFT(PAGADO!O$1,4),VI_Debitos!$Q:$Q,RIGHT(O$1,2))</f>
        <v>0</v>
      </c>
      <c r="P250" s="2">
        <f>SUMIFS(VI_Debitos!$V:$V,VI_Debitos!$H:$H,$C250,VI_Debitos!$T:$T,$D250,VI_Debitos!$R:$R,LEFT(PAGADO!P$1,4),VI_Debitos!$Q:$Q,RIGHT(P$1,2))</f>
        <v>0</v>
      </c>
      <c r="Q250" s="2">
        <f>SUMIFS(VI_Debitos!$V:$V,VI_Debitos!$H:$H,$C250,VI_Debitos!$T:$T,$D250,VI_Debitos!$R:$R,LEFT(PAGADO!Q$1,4),VI_Debitos!$Q:$Q,RIGHT(Q$1,2))</f>
        <v>0</v>
      </c>
      <c r="R250" s="2">
        <f t="shared" si="3"/>
        <v>0</v>
      </c>
    </row>
    <row r="251" spans="6:18">
      <c r="F251" s="2">
        <f>SUMIFS(VI_Debitos!$V:$V,VI_Debitos!$H:$H,$C251,VI_Debitos!$T:$T,$D251,VI_Debitos!$R:$R,LEFT(PAGADO!F$1,4),VI_Debitos!$Q:$Q,RIGHT(F$1,2))</f>
        <v>0</v>
      </c>
      <c r="G251" s="2">
        <f>SUMIFS(VI_Debitos!$V:$V,VI_Debitos!$H:$H,$C251,VI_Debitos!$T:$T,$D251,VI_Debitos!$R:$R,LEFT(PAGADO!G$1,4),VI_Debitos!$Q:$Q,RIGHT(G$1,2))</f>
        <v>0</v>
      </c>
      <c r="H251" s="2">
        <f>SUMIFS(VI_Debitos!$V:$V,VI_Debitos!$H:$H,$C251,VI_Debitos!$T:$T,$D251,VI_Debitos!$R:$R,LEFT(PAGADO!H$1,4),VI_Debitos!$Q:$Q,RIGHT(H$1,2))</f>
        <v>0</v>
      </c>
      <c r="I251" s="2">
        <f>SUMIFS(VI_Debitos!$V:$V,VI_Debitos!$H:$H,$C251,VI_Debitos!$T:$T,$D251,VI_Debitos!$R:$R,LEFT(PAGADO!I$1,4),VI_Debitos!$Q:$Q,RIGHT(I$1,2))</f>
        <v>0</v>
      </c>
      <c r="J251" s="2">
        <f>SUMIFS(VI_Debitos!$V:$V,VI_Debitos!$H:$H,$C251,VI_Debitos!$T:$T,$D251,VI_Debitos!$R:$R,LEFT(PAGADO!J$1,4),VI_Debitos!$Q:$Q,RIGHT(J$1,2))</f>
        <v>0</v>
      </c>
      <c r="K251" s="2">
        <f>SUMIFS(VI_Debitos!$V:$V,VI_Debitos!$H:$H,$C251,VI_Debitos!$T:$T,$D251,VI_Debitos!$R:$R,LEFT(PAGADO!K$1,4),VI_Debitos!$Q:$Q,RIGHT(K$1,2))</f>
        <v>0</v>
      </c>
      <c r="L251" s="2">
        <f>SUMIFS(VI_Debitos!$V:$V,VI_Debitos!$H:$H,$C251,VI_Debitos!$T:$T,$D251,VI_Debitos!$R:$R,LEFT(PAGADO!L$1,4),VI_Debitos!$Q:$Q,RIGHT(L$1,2))</f>
        <v>0</v>
      </c>
      <c r="M251" s="2">
        <f>SUMIFS(VI_Debitos!$V:$V,VI_Debitos!$H:$H,$C251,VI_Debitos!$T:$T,$D251,VI_Debitos!$R:$R,LEFT(PAGADO!M$1,4),VI_Debitos!$Q:$Q,RIGHT(M$1,2))</f>
        <v>0</v>
      </c>
      <c r="N251" s="2">
        <f>SUMIFS(VI_Debitos!$V:$V,VI_Debitos!$H:$H,$C251,VI_Debitos!$T:$T,$D251,VI_Debitos!$R:$R,LEFT(PAGADO!N$1,4),VI_Debitos!$Q:$Q,RIGHT(N$1,2))</f>
        <v>0</v>
      </c>
      <c r="O251" s="2">
        <f>SUMIFS(VI_Debitos!$V:$V,VI_Debitos!$H:$H,$C251,VI_Debitos!$T:$T,$D251,VI_Debitos!$R:$R,LEFT(PAGADO!O$1,4),VI_Debitos!$Q:$Q,RIGHT(O$1,2))</f>
        <v>0</v>
      </c>
      <c r="P251" s="2">
        <f>SUMIFS(VI_Debitos!$V:$V,VI_Debitos!$H:$H,$C251,VI_Debitos!$T:$T,$D251,VI_Debitos!$R:$R,LEFT(PAGADO!P$1,4),VI_Debitos!$Q:$Q,RIGHT(P$1,2))</f>
        <v>0</v>
      </c>
      <c r="Q251" s="2">
        <f>SUMIFS(VI_Debitos!$V:$V,VI_Debitos!$H:$H,$C251,VI_Debitos!$T:$T,$D251,VI_Debitos!$R:$R,LEFT(PAGADO!Q$1,4),VI_Debitos!$Q:$Q,RIGHT(Q$1,2))</f>
        <v>0</v>
      </c>
      <c r="R251" s="2">
        <f t="shared" si="3"/>
        <v>0</v>
      </c>
    </row>
    <row r="252" spans="6:18">
      <c r="F252" s="2">
        <f>SUMIFS(VI_Debitos!$V:$V,VI_Debitos!$H:$H,$C252,VI_Debitos!$T:$T,$D252,VI_Debitos!$R:$R,LEFT(PAGADO!F$1,4),VI_Debitos!$Q:$Q,RIGHT(F$1,2))</f>
        <v>0</v>
      </c>
      <c r="G252" s="2">
        <f>SUMIFS(VI_Debitos!$V:$V,VI_Debitos!$H:$H,$C252,VI_Debitos!$T:$T,$D252,VI_Debitos!$R:$R,LEFT(PAGADO!G$1,4),VI_Debitos!$Q:$Q,RIGHT(G$1,2))</f>
        <v>0</v>
      </c>
      <c r="H252" s="2">
        <f>SUMIFS(VI_Debitos!$V:$V,VI_Debitos!$H:$H,$C252,VI_Debitos!$T:$T,$D252,VI_Debitos!$R:$R,LEFT(PAGADO!H$1,4),VI_Debitos!$Q:$Q,RIGHT(H$1,2))</f>
        <v>0</v>
      </c>
      <c r="I252" s="2">
        <f>SUMIFS(VI_Debitos!$V:$V,VI_Debitos!$H:$H,$C252,VI_Debitos!$T:$T,$D252,VI_Debitos!$R:$R,LEFT(PAGADO!I$1,4),VI_Debitos!$Q:$Q,RIGHT(I$1,2))</f>
        <v>0</v>
      </c>
      <c r="J252" s="2">
        <f>SUMIFS(VI_Debitos!$V:$V,VI_Debitos!$H:$H,$C252,VI_Debitos!$T:$T,$D252,VI_Debitos!$R:$R,LEFT(PAGADO!J$1,4),VI_Debitos!$Q:$Q,RIGHT(J$1,2))</f>
        <v>0</v>
      </c>
      <c r="K252" s="2">
        <f>SUMIFS(VI_Debitos!$V:$V,VI_Debitos!$H:$H,$C252,VI_Debitos!$T:$T,$D252,VI_Debitos!$R:$R,LEFT(PAGADO!K$1,4),VI_Debitos!$Q:$Q,RIGHT(K$1,2))</f>
        <v>0</v>
      </c>
      <c r="L252" s="2">
        <f>SUMIFS(VI_Debitos!$V:$V,VI_Debitos!$H:$H,$C252,VI_Debitos!$T:$T,$D252,VI_Debitos!$R:$R,LEFT(PAGADO!L$1,4),VI_Debitos!$Q:$Q,RIGHT(L$1,2))</f>
        <v>0</v>
      </c>
      <c r="M252" s="2">
        <f>SUMIFS(VI_Debitos!$V:$V,VI_Debitos!$H:$H,$C252,VI_Debitos!$T:$T,$D252,VI_Debitos!$R:$R,LEFT(PAGADO!M$1,4),VI_Debitos!$Q:$Q,RIGHT(M$1,2))</f>
        <v>0</v>
      </c>
      <c r="N252" s="2">
        <f>SUMIFS(VI_Debitos!$V:$V,VI_Debitos!$H:$H,$C252,VI_Debitos!$T:$T,$D252,VI_Debitos!$R:$R,LEFT(PAGADO!N$1,4),VI_Debitos!$Q:$Q,RIGHT(N$1,2))</f>
        <v>0</v>
      </c>
      <c r="O252" s="2">
        <f>SUMIFS(VI_Debitos!$V:$V,VI_Debitos!$H:$H,$C252,VI_Debitos!$T:$T,$D252,VI_Debitos!$R:$R,LEFT(PAGADO!O$1,4),VI_Debitos!$Q:$Q,RIGHT(O$1,2))</f>
        <v>0</v>
      </c>
      <c r="P252" s="2">
        <f>SUMIFS(VI_Debitos!$V:$V,VI_Debitos!$H:$H,$C252,VI_Debitos!$T:$T,$D252,VI_Debitos!$R:$R,LEFT(PAGADO!P$1,4),VI_Debitos!$Q:$Q,RIGHT(P$1,2))</f>
        <v>0</v>
      </c>
      <c r="Q252" s="2">
        <f>SUMIFS(VI_Debitos!$V:$V,VI_Debitos!$H:$H,$C252,VI_Debitos!$T:$T,$D252,VI_Debitos!$R:$R,LEFT(PAGADO!Q$1,4),VI_Debitos!$Q:$Q,RIGHT(Q$1,2))</f>
        <v>0</v>
      </c>
      <c r="R252" s="2">
        <f t="shared" si="3"/>
        <v>0</v>
      </c>
    </row>
    <row r="253" spans="6:18">
      <c r="F253" s="2">
        <f>SUMIFS(VI_Debitos!$V:$V,VI_Debitos!$H:$H,$C253,VI_Debitos!$T:$T,$D253,VI_Debitos!$R:$R,LEFT(PAGADO!F$1,4),VI_Debitos!$Q:$Q,RIGHT(F$1,2))</f>
        <v>0</v>
      </c>
      <c r="G253" s="2">
        <f>SUMIFS(VI_Debitos!$V:$V,VI_Debitos!$H:$H,$C253,VI_Debitos!$T:$T,$D253,VI_Debitos!$R:$R,LEFT(PAGADO!G$1,4),VI_Debitos!$Q:$Q,RIGHT(G$1,2))</f>
        <v>0</v>
      </c>
      <c r="H253" s="2">
        <f>SUMIFS(VI_Debitos!$V:$V,VI_Debitos!$H:$H,$C253,VI_Debitos!$T:$T,$D253,VI_Debitos!$R:$R,LEFT(PAGADO!H$1,4),VI_Debitos!$Q:$Q,RIGHT(H$1,2))</f>
        <v>0</v>
      </c>
      <c r="I253" s="2">
        <f>SUMIFS(VI_Debitos!$V:$V,VI_Debitos!$H:$H,$C253,VI_Debitos!$T:$T,$D253,VI_Debitos!$R:$R,LEFT(PAGADO!I$1,4),VI_Debitos!$Q:$Q,RIGHT(I$1,2))</f>
        <v>0</v>
      </c>
      <c r="J253" s="2">
        <f>SUMIFS(VI_Debitos!$V:$V,VI_Debitos!$H:$H,$C253,VI_Debitos!$T:$T,$D253,VI_Debitos!$R:$R,LEFT(PAGADO!J$1,4),VI_Debitos!$Q:$Q,RIGHT(J$1,2))</f>
        <v>0</v>
      </c>
      <c r="K253" s="2">
        <f>SUMIFS(VI_Debitos!$V:$V,VI_Debitos!$H:$H,$C253,VI_Debitos!$T:$T,$D253,VI_Debitos!$R:$R,LEFT(PAGADO!K$1,4),VI_Debitos!$Q:$Q,RIGHT(K$1,2))</f>
        <v>0</v>
      </c>
      <c r="L253" s="2">
        <f>SUMIFS(VI_Debitos!$V:$V,VI_Debitos!$H:$H,$C253,VI_Debitos!$T:$T,$D253,VI_Debitos!$R:$R,LEFT(PAGADO!L$1,4),VI_Debitos!$Q:$Q,RIGHT(L$1,2))</f>
        <v>0</v>
      </c>
      <c r="M253" s="2">
        <f>SUMIFS(VI_Debitos!$V:$V,VI_Debitos!$H:$H,$C253,VI_Debitos!$T:$T,$D253,VI_Debitos!$R:$R,LEFT(PAGADO!M$1,4),VI_Debitos!$Q:$Q,RIGHT(M$1,2))</f>
        <v>0</v>
      </c>
      <c r="N253" s="2">
        <f>SUMIFS(VI_Debitos!$V:$V,VI_Debitos!$H:$H,$C253,VI_Debitos!$T:$T,$D253,VI_Debitos!$R:$R,LEFT(PAGADO!N$1,4),VI_Debitos!$Q:$Q,RIGHT(N$1,2))</f>
        <v>0</v>
      </c>
      <c r="O253" s="2">
        <f>SUMIFS(VI_Debitos!$V:$V,VI_Debitos!$H:$H,$C253,VI_Debitos!$T:$T,$D253,VI_Debitos!$R:$R,LEFT(PAGADO!O$1,4),VI_Debitos!$Q:$Q,RIGHT(O$1,2))</f>
        <v>0</v>
      </c>
      <c r="P253" s="2">
        <f>SUMIFS(VI_Debitos!$V:$V,VI_Debitos!$H:$H,$C253,VI_Debitos!$T:$T,$D253,VI_Debitos!$R:$R,LEFT(PAGADO!P$1,4),VI_Debitos!$Q:$Q,RIGHT(P$1,2))</f>
        <v>0</v>
      </c>
      <c r="Q253" s="2">
        <f>SUMIFS(VI_Debitos!$V:$V,VI_Debitos!$H:$H,$C253,VI_Debitos!$T:$T,$D253,VI_Debitos!$R:$R,LEFT(PAGADO!Q$1,4),VI_Debitos!$Q:$Q,RIGHT(Q$1,2))</f>
        <v>0</v>
      </c>
      <c r="R253" s="2">
        <f t="shared" si="3"/>
        <v>0</v>
      </c>
    </row>
    <row r="254" spans="6:18">
      <c r="F254" s="2">
        <f>SUMIFS(VI_Debitos!$V:$V,VI_Debitos!$H:$H,$C254,VI_Debitos!$T:$T,$D254,VI_Debitos!$R:$R,LEFT(PAGADO!F$1,4),VI_Debitos!$Q:$Q,RIGHT(F$1,2))</f>
        <v>0</v>
      </c>
      <c r="G254" s="2">
        <f>SUMIFS(VI_Debitos!$V:$V,VI_Debitos!$H:$H,$C254,VI_Debitos!$T:$T,$D254,VI_Debitos!$R:$R,LEFT(PAGADO!G$1,4),VI_Debitos!$Q:$Q,RIGHT(G$1,2))</f>
        <v>0</v>
      </c>
      <c r="H254" s="2">
        <f>SUMIFS(VI_Debitos!$V:$V,VI_Debitos!$H:$H,$C254,VI_Debitos!$T:$T,$D254,VI_Debitos!$R:$R,LEFT(PAGADO!H$1,4),VI_Debitos!$Q:$Q,RIGHT(H$1,2))</f>
        <v>0</v>
      </c>
      <c r="I254" s="2">
        <f>SUMIFS(VI_Debitos!$V:$V,VI_Debitos!$H:$H,$C254,VI_Debitos!$T:$T,$D254,VI_Debitos!$R:$R,LEFT(PAGADO!I$1,4),VI_Debitos!$Q:$Q,RIGHT(I$1,2))</f>
        <v>0</v>
      </c>
      <c r="J254" s="2">
        <f>SUMIFS(VI_Debitos!$V:$V,VI_Debitos!$H:$H,$C254,VI_Debitos!$T:$T,$D254,VI_Debitos!$R:$R,LEFT(PAGADO!J$1,4),VI_Debitos!$Q:$Q,RIGHT(J$1,2))</f>
        <v>0</v>
      </c>
      <c r="K254" s="2">
        <f>SUMIFS(VI_Debitos!$V:$V,VI_Debitos!$H:$H,$C254,VI_Debitos!$T:$T,$D254,VI_Debitos!$R:$R,LEFT(PAGADO!K$1,4),VI_Debitos!$Q:$Q,RIGHT(K$1,2))</f>
        <v>0</v>
      </c>
      <c r="L254" s="2">
        <f>SUMIFS(VI_Debitos!$V:$V,VI_Debitos!$H:$H,$C254,VI_Debitos!$T:$T,$D254,VI_Debitos!$R:$R,LEFT(PAGADO!L$1,4),VI_Debitos!$Q:$Q,RIGHT(L$1,2))</f>
        <v>0</v>
      </c>
      <c r="M254" s="2">
        <f>SUMIFS(VI_Debitos!$V:$V,VI_Debitos!$H:$H,$C254,VI_Debitos!$T:$T,$D254,VI_Debitos!$R:$R,LEFT(PAGADO!M$1,4),VI_Debitos!$Q:$Q,RIGHT(M$1,2))</f>
        <v>0</v>
      </c>
      <c r="N254" s="2">
        <f>SUMIFS(VI_Debitos!$V:$V,VI_Debitos!$H:$H,$C254,VI_Debitos!$T:$T,$D254,VI_Debitos!$R:$R,LEFT(PAGADO!N$1,4),VI_Debitos!$Q:$Q,RIGHT(N$1,2))</f>
        <v>0</v>
      </c>
      <c r="O254" s="2">
        <f>SUMIFS(VI_Debitos!$V:$V,VI_Debitos!$H:$H,$C254,VI_Debitos!$T:$T,$D254,VI_Debitos!$R:$R,LEFT(PAGADO!O$1,4),VI_Debitos!$Q:$Q,RIGHT(O$1,2))</f>
        <v>0</v>
      </c>
      <c r="P254" s="2">
        <f>SUMIFS(VI_Debitos!$V:$V,VI_Debitos!$H:$H,$C254,VI_Debitos!$T:$T,$D254,VI_Debitos!$R:$R,LEFT(PAGADO!P$1,4),VI_Debitos!$Q:$Q,RIGHT(P$1,2))</f>
        <v>0</v>
      </c>
      <c r="Q254" s="2">
        <f>SUMIFS(VI_Debitos!$V:$V,VI_Debitos!$H:$H,$C254,VI_Debitos!$T:$T,$D254,VI_Debitos!$R:$R,LEFT(PAGADO!Q$1,4),VI_Debitos!$Q:$Q,RIGHT(Q$1,2))</f>
        <v>0</v>
      </c>
      <c r="R254" s="2">
        <f t="shared" si="3"/>
        <v>0</v>
      </c>
    </row>
    <row r="255" spans="6:18">
      <c r="F255" s="2">
        <f>SUMIFS(VI_Debitos!$V:$V,VI_Debitos!$H:$H,$C255,VI_Debitos!$T:$T,$D255,VI_Debitos!$R:$R,LEFT(PAGADO!F$1,4),VI_Debitos!$Q:$Q,RIGHT(F$1,2))</f>
        <v>0</v>
      </c>
      <c r="G255" s="2">
        <f>SUMIFS(VI_Debitos!$V:$V,VI_Debitos!$H:$H,$C255,VI_Debitos!$T:$T,$D255,VI_Debitos!$R:$R,LEFT(PAGADO!G$1,4),VI_Debitos!$Q:$Q,RIGHT(G$1,2))</f>
        <v>0</v>
      </c>
      <c r="H255" s="2">
        <f>SUMIFS(VI_Debitos!$V:$V,VI_Debitos!$H:$H,$C255,VI_Debitos!$T:$T,$D255,VI_Debitos!$R:$R,LEFT(PAGADO!H$1,4),VI_Debitos!$Q:$Q,RIGHT(H$1,2))</f>
        <v>0</v>
      </c>
      <c r="I255" s="2">
        <f>SUMIFS(VI_Debitos!$V:$V,VI_Debitos!$H:$H,$C255,VI_Debitos!$T:$T,$D255,VI_Debitos!$R:$R,LEFT(PAGADO!I$1,4),VI_Debitos!$Q:$Q,RIGHT(I$1,2))</f>
        <v>0</v>
      </c>
      <c r="J255" s="2">
        <f>SUMIFS(VI_Debitos!$V:$V,VI_Debitos!$H:$H,$C255,VI_Debitos!$T:$T,$D255,VI_Debitos!$R:$R,LEFT(PAGADO!J$1,4),VI_Debitos!$Q:$Q,RIGHT(J$1,2))</f>
        <v>0</v>
      </c>
      <c r="K255" s="2">
        <f>SUMIFS(VI_Debitos!$V:$V,VI_Debitos!$H:$H,$C255,VI_Debitos!$T:$T,$D255,VI_Debitos!$R:$R,LEFT(PAGADO!K$1,4),VI_Debitos!$Q:$Q,RIGHT(K$1,2))</f>
        <v>0</v>
      </c>
      <c r="L255" s="2">
        <f>SUMIFS(VI_Debitos!$V:$V,VI_Debitos!$H:$H,$C255,VI_Debitos!$T:$T,$D255,VI_Debitos!$R:$R,LEFT(PAGADO!L$1,4),VI_Debitos!$Q:$Q,RIGHT(L$1,2))</f>
        <v>0</v>
      </c>
      <c r="M255" s="2">
        <f>SUMIFS(VI_Debitos!$V:$V,VI_Debitos!$H:$H,$C255,VI_Debitos!$T:$T,$D255,VI_Debitos!$R:$R,LEFT(PAGADO!M$1,4),VI_Debitos!$Q:$Q,RIGHT(M$1,2))</f>
        <v>0</v>
      </c>
      <c r="N255" s="2">
        <f>SUMIFS(VI_Debitos!$V:$V,VI_Debitos!$H:$H,$C255,VI_Debitos!$T:$T,$D255,VI_Debitos!$R:$R,LEFT(PAGADO!N$1,4),VI_Debitos!$Q:$Q,RIGHT(N$1,2))</f>
        <v>0</v>
      </c>
      <c r="O255" s="2">
        <f>SUMIFS(VI_Debitos!$V:$V,VI_Debitos!$H:$H,$C255,VI_Debitos!$T:$T,$D255,VI_Debitos!$R:$R,LEFT(PAGADO!O$1,4),VI_Debitos!$Q:$Q,RIGHT(O$1,2))</f>
        <v>0</v>
      </c>
      <c r="P255" s="2">
        <f>SUMIFS(VI_Debitos!$V:$V,VI_Debitos!$H:$H,$C255,VI_Debitos!$T:$T,$D255,VI_Debitos!$R:$R,LEFT(PAGADO!P$1,4),VI_Debitos!$Q:$Q,RIGHT(P$1,2))</f>
        <v>0</v>
      </c>
      <c r="Q255" s="2">
        <f>SUMIFS(VI_Debitos!$V:$V,VI_Debitos!$H:$H,$C255,VI_Debitos!$T:$T,$D255,VI_Debitos!$R:$R,LEFT(PAGADO!Q$1,4),VI_Debitos!$Q:$Q,RIGHT(Q$1,2))</f>
        <v>0</v>
      </c>
      <c r="R255" s="2">
        <f t="shared" si="3"/>
        <v>0</v>
      </c>
    </row>
    <row r="256" spans="6:18">
      <c r="F256" s="2">
        <f>SUMIFS(VI_Debitos!$V:$V,VI_Debitos!$H:$H,$C256,VI_Debitos!$T:$T,$D256,VI_Debitos!$R:$R,LEFT(PAGADO!F$1,4),VI_Debitos!$Q:$Q,RIGHT(F$1,2))</f>
        <v>0</v>
      </c>
      <c r="G256" s="2">
        <f>SUMIFS(VI_Debitos!$V:$V,VI_Debitos!$H:$H,$C256,VI_Debitos!$T:$T,$D256,VI_Debitos!$R:$R,LEFT(PAGADO!G$1,4),VI_Debitos!$Q:$Q,RIGHT(G$1,2))</f>
        <v>0</v>
      </c>
      <c r="H256" s="2">
        <f>SUMIFS(VI_Debitos!$V:$V,VI_Debitos!$H:$H,$C256,VI_Debitos!$T:$T,$D256,VI_Debitos!$R:$R,LEFT(PAGADO!H$1,4),VI_Debitos!$Q:$Q,RIGHT(H$1,2))</f>
        <v>0</v>
      </c>
      <c r="I256" s="2">
        <f>SUMIFS(VI_Debitos!$V:$V,VI_Debitos!$H:$H,$C256,VI_Debitos!$T:$T,$D256,VI_Debitos!$R:$R,LEFT(PAGADO!I$1,4),VI_Debitos!$Q:$Q,RIGHT(I$1,2))</f>
        <v>0</v>
      </c>
      <c r="J256" s="2">
        <f>SUMIFS(VI_Debitos!$V:$V,VI_Debitos!$H:$H,$C256,VI_Debitos!$T:$T,$D256,VI_Debitos!$R:$R,LEFT(PAGADO!J$1,4),VI_Debitos!$Q:$Q,RIGHT(J$1,2))</f>
        <v>0</v>
      </c>
      <c r="K256" s="2">
        <f>SUMIFS(VI_Debitos!$V:$V,VI_Debitos!$H:$H,$C256,VI_Debitos!$T:$T,$D256,VI_Debitos!$R:$R,LEFT(PAGADO!K$1,4),VI_Debitos!$Q:$Q,RIGHT(K$1,2))</f>
        <v>0</v>
      </c>
      <c r="L256" s="2">
        <f>SUMIFS(VI_Debitos!$V:$V,VI_Debitos!$H:$H,$C256,VI_Debitos!$T:$T,$D256,VI_Debitos!$R:$R,LEFT(PAGADO!L$1,4),VI_Debitos!$Q:$Q,RIGHT(L$1,2))</f>
        <v>0</v>
      </c>
      <c r="M256" s="2">
        <f>SUMIFS(VI_Debitos!$V:$V,VI_Debitos!$H:$H,$C256,VI_Debitos!$T:$T,$D256,VI_Debitos!$R:$R,LEFT(PAGADO!M$1,4),VI_Debitos!$Q:$Q,RIGHT(M$1,2))</f>
        <v>0</v>
      </c>
      <c r="N256" s="2">
        <f>SUMIFS(VI_Debitos!$V:$V,VI_Debitos!$H:$H,$C256,VI_Debitos!$T:$T,$D256,VI_Debitos!$R:$R,LEFT(PAGADO!N$1,4),VI_Debitos!$Q:$Q,RIGHT(N$1,2))</f>
        <v>0</v>
      </c>
      <c r="O256" s="2">
        <f>SUMIFS(VI_Debitos!$V:$V,VI_Debitos!$H:$H,$C256,VI_Debitos!$T:$T,$D256,VI_Debitos!$R:$R,LEFT(PAGADO!O$1,4),VI_Debitos!$Q:$Q,RIGHT(O$1,2))</f>
        <v>0</v>
      </c>
      <c r="P256" s="2">
        <f>SUMIFS(VI_Debitos!$V:$V,VI_Debitos!$H:$H,$C256,VI_Debitos!$T:$T,$D256,VI_Debitos!$R:$R,LEFT(PAGADO!P$1,4),VI_Debitos!$Q:$Q,RIGHT(P$1,2))</f>
        <v>0</v>
      </c>
      <c r="Q256" s="2">
        <f>SUMIFS(VI_Debitos!$V:$V,VI_Debitos!$H:$H,$C256,VI_Debitos!$T:$T,$D256,VI_Debitos!$R:$R,LEFT(PAGADO!Q$1,4),VI_Debitos!$Q:$Q,RIGHT(Q$1,2))</f>
        <v>0</v>
      </c>
      <c r="R256" s="2">
        <f t="shared" si="3"/>
        <v>0</v>
      </c>
    </row>
    <row r="257" spans="6:18">
      <c r="F257" s="2">
        <f>SUMIFS(VI_Debitos!$V:$V,VI_Debitos!$H:$H,$C257,VI_Debitos!$T:$T,$D257,VI_Debitos!$R:$R,LEFT(PAGADO!F$1,4),VI_Debitos!$Q:$Q,RIGHT(F$1,2))</f>
        <v>0</v>
      </c>
      <c r="G257" s="2">
        <f>SUMIFS(VI_Debitos!$V:$V,VI_Debitos!$H:$H,$C257,VI_Debitos!$T:$T,$D257,VI_Debitos!$R:$R,LEFT(PAGADO!G$1,4),VI_Debitos!$Q:$Q,RIGHT(G$1,2))</f>
        <v>0</v>
      </c>
      <c r="H257" s="2">
        <f>SUMIFS(VI_Debitos!$V:$V,VI_Debitos!$H:$H,$C257,VI_Debitos!$T:$T,$D257,VI_Debitos!$R:$R,LEFT(PAGADO!H$1,4),VI_Debitos!$Q:$Q,RIGHT(H$1,2))</f>
        <v>0</v>
      </c>
      <c r="I257" s="2">
        <f>SUMIFS(VI_Debitos!$V:$V,VI_Debitos!$H:$H,$C257,VI_Debitos!$T:$T,$D257,VI_Debitos!$R:$R,LEFT(PAGADO!I$1,4),VI_Debitos!$Q:$Q,RIGHT(I$1,2))</f>
        <v>0</v>
      </c>
      <c r="J257" s="2">
        <f>SUMIFS(VI_Debitos!$V:$V,VI_Debitos!$H:$H,$C257,VI_Debitos!$T:$T,$D257,VI_Debitos!$R:$R,LEFT(PAGADO!J$1,4),VI_Debitos!$Q:$Q,RIGHT(J$1,2))</f>
        <v>0</v>
      </c>
      <c r="K257" s="2">
        <f>SUMIFS(VI_Debitos!$V:$V,VI_Debitos!$H:$H,$C257,VI_Debitos!$T:$T,$D257,VI_Debitos!$R:$R,LEFT(PAGADO!K$1,4),VI_Debitos!$Q:$Q,RIGHT(K$1,2))</f>
        <v>0</v>
      </c>
      <c r="L257" s="2">
        <f>SUMIFS(VI_Debitos!$V:$V,VI_Debitos!$H:$H,$C257,VI_Debitos!$T:$T,$D257,VI_Debitos!$R:$R,LEFT(PAGADO!L$1,4),VI_Debitos!$Q:$Q,RIGHT(L$1,2))</f>
        <v>0</v>
      </c>
      <c r="M257" s="2">
        <f>SUMIFS(VI_Debitos!$V:$V,VI_Debitos!$H:$H,$C257,VI_Debitos!$T:$T,$D257,VI_Debitos!$R:$R,LEFT(PAGADO!M$1,4),VI_Debitos!$Q:$Q,RIGHT(M$1,2))</f>
        <v>0</v>
      </c>
      <c r="N257" s="2">
        <f>SUMIFS(VI_Debitos!$V:$V,VI_Debitos!$H:$H,$C257,VI_Debitos!$T:$T,$D257,VI_Debitos!$R:$R,LEFT(PAGADO!N$1,4),VI_Debitos!$Q:$Q,RIGHT(N$1,2))</f>
        <v>0</v>
      </c>
      <c r="O257" s="2">
        <f>SUMIFS(VI_Debitos!$V:$V,VI_Debitos!$H:$H,$C257,VI_Debitos!$T:$T,$D257,VI_Debitos!$R:$R,LEFT(PAGADO!O$1,4),VI_Debitos!$Q:$Q,RIGHT(O$1,2))</f>
        <v>0</v>
      </c>
      <c r="P257" s="2">
        <f>SUMIFS(VI_Debitos!$V:$V,VI_Debitos!$H:$H,$C257,VI_Debitos!$T:$T,$D257,VI_Debitos!$R:$R,LEFT(PAGADO!P$1,4),VI_Debitos!$Q:$Q,RIGHT(P$1,2))</f>
        <v>0</v>
      </c>
      <c r="Q257" s="2">
        <f>SUMIFS(VI_Debitos!$V:$V,VI_Debitos!$H:$H,$C257,VI_Debitos!$T:$T,$D257,VI_Debitos!$R:$R,LEFT(PAGADO!Q$1,4),VI_Debitos!$Q:$Q,RIGHT(Q$1,2))</f>
        <v>0</v>
      </c>
      <c r="R257" s="2">
        <f t="shared" si="3"/>
        <v>0</v>
      </c>
    </row>
    <row r="258" spans="6:18">
      <c r="F258" s="2">
        <f>SUMIFS(VI_Debitos!$V:$V,VI_Debitos!$H:$H,$C258,VI_Debitos!$T:$T,$D258,VI_Debitos!$R:$R,LEFT(PAGADO!F$1,4),VI_Debitos!$Q:$Q,RIGHT(F$1,2))</f>
        <v>0</v>
      </c>
      <c r="G258" s="2">
        <f>SUMIFS(VI_Debitos!$V:$V,VI_Debitos!$H:$H,$C258,VI_Debitos!$T:$T,$D258,VI_Debitos!$R:$R,LEFT(PAGADO!G$1,4),VI_Debitos!$Q:$Q,RIGHT(G$1,2))</f>
        <v>0</v>
      </c>
      <c r="H258" s="2">
        <f>SUMIFS(VI_Debitos!$V:$V,VI_Debitos!$H:$H,$C258,VI_Debitos!$T:$T,$D258,VI_Debitos!$R:$R,LEFT(PAGADO!H$1,4),VI_Debitos!$Q:$Q,RIGHT(H$1,2))</f>
        <v>0</v>
      </c>
      <c r="I258" s="2">
        <f>SUMIFS(VI_Debitos!$V:$V,VI_Debitos!$H:$H,$C258,VI_Debitos!$T:$T,$D258,VI_Debitos!$R:$R,LEFT(PAGADO!I$1,4),VI_Debitos!$Q:$Q,RIGHT(I$1,2))</f>
        <v>0</v>
      </c>
      <c r="J258" s="2">
        <f>SUMIFS(VI_Debitos!$V:$V,VI_Debitos!$H:$H,$C258,VI_Debitos!$T:$T,$D258,VI_Debitos!$R:$R,LEFT(PAGADO!J$1,4),VI_Debitos!$Q:$Q,RIGHT(J$1,2))</f>
        <v>0</v>
      </c>
      <c r="K258" s="2">
        <f>SUMIFS(VI_Debitos!$V:$V,VI_Debitos!$H:$H,$C258,VI_Debitos!$T:$T,$D258,VI_Debitos!$R:$R,LEFT(PAGADO!K$1,4),VI_Debitos!$Q:$Q,RIGHT(K$1,2))</f>
        <v>0</v>
      </c>
      <c r="L258" s="2">
        <f>SUMIFS(VI_Debitos!$V:$V,VI_Debitos!$H:$H,$C258,VI_Debitos!$T:$T,$D258,VI_Debitos!$R:$R,LEFT(PAGADO!L$1,4),VI_Debitos!$Q:$Q,RIGHT(L$1,2))</f>
        <v>0</v>
      </c>
      <c r="M258" s="2">
        <f>SUMIFS(VI_Debitos!$V:$V,VI_Debitos!$H:$H,$C258,VI_Debitos!$T:$T,$D258,VI_Debitos!$R:$R,LEFT(PAGADO!M$1,4),VI_Debitos!$Q:$Q,RIGHT(M$1,2))</f>
        <v>0</v>
      </c>
      <c r="N258" s="2">
        <f>SUMIFS(VI_Debitos!$V:$V,VI_Debitos!$H:$H,$C258,VI_Debitos!$T:$T,$D258,VI_Debitos!$R:$R,LEFT(PAGADO!N$1,4),VI_Debitos!$Q:$Q,RIGHT(N$1,2))</f>
        <v>0</v>
      </c>
      <c r="O258" s="2">
        <f>SUMIFS(VI_Debitos!$V:$V,VI_Debitos!$H:$H,$C258,VI_Debitos!$T:$T,$D258,VI_Debitos!$R:$R,LEFT(PAGADO!O$1,4),VI_Debitos!$Q:$Q,RIGHT(O$1,2))</f>
        <v>0</v>
      </c>
      <c r="P258" s="2">
        <f>SUMIFS(VI_Debitos!$V:$V,VI_Debitos!$H:$H,$C258,VI_Debitos!$T:$T,$D258,VI_Debitos!$R:$R,LEFT(PAGADO!P$1,4),VI_Debitos!$Q:$Q,RIGHT(P$1,2))</f>
        <v>0</v>
      </c>
      <c r="Q258" s="2">
        <f>SUMIFS(VI_Debitos!$V:$V,VI_Debitos!$H:$H,$C258,VI_Debitos!$T:$T,$D258,VI_Debitos!$R:$R,LEFT(PAGADO!Q$1,4),VI_Debitos!$Q:$Q,RIGHT(Q$1,2))</f>
        <v>0</v>
      </c>
      <c r="R258" s="2">
        <f t="shared" ref="R258:R321" si="4">SUM(F258:Q258)</f>
        <v>0</v>
      </c>
    </row>
    <row r="259" spans="6:18">
      <c r="F259" s="2">
        <f>SUMIFS(VI_Debitos!$V:$V,VI_Debitos!$H:$H,$C259,VI_Debitos!$T:$T,$D259,VI_Debitos!$R:$R,LEFT(PAGADO!F$1,4),VI_Debitos!$Q:$Q,RIGHT(F$1,2))</f>
        <v>0</v>
      </c>
      <c r="G259" s="2">
        <f>SUMIFS(VI_Debitos!$V:$V,VI_Debitos!$H:$H,$C259,VI_Debitos!$T:$T,$D259,VI_Debitos!$R:$R,LEFT(PAGADO!G$1,4),VI_Debitos!$Q:$Q,RIGHT(G$1,2))</f>
        <v>0</v>
      </c>
      <c r="H259" s="2">
        <f>SUMIFS(VI_Debitos!$V:$V,VI_Debitos!$H:$H,$C259,VI_Debitos!$T:$T,$D259,VI_Debitos!$R:$R,LEFT(PAGADO!H$1,4),VI_Debitos!$Q:$Q,RIGHT(H$1,2))</f>
        <v>0</v>
      </c>
      <c r="I259" s="2">
        <f>SUMIFS(VI_Debitos!$V:$V,VI_Debitos!$H:$H,$C259,VI_Debitos!$T:$T,$D259,VI_Debitos!$R:$R,LEFT(PAGADO!I$1,4),VI_Debitos!$Q:$Q,RIGHT(I$1,2))</f>
        <v>0</v>
      </c>
      <c r="J259" s="2">
        <f>SUMIFS(VI_Debitos!$V:$V,VI_Debitos!$H:$H,$C259,VI_Debitos!$T:$T,$D259,VI_Debitos!$R:$R,LEFT(PAGADO!J$1,4),VI_Debitos!$Q:$Q,RIGHT(J$1,2))</f>
        <v>0</v>
      </c>
      <c r="K259" s="2">
        <f>SUMIFS(VI_Debitos!$V:$V,VI_Debitos!$H:$H,$C259,VI_Debitos!$T:$T,$D259,VI_Debitos!$R:$R,LEFT(PAGADO!K$1,4),VI_Debitos!$Q:$Q,RIGHT(K$1,2))</f>
        <v>0</v>
      </c>
      <c r="L259" s="2">
        <f>SUMIFS(VI_Debitos!$V:$V,VI_Debitos!$H:$H,$C259,VI_Debitos!$T:$T,$D259,VI_Debitos!$R:$R,LEFT(PAGADO!L$1,4),VI_Debitos!$Q:$Q,RIGHT(L$1,2))</f>
        <v>0</v>
      </c>
      <c r="M259" s="2">
        <f>SUMIFS(VI_Debitos!$V:$V,VI_Debitos!$H:$H,$C259,VI_Debitos!$T:$T,$D259,VI_Debitos!$R:$R,LEFT(PAGADO!M$1,4),VI_Debitos!$Q:$Q,RIGHT(M$1,2))</f>
        <v>0</v>
      </c>
      <c r="N259" s="2">
        <f>SUMIFS(VI_Debitos!$V:$V,VI_Debitos!$H:$H,$C259,VI_Debitos!$T:$T,$D259,VI_Debitos!$R:$R,LEFT(PAGADO!N$1,4),VI_Debitos!$Q:$Q,RIGHT(N$1,2))</f>
        <v>0</v>
      </c>
      <c r="O259" s="2">
        <f>SUMIFS(VI_Debitos!$V:$V,VI_Debitos!$H:$H,$C259,VI_Debitos!$T:$T,$D259,VI_Debitos!$R:$R,LEFT(PAGADO!O$1,4),VI_Debitos!$Q:$Q,RIGHT(O$1,2))</f>
        <v>0</v>
      </c>
      <c r="P259" s="2">
        <f>SUMIFS(VI_Debitos!$V:$V,VI_Debitos!$H:$H,$C259,VI_Debitos!$T:$T,$D259,VI_Debitos!$R:$R,LEFT(PAGADO!P$1,4),VI_Debitos!$Q:$Q,RIGHT(P$1,2))</f>
        <v>0</v>
      </c>
      <c r="Q259" s="2">
        <f>SUMIFS(VI_Debitos!$V:$V,VI_Debitos!$H:$H,$C259,VI_Debitos!$T:$T,$D259,VI_Debitos!$R:$R,LEFT(PAGADO!Q$1,4),VI_Debitos!$Q:$Q,RIGHT(Q$1,2))</f>
        <v>0</v>
      </c>
      <c r="R259" s="2">
        <f t="shared" si="4"/>
        <v>0</v>
      </c>
    </row>
    <row r="260" spans="6:18">
      <c r="F260" s="2">
        <f>SUMIFS(VI_Debitos!$V:$V,VI_Debitos!$H:$H,$C260,VI_Debitos!$T:$T,$D260,VI_Debitos!$R:$R,LEFT(PAGADO!F$1,4),VI_Debitos!$Q:$Q,RIGHT(F$1,2))</f>
        <v>0</v>
      </c>
      <c r="G260" s="2">
        <f>SUMIFS(VI_Debitos!$V:$V,VI_Debitos!$H:$H,$C260,VI_Debitos!$T:$T,$D260,VI_Debitos!$R:$R,LEFT(PAGADO!G$1,4),VI_Debitos!$Q:$Q,RIGHT(G$1,2))</f>
        <v>0</v>
      </c>
      <c r="H260" s="2">
        <f>SUMIFS(VI_Debitos!$V:$V,VI_Debitos!$H:$H,$C260,VI_Debitos!$T:$T,$D260,VI_Debitos!$R:$R,LEFT(PAGADO!H$1,4),VI_Debitos!$Q:$Q,RIGHT(H$1,2))</f>
        <v>0</v>
      </c>
      <c r="I260" s="2">
        <f>SUMIFS(VI_Debitos!$V:$V,VI_Debitos!$H:$H,$C260,VI_Debitos!$T:$T,$D260,VI_Debitos!$R:$R,LEFT(PAGADO!I$1,4),VI_Debitos!$Q:$Q,RIGHT(I$1,2))</f>
        <v>0</v>
      </c>
      <c r="J260" s="2">
        <f>SUMIFS(VI_Debitos!$V:$V,VI_Debitos!$H:$H,$C260,VI_Debitos!$T:$T,$D260,VI_Debitos!$R:$R,LEFT(PAGADO!J$1,4),VI_Debitos!$Q:$Q,RIGHT(J$1,2))</f>
        <v>0</v>
      </c>
      <c r="K260" s="2">
        <f>SUMIFS(VI_Debitos!$V:$V,VI_Debitos!$H:$H,$C260,VI_Debitos!$T:$T,$D260,VI_Debitos!$R:$R,LEFT(PAGADO!K$1,4),VI_Debitos!$Q:$Q,RIGHT(K$1,2))</f>
        <v>0</v>
      </c>
      <c r="L260" s="2">
        <f>SUMIFS(VI_Debitos!$V:$V,VI_Debitos!$H:$H,$C260,VI_Debitos!$T:$T,$D260,VI_Debitos!$R:$R,LEFT(PAGADO!L$1,4),VI_Debitos!$Q:$Q,RIGHT(L$1,2))</f>
        <v>0</v>
      </c>
      <c r="M260" s="2">
        <f>SUMIFS(VI_Debitos!$V:$V,VI_Debitos!$H:$H,$C260,VI_Debitos!$T:$T,$D260,VI_Debitos!$R:$R,LEFT(PAGADO!M$1,4),VI_Debitos!$Q:$Q,RIGHT(M$1,2))</f>
        <v>0</v>
      </c>
      <c r="N260" s="2">
        <f>SUMIFS(VI_Debitos!$V:$V,VI_Debitos!$H:$H,$C260,VI_Debitos!$T:$T,$D260,VI_Debitos!$R:$R,LEFT(PAGADO!N$1,4),VI_Debitos!$Q:$Q,RIGHT(N$1,2))</f>
        <v>0</v>
      </c>
      <c r="O260" s="2">
        <f>SUMIFS(VI_Debitos!$V:$V,VI_Debitos!$H:$H,$C260,VI_Debitos!$T:$T,$D260,VI_Debitos!$R:$R,LEFT(PAGADO!O$1,4),VI_Debitos!$Q:$Q,RIGHT(O$1,2))</f>
        <v>0</v>
      </c>
      <c r="P260" s="2">
        <f>SUMIFS(VI_Debitos!$V:$V,VI_Debitos!$H:$H,$C260,VI_Debitos!$T:$T,$D260,VI_Debitos!$R:$R,LEFT(PAGADO!P$1,4),VI_Debitos!$Q:$Q,RIGHT(P$1,2))</f>
        <v>0</v>
      </c>
      <c r="Q260" s="2">
        <f>SUMIFS(VI_Debitos!$V:$V,VI_Debitos!$H:$H,$C260,VI_Debitos!$T:$T,$D260,VI_Debitos!$R:$R,LEFT(PAGADO!Q$1,4),VI_Debitos!$Q:$Q,RIGHT(Q$1,2))</f>
        <v>0</v>
      </c>
      <c r="R260" s="2">
        <f t="shared" si="4"/>
        <v>0</v>
      </c>
    </row>
    <row r="261" spans="6:18">
      <c r="F261" s="2">
        <f>SUMIFS(VI_Debitos!$V:$V,VI_Debitos!$H:$H,$C261,VI_Debitos!$T:$T,$D261,VI_Debitos!$R:$R,LEFT(PAGADO!F$1,4),VI_Debitos!$Q:$Q,RIGHT(F$1,2))</f>
        <v>0</v>
      </c>
      <c r="G261" s="2">
        <f>SUMIFS(VI_Debitos!$V:$V,VI_Debitos!$H:$H,$C261,VI_Debitos!$T:$T,$D261,VI_Debitos!$R:$R,LEFT(PAGADO!G$1,4),VI_Debitos!$Q:$Q,RIGHT(G$1,2))</f>
        <v>0</v>
      </c>
      <c r="H261" s="2">
        <f>SUMIFS(VI_Debitos!$V:$V,VI_Debitos!$H:$H,$C261,VI_Debitos!$T:$T,$D261,VI_Debitos!$R:$R,LEFT(PAGADO!H$1,4),VI_Debitos!$Q:$Q,RIGHT(H$1,2))</f>
        <v>0</v>
      </c>
      <c r="I261" s="2">
        <f>SUMIFS(VI_Debitos!$V:$V,VI_Debitos!$H:$H,$C261,VI_Debitos!$T:$T,$D261,VI_Debitos!$R:$R,LEFT(PAGADO!I$1,4),VI_Debitos!$Q:$Q,RIGHT(I$1,2))</f>
        <v>0</v>
      </c>
      <c r="J261" s="2">
        <f>SUMIFS(VI_Debitos!$V:$V,VI_Debitos!$H:$H,$C261,VI_Debitos!$T:$T,$D261,VI_Debitos!$R:$R,LEFT(PAGADO!J$1,4),VI_Debitos!$Q:$Q,RIGHT(J$1,2))</f>
        <v>0</v>
      </c>
      <c r="K261" s="2">
        <f>SUMIFS(VI_Debitos!$V:$V,VI_Debitos!$H:$H,$C261,VI_Debitos!$T:$T,$D261,VI_Debitos!$R:$R,LEFT(PAGADO!K$1,4),VI_Debitos!$Q:$Q,RIGHT(K$1,2))</f>
        <v>0</v>
      </c>
      <c r="L261" s="2">
        <f>SUMIFS(VI_Debitos!$V:$V,VI_Debitos!$H:$H,$C261,VI_Debitos!$T:$T,$D261,VI_Debitos!$R:$R,LEFT(PAGADO!L$1,4),VI_Debitos!$Q:$Q,RIGHT(L$1,2))</f>
        <v>0</v>
      </c>
      <c r="M261" s="2">
        <f>SUMIFS(VI_Debitos!$V:$V,VI_Debitos!$H:$H,$C261,VI_Debitos!$T:$T,$D261,VI_Debitos!$R:$R,LEFT(PAGADO!M$1,4),VI_Debitos!$Q:$Q,RIGHT(M$1,2))</f>
        <v>0</v>
      </c>
      <c r="N261" s="2">
        <f>SUMIFS(VI_Debitos!$V:$V,VI_Debitos!$H:$H,$C261,VI_Debitos!$T:$T,$D261,VI_Debitos!$R:$R,LEFT(PAGADO!N$1,4),VI_Debitos!$Q:$Q,RIGHT(N$1,2))</f>
        <v>0</v>
      </c>
      <c r="O261" s="2">
        <f>SUMIFS(VI_Debitos!$V:$V,VI_Debitos!$H:$H,$C261,VI_Debitos!$T:$T,$D261,VI_Debitos!$R:$R,LEFT(PAGADO!O$1,4),VI_Debitos!$Q:$Q,RIGHT(O$1,2))</f>
        <v>0</v>
      </c>
      <c r="P261" s="2">
        <f>SUMIFS(VI_Debitos!$V:$V,VI_Debitos!$H:$H,$C261,VI_Debitos!$T:$T,$D261,VI_Debitos!$R:$R,LEFT(PAGADO!P$1,4),VI_Debitos!$Q:$Q,RIGHT(P$1,2))</f>
        <v>0</v>
      </c>
      <c r="Q261" s="2">
        <f>SUMIFS(VI_Debitos!$V:$V,VI_Debitos!$H:$H,$C261,VI_Debitos!$T:$T,$D261,VI_Debitos!$R:$R,LEFT(PAGADO!Q$1,4),VI_Debitos!$Q:$Q,RIGHT(Q$1,2))</f>
        <v>0</v>
      </c>
      <c r="R261" s="2">
        <f t="shared" si="4"/>
        <v>0</v>
      </c>
    </row>
    <row r="262" spans="6:18">
      <c r="F262" s="2">
        <f>SUMIFS(VI_Debitos!$V:$V,VI_Debitos!$H:$H,$C262,VI_Debitos!$T:$T,$D262,VI_Debitos!$R:$R,LEFT(PAGADO!F$1,4),VI_Debitos!$Q:$Q,RIGHT(F$1,2))</f>
        <v>0</v>
      </c>
      <c r="G262" s="2">
        <f>SUMIFS(VI_Debitos!$V:$V,VI_Debitos!$H:$H,$C262,VI_Debitos!$T:$T,$D262,VI_Debitos!$R:$R,LEFT(PAGADO!G$1,4),VI_Debitos!$Q:$Q,RIGHT(G$1,2))</f>
        <v>0</v>
      </c>
      <c r="H262" s="2">
        <f>SUMIFS(VI_Debitos!$V:$V,VI_Debitos!$H:$H,$C262,VI_Debitos!$T:$T,$D262,VI_Debitos!$R:$R,LEFT(PAGADO!H$1,4),VI_Debitos!$Q:$Q,RIGHT(H$1,2))</f>
        <v>0</v>
      </c>
      <c r="I262" s="2">
        <f>SUMIFS(VI_Debitos!$V:$V,VI_Debitos!$H:$H,$C262,VI_Debitos!$T:$T,$D262,VI_Debitos!$R:$R,LEFT(PAGADO!I$1,4),VI_Debitos!$Q:$Q,RIGHT(I$1,2))</f>
        <v>0</v>
      </c>
      <c r="J262" s="2">
        <f>SUMIFS(VI_Debitos!$V:$V,VI_Debitos!$H:$H,$C262,VI_Debitos!$T:$T,$D262,VI_Debitos!$R:$R,LEFT(PAGADO!J$1,4),VI_Debitos!$Q:$Q,RIGHT(J$1,2))</f>
        <v>0</v>
      </c>
      <c r="K262" s="2">
        <f>SUMIFS(VI_Debitos!$V:$V,VI_Debitos!$H:$H,$C262,VI_Debitos!$T:$T,$D262,VI_Debitos!$R:$R,LEFT(PAGADO!K$1,4),VI_Debitos!$Q:$Q,RIGHT(K$1,2))</f>
        <v>0</v>
      </c>
      <c r="L262" s="2">
        <f>SUMIFS(VI_Debitos!$V:$V,VI_Debitos!$H:$H,$C262,VI_Debitos!$T:$T,$D262,VI_Debitos!$R:$R,LEFT(PAGADO!L$1,4),VI_Debitos!$Q:$Q,RIGHT(L$1,2))</f>
        <v>0</v>
      </c>
      <c r="M262" s="2">
        <f>SUMIFS(VI_Debitos!$V:$V,VI_Debitos!$H:$H,$C262,VI_Debitos!$T:$T,$D262,VI_Debitos!$R:$R,LEFT(PAGADO!M$1,4),VI_Debitos!$Q:$Q,RIGHT(M$1,2))</f>
        <v>0</v>
      </c>
      <c r="N262" s="2">
        <f>SUMIFS(VI_Debitos!$V:$V,VI_Debitos!$H:$H,$C262,VI_Debitos!$T:$T,$D262,VI_Debitos!$R:$R,LEFT(PAGADO!N$1,4),VI_Debitos!$Q:$Q,RIGHT(N$1,2))</f>
        <v>0</v>
      </c>
      <c r="O262" s="2">
        <f>SUMIFS(VI_Debitos!$V:$V,VI_Debitos!$H:$H,$C262,VI_Debitos!$T:$T,$D262,VI_Debitos!$R:$R,LEFT(PAGADO!O$1,4),VI_Debitos!$Q:$Q,RIGHT(O$1,2))</f>
        <v>0</v>
      </c>
      <c r="P262" s="2">
        <f>SUMIFS(VI_Debitos!$V:$V,VI_Debitos!$H:$H,$C262,VI_Debitos!$T:$T,$D262,VI_Debitos!$R:$R,LEFT(PAGADO!P$1,4),VI_Debitos!$Q:$Q,RIGHT(P$1,2))</f>
        <v>0</v>
      </c>
      <c r="Q262" s="2">
        <f>SUMIFS(VI_Debitos!$V:$V,VI_Debitos!$H:$H,$C262,VI_Debitos!$T:$T,$D262,VI_Debitos!$R:$R,LEFT(PAGADO!Q$1,4),VI_Debitos!$Q:$Q,RIGHT(Q$1,2))</f>
        <v>0</v>
      </c>
      <c r="R262" s="2">
        <f t="shared" si="4"/>
        <v>0</v>
      </c>
    </row>
    <row r="263" spans="6:18">
      <c r="F263" s="2">
        <f>SUMIFS(VI_Debitos!$V:$V,VI_Debitos!$H:$H,$C263,VI_Debitos!$T:$T,$D263,VI_Debitos!$R:$R,LEFT(PAGADO!F$1,4),VI_Debitos!$Q:$Q,RIGHT(F$1,2))</f>
        <v>0</v>
      </c>
      <c r="G263" s="2">
        <f>SUMIFS(VI_Debitos!$V:$V,VI_Debitos!$H:$H,$C263,VI_Debitos!$T:$T,$D263,VI_Debitos!$R:$R,LEFT(PAGADO!G$1,4),VI_Debitos!$Q:$Q,RIGHT(G$1,2))</f>
        <v>0</v>
      </c>
      <c r="H263" s="2">
        <f>SUMIFS(VI_Debitos!$V:$V,VI_Debitos!$H:$H,$C263,VI_Debitos!$T:$T,$D263,VI_Debitos!$R:$R,LEFT(PAGADO!H$1,4),VI_Debitos!$Q:$Q,RIGHT(H$1,2))</f>
        <v>0</v>
      </c>
      <c r="I263" s="2">
        <f>SUMIFS(VI_Debitos!$V:$V,VI_Debitos!$H:$H,$C263,VI_Debitos!$T:$T,$D263,VI_Debitos!$R:$R,LEFT(PAGADO!I$1,4),VI_Debitos!$Q:$Q,RIGHT(I$1,2))</f>
        <v>0</v>
      </c>
      <c r="J263" s="2">
        <f>SUMIFS(VI_Debitos!$V:$V,VI_Debitos!$H:$H,$C263,VI_Debitos!$T:$T,$D263,VI_Debitos!$R:$R,LEFT(PAGADO!J$1,4),VI_Debitos!$Q:$Q,RIGHT(J$1,2))</f>
        <v>0</v>
      </c>
      <c r="K263" s="2">
        <f>SUMIFS(VI_Debitos!$V:$V,VI_Debitos!$H:$H,$C263,VI_Debitos!$T:$T,$D263,VI_Debitos!$R:$R,LEFT(PAGADO!K$1,4),VI_Debitos!$Q:$Q,RIGHT(K$1,2))</f>
        <v>0</v>
      </c>
      <c r="L263" s="2">
        <f>SUMIFS(VI_Debitos!$V:$V,VI_Debitos!$H:$H,$C263,VI_Debitos!$T:$T,$D263,VI_Debitos!$R:$R,LEFT(PAGADO!L$1,4),VI_Debitos!$Q:$Q,RIGHT(L$1,2))</f>
        <v>0</v>
      </c>
      <c r="M263" s="2">
        <f>SUMIFS(VI_Debitos!$V:$V,VI_Debitos!$H:$H,$C263,VI_Debitos!$T:$T,$D263,VI_Debitos!$R:$R,LEFT(PAGADO!M$1,4),VI_Debitos!$Q:$Q,RIGHT(M$1,2))</f>
        <v>0</v>
      </c>
      <c r="N263" s="2">
        <f>SUMIFS(VI_Debitos!$V:$V,VI_Debitos!$H:$H,$C263,VI_Debitos!$T:$T,$D263,VI_Debitos!$R:$R,LEFT(PAGADO!N$1,4),VI_Debitos!$Q:$Q,RIGHT(N$1,2))</f>
        <v>0</v>
      </c>
      <c r="O263" s="2">
        <f>SUMIFS(VI_Debitos!$V:$V,VI_Debitos!$H:$H,$C263,VI_Debitos!$T:$T,$D263,VI_Debitos!$R:$R,LEFT(PAGADO!O$1,4),VI_Debitos!$Q:$Q,RIGHT(O$1,2))</f>
        <v>0</v>
      </c>
      <c r="P263" s="2">
        <f>SUMIFS(VI_Debitos!$V:$V,VI_Debitos!$H:$H,$C263,VI_Debitos!$T:$T,$D263,VI_Debitos!$R:$R,LEFT(PAGADO!P$1,4),VI_Debitos!$Q:$Q,RIGHT(P$1,2))</f>
        <v>0</v>
      </c>
      <c r="Q263" s="2">
        <f>SUMIFS(VI_Debitos!$V:$V,VI_Debitos!$H:$H,$C263,VI_Debitos!$T:$T,$D263,VI_Debitos!$R:$R,LEFT(PAGADO!Q$1,4),VI_Debitos!$Q:$Q,RIGHT(Q$1,2))</f>
        <v>0</v>
      </c>
      <c r="R263" s="2">
        <f t="shared" si="4"/>
        <v>0</v>
      </c>
    </row>
    <row r="264" spans="6:18">
      <c r="F264" s="2">
        <f>SUMIFS(VI_Debitos!$V:$V,VI_Debitos!$H:$H,$C264,VI_Debitos!$T:$T,$D264,VI_Debitos!$R:$R,LEFT(PAGADO!F$1,4),VI_Debitos!$Q:$Q,RIGHT(F$1,2))</f>
        <v>0</v>
      </c>
      <c r="G264" s="2">
        <f>SUMIFS(VI_Debitos!$V:$V,VI_Debitos!$H:$H,$C264,VI_Debitos!$T:$T,$D264,VI_Debitos!$R:$R,LEFT(PAGADO!G$1,4),VI_Debitos!$Q:$Q,RIGHT(G$1,2))</f>
        <v>0</v>
      </c>
      <c r="H264" s="2">
        <f>SUMIFS(VI_Debitos!$V:$V,VI_Debitos!$H:$H,$C264,VI_Debitos!$T:$T,$D264,VI_Debitos!$R:$R,LEFT(PAGADO!H$1,4),VI_Debitos!$Q:$Q,RIGHT(H$1,2))</f>
        <v>0</v>
      </c>
      <c r="I264" s="2">
        <f>SUMIFS(VI_Debitos!$V:$V,VI_Debitos!$H:$H,$C264,VI_Debitos!$T:$T,$D264,VI_Debitos!$R:$R,LEFT(PAGADO!I$1,4),VI_Debitos!$Q:$Q,RIGHT(I$1,2))</f>
        <v>0</v>
      </c>
      <c r="J264" s="2">
        <f>SUMIFS(VI_Debitos!$V:$V,VI_Debitos!$H:$H,$C264,VI_Debitos!$T:$T,$D264,VI_Debitos!$R:$R,LEFT(PAGADO!J$1,4),VI_Debitos!$Q:$Q,RIGHT(J$1,2))</f>
        <v>0</v>
      </c>
      <c r="K264" s="2">
        <f>SUMIFS(VI_Debitos!$V:$V,VI_Debitos!$H:$H,$C264,VI_Debitos!$T:$T,$D264,VI_Debitos!$R:$R,LEFT(PAGADO!K$1,4),VI_Debitos!$Q:$Q,RIGHT(K$1,2))</f>
        <v>0</v>
      </c>
      <c r="L264" s="2">
        <f>SUMIFS(VI_Debitos!$V:$V,VI_Debitos!$H:$H,$C264,VI_Debitos!$T:$T,$D264,VI_Debitos!$R:$R,LEFT(PAGADO!L$1,4),VI_Debitos!$Q:$Q,RIGHT(L$1,2))</f>
        <v>0</v>
      </c>
      <c r="M264" s="2">
        <f>SUMIFS(VI_Debitos!$V:$V,VI_Debitos!$H:$H,$C264,VI_Debitos!$T:$T,$D264,VI_Debitos!$R:$R,LEFT(PAGADO!M$1,4),VI_Debitos!$Q:$Q,RIGHT(M$1,2))</f>
        <v>0</v>
      </c>
      <c r="N264" s="2">
        <f>SUMIFS(VI_Debitos!$V:$V,VI_Debitos!$H:$H,$C264,VI_Debitos!$T:$T,$D264,VI_Debitos!$R:$R,LEFT(PAGADO!N$1,4),VI_Debitos!$Q:$Q,RIGHT(N$1,2))</f>
        <v>0</v>
      </c>
      <c r="O264" s="2">
        <f>SUMIFS(VI_Debitos!$V:$V,VI_Debitos!$H:$H,$C264,VI_Debitos!$T:$T,$D264,VI_Debitos!$R:$R,LEFT(PAGADO!O$1,4),VI_Debitos!$Q:$Q,RIGHT(O$1,2))</f>
        <v>0</v>
      </c>
      <c r="P264" s="2">
        <f>SUMIFS(VI_Debitos!$V:$V,VI_Debitos!$H:$H,$C264,VI_Debitos!$T:$T,$D264,VI_Debitos!$R:$R,LEFT(PAGADO!P$1,4),VI_Debitos!$Q:$Q,RIGHT(P$1,2))</f>
        <v>0</v>
      </c>
      <c r="Q264" s="2">
        <f>SUMIFS(VI_Debitos!$V:$V,VI_Debitos!$H:$H,$C264,VI_Debitos!$T:$T,$D264,VI_Debitos!$R:$R,LEFT(PAGADO!Q$1,4),VI_Debitos!$Q:$Q,RIGHT(Q$1,2))</f>
        <v>0</v>
      </c>
      <c r="R264" s="2">
        <f t="shared" si="4"/>
        <v>0</v>
      </c>
    </row>
    <row r="265" spans="6:18">
      <c r="F265" s="2">
        <f>SUMIFS(VI_Debitos!$V:$V,VI_Debitos!$H:$H,$C265,VI_Debitos!$T:$T,$D265,VI_Debitos!$R:$R,LEFT(PAGADO!F$1,4),VI_Debitos!$Q:$Q,RIGHT(F$1,2))</f>
        <v>0</v>
      </c>
      <c r="G265" s="2">
        <f>SUMIFS(VI_Debitos!$V:$V,VI_Debitos!$H:$H,$C265,VI_Debitos!$T:$T,$D265,VI_Debitos!$R:$R,LEFT(PAGADO!G$1,4),VI_Debitos!$Q:$Q,RIGHT(G$1,2))</f>
        <v>0</v>
      </c>
      <c r="H265" s="2">
        <f>SUMIFS(VI_Debitos!$V:$V,VI_Debitos!$H:$H,$C265,VI_Debitos!$T:$T,$D265,VI_Debitos!$R:$R,LEFT(PAGADO!H$1,4),VI_Debitos!$Q:$Q,RIGHT(H$1,2))</f>
        <v>0</v>
      </c>
      <c r="I265" s="2">
        <f>SUMIFS(VI_Debitos!$V:$V,VI_Debitos!$H:$H,$C265,VI_Debitos!$T:$T,$D265,VI_Debitos!$R:$R,LEFT(PAGADO!I$1,4),VI_Debitos!$Q:$Q,RIGHT(I$1,2))</f>
        <v>0</v>
      </c>
      <c r="J265" s="2">
        <f>SUMIFS(VI_Debitos!$V:$V,VI_Debitos!$H:$H,$C265,VI_Debitos!$T:$T,$D265,VI_Debitos!$R:$R,LEFT(PAGADO!J$1,4),VI_Debitos!$Q:$Q,RIGHT(J$1,2))</f>
        <v>0</v>
      </c>
      <c r="K265" s="2">
        <f>SUMIFS(VI_Debitos!$V:$V,VI_Debitos!$H:$H,$C265,VI_Debitos!$T:$T,$D265,VI_Debitos!$R:$R,LEFT(PAGADO!K$1,4),VI_Debitos!$Q:$Q,RIGHT(K$1,2))</f>
        <v>0</v>
      </c>
      <c r="L265" s="2">
        <f>SUMIFS(VI_Debitos!$V:$V,VI_Debitos!$H:$H,$C265,VI_Debitos!$T:$T,$D265,VI_Debitos!$R:$R,LEFT(PAGADO!L$1,4),VI_Debitos!$Q:$Q,RIGHT(L$1,2))</f>
        <v>0</v>
      </c>
      <c r="M265" s="2">
        <f>SUMIFS(VI_Debitos!$V:$V,VI_Debitos!$H:$H,$C265,VI_Debitos!$T:$T,$D265,VI_Debitos!$R:$R,LEFT(PAGADO!M$1,4),VI_Debitos!$Q:$Q,RIGHT(M$1,2))</f>
        <v>0</v>
      </c>
      <c r="N265" s="2">
        <f>SUMIFS(VI_Debitos!$V:$V,VI_Debitos!$H:$H,$C265,VI_Debitos!$T:$T,$D265,VI_Debitos!$R:$R,LEFT(PAGADO!N$1,4),VI_Debitos!$Q:$Q,RIGHT(N$1,2))</f>
        <v>0</v>
      </c>
      <c r="O265" s="2">
        <f>SUMIFS(VI_Debitos!$V:$V,VI_Debitos!$H:$H,$C265,VI_Debitos!$T:$T,$D265,VI_Debitos!$R:$R,LEFT(PAGADO!O$1,4),VI_Debitos!$Q:$Q,RIGHT(O$1,2))</f>
        <v>0</v>
      </c>
      <c r="P265" s="2">
        <f>SUMIFS(VI_Debitos!$V:$V,VI_Debitos!$H:$H,$C265,VI_Debitos!$T:$T,$D265,VI_Debitos!$R:$R,LEFT(PAGADO!P$1,4),VI_Debitos!$Q:$Q,RIGHT(P$1,2))</f>
        <v>0</v>
      </c>
      <c r="Q265" s="2">
        <f>SUMIFS(VI_Debitos!$V:$V,VI_Debitos!$H:$H,$C265,VI_Debitos!$T:$T,$D265,VI_Debitos!$R:$R,LEFT(PAGADO!Q$1,4),VI_Debitos!$Q:$Q,RIGHT(Q$1,2))</f>
        <v>0</v>
      </c>
      <c r="R265" s="2">
        <f t="shared" si="4"/>
        <v>0</v>
      </c>
    </row>
    <row r="266" spans="6:18">
      <c r="F266" s="2">
        <f>SUMIFS(VI_Debitos!$V:$V,VI_Debitos!$H:$H,$C266,VI_Debitos!$T:$T,$D266,VI_Debitos!$R:$R,LEFT(PAGADO!F$1,4),VI_Debitos!$Q:$Q,RIGHT(F$1,2))</f>
        <v>0</v>
      </c>
      <c r="G266" s="2">
        <f>SUMIFS(VI_Debitos!$V:$V,VI_Debitos!$H:$H,$C266,VI_Debitos!$T:$T,$D266,VI_Debitos!$R:$R,LEFT(PAGADO!G$1,4),VI_Debitos!$Q:$Q,RIGHT(G$1,2))</f>
        <v>0</v>
      </c>
      <c r="H266" s="2">
        <f>SUMIFS(VI_Debitos!$V:$V,VI_Debitos!$H:$H,$C266,VI_Debitos!$T:$T,$D266,VI_Debitos!$R:$R,LEFT(PAGADO!H$1,4),VI_Debitos!$Q:$Q,RIGHT(H$1,2))</f>
        <v>0</v>
      </c>
      <c r="I266" s="2">
        <f>SUMIFS(VI_Debitos!$V:$V,VI_Debitos!$H:$H,$C266,VI_Debitos!$T:$T,$D266,VI_Debitos!$R:$R,LEFT(PAGADO!I$1,4),VI_Debitos!$Q:$Q,RIGHT(I$1,2))</f>
        <v>0</v>
      </c>
      <c r="J266" s="2">
        <f>SUMIFS(VI_Debitos!$V:$V,VI_Debitos!$H:$H,$C266,VI_Debitos!$T:$T,$D266,VI_Debitos!$R:$R,LEFT(PAGADO!J$1,4),VI_Debitos!$Q:$Q,RIGHT(J$1,2))</f>
        <v>0</v>
      </c>
      <c r="K266" s="2">
        <f>SUMIFS(VI_Debitos!$V:$V,VI_Debitos!$H:$H,$C266,VI_Debitos!$T:$T,$D266,VI_Debitos!$R:$R,LEFT(PAGADO!K$1,4),VI_Debitos!$Q:$Q,RIGHT(K$1,2))</f>
        <v>0</v>
      </c>
      <c r="L266" s="2">
        <f>SUMIFS(VI_Debitos!$V:$V,VI_Debitos!$H:$H,$C266,VI_Debitos!$T:$T,$D266,VI_Debitos!$R:$R,LEFT(PAGADO!L$1,4),VI_Debitos!$Q:$Q,RIGHT(L$1,2))</f>
        <v>0</v>
      </c>
      <c r="M266" s="2">
        <f>SUMIFS(VI_Debitos!$V:$V,VI_Debitos!$H:$H,$C266,VI_Debitos!$T:$T,$D266,VI_Debitos!$R:$R,LEFT(PAGADO!M$1,4),VI_Debitos!$Q:$Q,RIGHT(M$1,2))</f>
        <v>0</v>
      </c>
      <c r="N266" s="2">
        <f>SUMIFS(VI_Debitos!$V:$V,VI_Debitos!$H:$H,$C266,VI_Debitos!$T:$T,$D266,VI_Debitos!$R:$R,LEFT(PAGADO!N$1,4),VI_Debitos!$Q:$Q,RIGHT(N$1,2))</f>
        <v>0</v>
      </c>
      <c r="O266" s="2">
        <f>SUMIFS(VI_Debitos!$V:$V,VI_Debitos!$H:$H,$C266,VI_Debitos!$T:$T,$D266,VI_Debitos!$R:$R,LEFT(PAGADO!O$1,4),VI_Debitos!$Q:$Q,RIGHT(O$1,2))</f>
        <v>0</v>
      </c>
      <c r="P266" s="2">
        <f>SUMIFS(VI_Debitos!$V:$V,VI_Debitos!$H:$H,$C266,VI_Debitos!$T:$T,$D266,VI_Debitos!$R:$R,LEFT(PAGADO!P$1,4),VI_Debitos!$Q:$Q,RIGHT(P$1,2))</f>
        <v>0</v>
      </c>
      <c r="Q266" s="2">
        <f>SUMIFS(VI_Debitos!$V:$V,VI_Debitos!$H:$H,$C266,VI_Debitos!$T:$T,$D266,VI_Debitos!$R:$R,LEFT(PAGADO!Q$1,4),VI_Debitos!$Q:$Q,RIGHT(Q$1,2))</f>
        <v>0</v>
      </c>
      <c r="R266" s="2">
        <f t="shared" si="4"/>
        <v>0</v>
      </c>
    </row>
    <row r="267" spans="6:18">
      <c r="F267" s="2">
        <f>SUMIFS(VI_Debitos!$V:$V,VI_Debitos!$H:$H,$C267,VI_Debitos!$T:$T,$D267,VI_Debitos!$R:$R,LEFT(PAGADO!F$1,4),VI_Debitos!$Q:$Q,RIGHT(F$1,2))</f>
        <v>0</v>
      </c>
      <c r="G267" s="2">
        <f>SUMIFS(VI_Debitos!$V:$V,VI_Debitos!$H:$H,$C267,VI_Debitos!$T:$T,$D267,VI_Debitos!$R:$R,LEFT(PAGADO!G$1,4),VI_Debitos!$Q:$Q,RIGHT(G$1,2))</f>
        <v>0</v>
      </c>
      <c r="H267" s="2">
        <f>SUMIFS(VI_Debitos!$V:$V,VI_Debitos!$H:$H,$C267,VI_Debitos!$T:$T,$D267,VI_Debitos!$R:$R,LEFT(PAGADO!H$1,4),VI_Debitos!$Q:$Q,RIGHT(H$1,2))</f>
        <v>0</v>
      </c>
      <c r="I267" s="2">
        <f>SUMIFS(VI_Debitos!$V:$V,VI_Debitos!$H:$H,$C267,VI_Debitos!$T:$T,$D267,VI_Debitos!$R:$R,LEFT(PAGADO!I$1,4),VI_Debitos!$Q:$Q,RIGHT(I$1,2))</f>
        <v>0</v>
      </c>
      <c r="J267" s="2">
        <f>SUMIFS(VI_Debitos!$V:$V,VI_Debitos!$H:$H,$C267,VI_Debitos!$T:$T,$D267,VI_Debitos!$R:$R,LEFT(PAGADO!J$1,4),VI_Debitos!$Q:$Q,RIGHT(J$1,2))</f>
        <v>0</v>
      </c>
      <c r="K267" s="2">
        <f>SUMIFS(VI_Debitos!$V:$V,VI_Debitos!$H:$H,$C267,VI_Debitos!$T:$T,$D267,VI_Debitos!$R:$R,LEFT(PAGADO!K$1,4),VI_Debitos!$Q:$Q,RIGHT(K$1,2))</f>
        <v>0</v>
      </c>
      <c r="L267" s="2">
        <f>SUMIFS(VI_Debitos!$V:$V,VI_Debitos!$H:$H,$C267,VI_Debitos!$T:$T,$D267,VI_Debitos!$R:$R,LEFT(PAGADO!L$1,4),VI_Debitos!$Q:$Q,RIGHT(L$1,2))</f>
        <v>0</v>
      </c>
      <c r="M267" s="2">
        <f>SUMIFS(VI_Debitos!$V:$V,VI_Debitos!$H:$H,$C267,VI_Debitos!$T:$T,$D267,VI_Debitos!$R:$R,LEFT(PAGADO!M$1,4),VI_Debitos!$Q:$Q,RIGHT(M$1,2))</f>
        <v>0</v>
      </c>
      <c r="N267" s="2">
        <f>SUMIFS(VI_Debitos!$V:$V,VI_Debitos!$H:$H,$C267,VI_Debitos!$T:$T,$D267,VI_Debitos!$R:$R,LEFT(PAGADO!N$1,4),VI_Debitos!$Q:$Q,RIGHT(N$1,2))</f>
        <v>0</v>
      </c>
      <c r="O267" s="2">
        <f>SUMIFS(VI_Debitos!$V:$V,VI_Debitos!$H:$H,$C267,VI_Debitos!$T:$T,$D267,VI_Debitos!$R:$R,LEFT(PAGADO!O$1,4),VI_Debitos!$Q:$Q,RIGHT(O$1,2))</f>
        <v>0</v>
      </c>
      <c r="P267" s="2">
        <f>SUMIFS(VI_Debitos!$V:$V,VI_Debitos!$H:$H,$C267,VI_Debitos!$T:$T,$D267,VI_Debitos!$R:$R,LEFT(PAGADO!P$1,4),VI_Debitos!$Q:$Q,RIGHT(P$1,2))</f>
        <v>0</v>
      </c>
      <c r="Q267" s="2">
        <f>SUMIFS(VI_Debitos!$V:$V,VI_Debitos!$H:$H,$C267,VI_Debitos!$T:$T,$D267,VI_Debitos!$R:$R,LEFT(PAGADO!Q$1,4),VI_Debitos!$Q:$Q,RIGHT(Q$1,2))</f>
        <v>0</v>
      </c>
      <c r="R267" s="2">
        <f t="shared" si="4"/>
        <v>0</v>
      </c>
    </row>
    <row r="268" spans="6:18">
      <c r="F268" s="2">
        <f>SUMIFS(VI_Debitos!$V:$V,VI_Debitos!$H:$H,$C268,VI_Debitos!$T:$T,$D268,VI_Debitos!$R:$R,LEFT(PAGADO!F$1,4),VI_Debitos!$Q:$Q,RIGHT(F$1,2))</f>
        <v>0</v>
      </c>
      <c r="G268" s="2">
        <f>SUMIFS(VI_Debitos!$V:$V,VI_Debitos!$H:$H,$C268,VI_Debitos!$T:$T,$D268,VI_Debitos!$R:$R,LEFT(PAGADO!G$1,4),VI_Debitos!$Q:$Q,RIGHT(G$1,2))</f>
        <v>0</v>
      </c>
      <c r="H268" s="2">
        <f>SUMIFS(VI_Debitos!$V:$V,VI_Debitos!$H:$H,$C268,VI_Debitos!$T:$T,$D268,VI_Debitos!$R:$R,LEFT(PAGADO!H$1,4),VI_Debitos!$Q:$Q,RIGHT(H$1,2))</f>
        <v>0</v>
      </c>
      <c r="I268" s="2">
        <f>SUMIFS(VI_Debitos!$V:$V,VI_Debitos!$H:$H,$C268,VI_Debitos!$T:$T,$D268,VI_Debitos!$R:$R,LEFT(PAGADO!I$1,4),VI_Debitos!$Q:$Q,RIGHT(I$1,2))</f>
        <v>0</v>
      </c>
      <c r="J268" s="2">
        <f>SUMIFS(VI_Debitos!$V:$V,VI_Debitos!$H:$H,$C268,VI_Debitos!$T:$T,$D268,VI_Debitos!$R:$R,LEFT(PAGADO!J$1,4),VI_Debitos!$Q:$Q,RIGHT(J$1,2))</f>
        <v>0</v>
      </c>
      <c r="K268" s="2">
        <f>SUMIFS(VI_Debitos!$V:$V,VI_Debitos!$H:$H,$C268,VI_Debitos!$T:$T,$D268,VI_Debitos!$R:$R,LEFT(PAGADO!K$1,4),VI_Debitos!$Q:$Q,RIGHT(K$1,2))</f>
        <v>0</v>
      </c>
      <c r="L268" s="2">
        <f>SUMIFS(VI_Debitos!$V:$V,VI_Debitos!$H:$H,$C268,VI_Debitos!$T:$T,$D268,VI_Debitos!$R:$R,LEFT(PAGADO!L$1,4),VI_Debitos!$Q:$Q,RIGHT(L$1,2))</f>
        <v>0</v>
      </c>
      <c r="M268" s="2">
        <f>SUMIFS(VI_Debitos!$V:$V,VI_Debitos!$H:$H,$C268,VI_Debitos!$T:$T,$D268,VI_Debitos!$R:$R,LEFT(PAGADO!M$1,4),VI_Debitos!$Q:$Q,RIGHT(M$1,2))</f>
        <v>0</v>
      </c>
      <c r="N268" s="2">
        <f>SUMIFS(VI_Debitos!$V:$V,VI_Debitos!$H:$H,$C268,VI_Debitos!$T:$T,$D268,VI_Debitos!$R:$R,LEFT(PAGADO!N$1,4),VI_Debitos!$Q:$Q,RIGHT(N$1,2))</f>
        <v>0</v>
      </c>
      <c r="O268" s="2">
        <f>SUMIFS(VI_Debitos!$V:$V,VI_Debitos!$H:$H,$C268,VI_Debitos!$T:$T,$D268,VI_Debitos!$R:$R,LEFT(PAGADO!O$1,4),VI_Debitos!$Q:$Q,RIGHT(O$1,2))</f>
        <v>0</v>
      </c>
      <c r="P268" s="2">
        <f>SUMIFS(VI_Debitos!$V:$V,VI_Debitos!$H:$H,$C268,VI_Debitos!$T:$T,$D268,VI_Debitos!$R:$R,LEFT(PAGADO!P$1,4),VI_Debitos!$Q:$Q,RIGHT(P$1,2))</f>
        <v>0</v>
      </c>
      <c r="Q268" s="2">
        <f>SUMIFS(VI_Debitos!$V:$V,VI_Debitos!$H:$H,$C268,VI_Debitos!$T:$T,$D268,VI_Debitos!$R:$R,LEFT(PAGADO!Q$1,4),VI_Debitos!$Q:$Q,RIGHT(Q$1,2))</f>
        <v>0</v>
      </c>
      <c r="R268" s="2">
        <f t="shared" si="4"/>
        <v>0</v>
      </c>
    </row>
    <row r="269" spans="6:18">
      <c r="F269" s="2">
        <f>SUMIFS(VI_Debitos!$V:$V,VI_Debitos!$H:$H,$C269,VI_Debitos!$T:$T,$D269,VI_Debitos!$R:$R,LEFT(PAGADO!F$1,4),VI_Debitos!$Q:$Q,RIGHT(F$1,2))</f>
        <v>0</v>
      </c>
      <c r="G269" s="2">
        <f>SUMIFS(VI_Debitos!$V:$V,VI_Debitos!$H:$H,$C269,VI_Debitos!$T:$T,$D269,VI_Debitos!$R:$R,LEFT(PAGADO!G$1,4),VI_Debitos!$Q:$Q,RIGHT(G$1,2))</f>
        <v>0</v>
      </c>
      <c r="H269" s="2">
        <f>SUMIFS(VI_Debitos!$V:$V,VI_Debitos!$H:$H,$C269,VI_Debitos!$T:$T,$D269,VI_Debitos!$R:$R,LEFT(PAGADO!H$1,4),VI_Debitos!$Q:$Q,RIGHT(H$1,2))</f>
        <v>0</v>
      </c>
      <c r="I269" s="2">
        <f>SUMIFS(VI_Debitos!$V:$V,VI_Debitos!$H:$H,$C269,VI_Debitos!$T:$T,$D269,VI_Debitos!$R:$R,LEFT(PAGADO!I$1,4),VI_Debitos!$Q:$Q,RIGHT(I$1,2))</f>
        <v>0</v>
      </c>
      <c r="J269" s="2">
        <f>SUMIFS(VI_Debitos!$V:$V,VI_Debitos!$H:$H,$C269,VI_Debitos!$T:$T,$D269,VI_Debitos!$R:$R,LEFT(PAGADO!J$1,4),VI_Debitos!$Q:$Q,RIGHT(J$1,2))</f>
        <v>0</v>
      </c>
      <c r="K269" s="2">
        <f>SUMIFS(VI_Debitos!$V:$V,VI_Debitos!$H:$H,$C269,VI_Debitos!$T:$T,$D269,VI_Debitos!$R:$R,LEFT(PAGADO!K$1,4),VI_Debitos!$Q:$Q,RIGHT(K$1,2))</f>
        <v>0</v>
      </c>
      <c r="L269" s="2">
        <f>SUMIFS(VI_Debitos!$V:$V,VI_Debitos!$H:$H,$C269,VI_Debitos!$T:$T,$D269,VI_Debitos!$R:$R,LEFT(PAGADO!L$1,4),VI_Debitos!$Q:$Q,RIGHT(L$1,2))</f>
        <v>0</v>
      </c>
      <c r="M269" s="2">
        <f>SUMIFS(VI_Debitos!$V:$V,VI_Debitos!$H:$H,$C269,VI_Debitos!$T:$T,$D269,VI_Debitos!$R:$R,LEFT(PAGADO!M$1,4),VI_Debitos!$Q:$Q,RIGHT(M$1,2))</f>
        <v>0</v>
      </c>
      <c r="N269" s="2">
        <f>SUMIFS(VI_Debitos!$V:$V,VI_Debitos!$H:$H,$C269,VI_Debitos!$T:$T,$D269,VI_Debitos!$R:$R,LEFT(PAGADO!N$1,4),VI_Debitos!$Q:$Q,RIGHT(N$1,2))</f>
        <v>0</v>
      </c>
      <c r="O269" s="2">
        <f>SUMIFS(VI_Debitos!$V:$V,VI_Debitos!$H:$H,$C269,VI_Debitos!$T:$T,$D269,VI_Debitos!$R:$R,LEFT(PAGADO!O$1,4),VI_Debitos!$Q:$Q,RIGHT(O$1,2))</f>
        <v>0</v>
      </c>
      <c r="P269" s="2">
        <f>SUMIFS(VI_Debitos!$V:$V,VI_Debitos!$H:$H,$C269,VI_Debitos!$T:$T,$D269,VI_Debitos!$R:$R,LEFT(PAGADO!P$1,4),VI_Debitos!$Q:$Q,RIGHT(P$1,2))</f>
        <v>0</v>
      </c>
      <c r="Q269" s="2">
        <f>SUMIFS(VI_Debitos!$V:$V,VI_Debitos!$H:$H,$C269,VI_Debitos!$T:$T,$D269,VI_Debitos!$R:$R,LEFT(PAGADO!Q$1,4),VI_Debitos!$Q:$Q,RIGHT(Q$1,2))</f>
        <v>0</v>
      </c>
      <c r="R269" s="2">
        <f t="shared" si="4"/>
        <v>0</v>
      </c>
    </row>
    <row r="270" spans="6:18">
      <c r="F270" s="2">
        <f>SUMIFS(VI_Debitos!$V:$V,VI_Debitos!$H:$H,$C270,VI_Debitos!$T:$T,$D270,VI_Debitos!$R:$R,LEFT(PAGADO!F$1,4),VI_Debitos!$Q:$Q,RIGHT(F$1,2))</f>
        <v>0</v>
      </c>
      <c r="G270" s="2">
        <f>SUMIFS(VI_Debitos!$V:$V,VI_Debitos!$H:$H,$C270,VI_Debitos!$T:$T,$D270,VI_Debitos!$R:$R,LEFT(PAGADO!G$1,4),VI_Debitos!$Q:$Q,RIGHT(G$1,2))</f>
        <v>0</v>
      </c>
      <c r="H270" s="2">
        <f>SUMIFS(VI_Debitos!$V:$V,VI_Debitos!$H:$H,$C270,VI_Debitos!$T:$T,$D270,VI_Debitos!$R:$R,LEFT(PAGADO!H$1,4),VI_Debitos!$Q:$Q,RIGHT(H$1,2))</f>
        <v>0</v>
      </c>
      <c r="I270" s="2">
        <f>SUMIFS(VI_Debitos!$V:$V,VI_Debitos!$H:$H,$C270,VI_Debitos!$T:$T,$D270,VI_Debitos!$R:$R,LEFT(PAGADO!I$1,4),VI_Debitos!$Q:$Q,RIGHT(I$1,2))</f>
        <v>0</v>
      </c>
      <c r="J270" s="2">
        <f>SUMIFS(VI_Debitos!$V:$V,VI_Debitos!$H:$H,$C270,VI_Debitos!$T:$T,$D270,VI_Debitos!$R:$R,LEFT(PAGADO!J$1,4),VI_Debitos!$Q:$Q,RIGHT(J$1,2))</f>
        <v>0</v>
      </c>
      <c r="K270" s="2">
        <f>SUMIFS(VI_Debitos!$V:$V,VI_Debitos!$H:$H,$C270,VI_Debitos!$T:$T,$D270,VI_Debitos!$R:$R,LEFT(PAGADO!K$1,4),VI_Debitos!$Q:$Q,RIGHT(K$1,2))</f>
        <v>0</v>
      </c>
      <c r="L270" s="2">
        <f>SUMIFS(VI_Debitos!$V:$V,VI_Debitos!$H:$H,$C270,VI_Debitos!$T:$T,$D270,VI_Debitos!$R:$R,LEFT(PAGADO!L$1,4),VI_Debitos!$Q:$Q,RIGHT(L$1,2))</f>
        <v>0</v>
      </c>
      <c r="M270" s="2">
        <f>SUMIFS(VI_Debitos!$V:$V,VI_Debitos!$H:$H,$C270,VI_Debitos!$T:$T,$D270,VI_Debitos!$R:$R,LEFT(PAGADO!M$1,4),VI_Debitos!$Q:$Q,RIGHT(M$1,2))</f>
        <v>0</v>
      </c>
      <c r="N270" s="2">
        <f>SUMIFS(VI_Debitos!$V:$V,VI_Debitos!$H:$H,$C270,VI_Debitos!$T:$T,$D270,VI_Debitos!$R:$R,LEFT(PAGADO!N$1,4),VI_Debitos!$Q:$Q,RIGHT(N$1,2))</f>
        <v>0</v>
      </c>
      <c r="O270" s="2">
        <f>SUMIFS(VI_Debitos!$V:$V,VI_Debitos!$H:$H,$C270,VI_Debitos!$T:$T,$D270,VI_Debitos!$R:$R,LEFT(PAGADO!O$1,4),VI_Debitos!$Q:$Q,RIGHT(O$1,2))</f>
        <v>0</v>
      </c>
      <c r="P270" s="2">
        <f>SUMIFS(VI_Debitos!$V:$V,VI_Debitos!$H:$H,$C270,VI_Debitos!$T:$T,$D270,VI_Debitos!$R:$R,LEFT(PAGADO!P$1,4),VI_Debitos!$Q:$Q,RIGHT(P$1,2))</f>
        <v>0</v>
      </c>
      <c r="Q270" s="2">
        <f>SUMIFS(VI_Debitos!$V:$V,VI_Debitos!$H:$H,$C270,VI_Debitos!$T:$T,$D270,VI_Debitos!$R:$R,LEFT(PAGADO!Q$1,4),VI_Debitos!$Q:$Q,RIGHT(Q$1,2))</f>
        <v>0</v>
      </c>
      <c r="R270" s="2">
        <f t="shared" si="4"/>
        <v>0</v>
      </c>
    </row>
    <row r="271" spans="6:18">
      <c r="F271" s="2">
        <f>SUMIFS(VI_Debitos!$V:$V,VI_Debitos!$H:$H,$C271,VI_Debitos!$T:$T,$D271,VI_Debitos!$R:$R,LEFT(PAGADO!F$1,4),VI_Debitos!$Q:$Q,RIGHT(F$1,2))</f>
        <v>0</v>
      </c>
      <c r="G271" s="2">
        <f>SUMIFS(VI_Debitos!$V:$V,VI_Debitos!$H:$H,$C271,VI_Debitos!$T:$T,$D271,VI_Debitos!$R:$R,LEFT(PAGADO!G$1,4),VI_Debitos!$Q:$Q,RIGHT(G$1,2))</f>
        <v>0</v>
      </c>
      <c r="H271" s="2">
        <f>SUMIFS(VI_Debitos!$V:$V,VI_Debitos!$H:$H,$C271,VI_Debitos!$T:$T,$D271,VI_Debitos!$R:$R,LEFT(PAGADO!H$1,4),VI_Debitos!$Q:$Q,RIGHT(H$1,2))</f>
        <v>0</v>
      </c>
      <c r="I271" s="2">
        <f>SUMIFS(VI_Debitos!$V:$V,VI_Debitos!$H:$H,$C271,VI_Debitos!$T:$T,$D271,VI_Debitos!$R:$R,LEFT(PAGADO!I$1,4),VI_Debitos!$Q:$Q,RIGHT(I$1,2))</f>
        <v>0</v>
      </c>
      <c r="J271" s="2">
        <f>SUMIFS(VI_Debitos!$V:$V,VI_Debitos!$H:$H,$C271,VI_Debitos!$T:$T,$D271,VI_Debitos!$R:$R,LEFT(PAGADO!J$1,4),VI_Debitos!$Q:$Q,RIGHT(J$1,2))</f>
        <v>0</v>
      </c>
      <c r="K271" s="2">
        <f>SUMIFS(VI_Debitos!$V:$V,VI_Debitos!$H:$H,$C271,VI_Debitos!$T:$T,$D271,VI_Debitos!$R:$R,LEFT(PAGADO!K$1,4),VI_Debitos!$Q:$Q,RIGHT(K$1,2))</f>
        <v>0</v>
      </c>
      <c r="L271" s="2">
        <f>SUMIFS(VI_Debitos!$V:$V,VI_Debitos!$H:$H,$C271,VI_Debitos!$T:$T,$D271,VI_Debitos!$R:$R,LEFT(PAGADO!L$1,4),VI_Debitos!$Q:$Q,RIGHT(L$1,2))</f>
        <v>0</v>
      </c>
      <c r="M271" s="2">
        <f>SUMIFS(VI_Debitos!$V:$V,VI_Debitos!$H:$H,$C271,VI_Debitos!$T:$T,$D271,VI_Debitos!$R:$R,LEFT(PAGADO!M$1,4),VI_Debitos!$Q:$Q,RIGHT(M$1,2))</f>
        <v>0</v>
      </c>
      <c r="N271" s="2">
        <f>SUMIFS(VI_Debitos!$V:$V,VI_Debitos!$H:$H,$C271,VI_Debitos!$T:$T,$D271,VI_Debitos!$R:$R,LEFT(PAGADO!N$1,4),VI_Debitos!$Q:$Q,RIGHT(N$1,2))</f>
        <v>0</v>
      </c>
      <c r="O271" s="2">
        <f>SUMIFS(VI_Debitos!$V:$V,VI_Debitos!$H:$H,$C271,VI_Debitos!$T:$T,$D271,VI_Debitos!$R:$R,LEFT(PAGADO!O$1,4),VI_Debitos!$Q:$Q,RIGHT(O$1,2))</f>
        <v>0</v>
      </c>
      <c r="P271" s="2">
        <f>SUMIFS(VI_Debitos!$V:$V,VI_Debitos!$H:$H,$C271,VI_Debitos!$T:$T,$D271,VI_Debitos!$R:$R,LEFT(PAGADO!P$1,4),VI_Debitos!$Q:$Q,RIGHT(P$1,2))</f>
        <v>0</v>
      </c>
      <c r="Q271" s="2">
        <f>SUMIFS(VI_Debitos!$V:$V,VI_Debitos!$H:$H,$C271,VI_Debitos!$T:$T,$D271,VI_Debitos!$R:$R,LEFT(PAGADO!Q$1,4),VI_Debitos!$Q:$Q,RIGHT(Q$1,2))</f>
        <v>0</v>
      </c>
      <c r="R271" s="2">
        <f t="shared" si="4"/>
        <v>0</v>
      </c>
    </row>
    <row r="272" spans="6:18">
      <c r="F272" s="2">
        <f>SUMIFS(VI_Debitos!$V:$V,VI_Debitos!$H:$H,$C272,VI_Debitos!$T:$T,$D272,VI_Debitos!$R:$R,LEFT(PAGADO!F$1,4),VI_Debitos!$Q:$Q,RIGHT(F$1,2))</f>
        <v>0</v>
      </c>
      <c r="G272" s="2">
        <f>SUMIFS(VI_Debitos!$V:$V,VI_Debitos!$H:$H,$C272,VI_Debitos!$T:$T,$D272,VI_Debitos!$R:$R,LEFT(PAGADO!G$1,4),VI_Debitos!$Q:$Q,RIGHT(G$1,2))</f>
        <v>0</v>
      </c>
      <c r="H272" s="2">
        <f>SUMIFS(VI_Debitos!$V:$V,VI_Debitos!$H:$H,$C272,VI_Debitos!$T:$T,$D272,VI_Debitos!$R:$R,LEFT(PAGADO!H$1,4),VI_Debitos!$Q:$Q,RIGHT(H$1,2))</f>
        <v>0</v>
      </c>
      <c r="I272" s="2">
        <f>SUMIFS(VI_Debitos!$V:$V,VI_Debitos!$H:$H,$C272,VI_Debitos!$T:$T,$D272,VI_Debitos!$R:$R,LEFT(PAGADO!I$1,4),VI_Debitos!$Q:$Q,RIGHT(I$1,2))</f>
        <v>0</v>
      </c>
      <c r="J272" s="2">
        <f>SUMIFS(VI_Debitos!$V:$V,VI_Debitos!$H:$H,$C272,VI_Debitos!$T:$T,$D272,VI_Debitos!$R:$R,LEFT(PAGADO!J$1,4),VI_Debitos!$Q:$Q,RIGHT(J$1,2))</f>
        <v>0</v>
      </c>
      <c r="K272" s="2">
        <f>SUMIFS(VI_Debitos!$V:$V,VI_Debitos!$H:$H,$C272,VI_Debitos!$T:$T,$D272,VI_Debitos!$R:$R,LEFT(PAGADO!K$1,4),VI_Debitos!$Q:$Q,RIGHT(K$1,2))</f>
        <v>0</v>
      </c>
      <c r="L272" s="2">
        <f>SUMIFS(VI_Debitos!$V:$V,VI_Debitos!$H:$H,$C272,VI_Debitos!$T:$T,$D272,VI_Debitos!$R:$R,LEFT(PAGADO!L$1,4),VI_Debitos!$Q:$Q,RIGHT(L$1,2))</f>
        <v>0</v>
      </c>
      <c r="M272" s="2">
        <f>SUMIFS(VI_Debitos!$V:$V,VI_Debitos!$H:$H,$C272,VI_Debitos!$T:$T,$D272,VI_Debitos!$R:$R,LEFT(PAGADO!M$1,4),VI_Debitos!$Q:$Q,RIGHT(M$1,2))</f>
        <v>0</v>
      </c>
      <c r="N272" s="2">
        <f>SUMIFS(VI_Debitos!$V:$V,VI_Debitos!$H:$H,$C272,VI_Debitos!$T:$T,$D272,VI_Debitos!$R:$R,LEFT(PAGADO!N$1,4),VI_Debitos!$Q:$Q,RIGHT(N$1,2))</f>
        <v>0</v>
      </c>
      <c r="O272" s="2">
        <f>SUMIFS(VI_Debitos!$V:$V,VI_Debitos!$H:$H,$C272,VI_Debitos!$T:$T,$D272,VI_Debitos!$R:$R,LEFT(PAGADO!O$1,4),VI_Debitos!$Q:$Q,RIGHT(O$1,2))</f>
        <v>0</v>
      </c>
      <c r="P272" s="2">
        <f>SUMIFS(VI_Debitos!$V:$V,VI_Debitos!$H:$H,$C272,VI_Debitos!$T:$T,$D272,VI_Debitos!$R:$R,LEFT(PAGADO!P$1,4),VI_Debitos!$Q:$Q,RIGHT(P$1,2))</f>
        <v>0</v>
      </c>
      <c r="Q272" s="2">
        <f>SUMIFS(VI_Debitos!$V:$V,VI_Debitos!$H:$H,$C272,VI_Debitos!$T:$T,$D272,VI_Debitos!$R:$R,LEFT(PAGADO!Q$1,4),VI_Debitos!$Q:$Q,RIGHT(Q$1,2))</f>
        <v>0</v>
      </c>
      <c r="R272" s="2">
        <f t="shared" si="4"/>
        <v>0</v>
      </c>
    </row>
    <row r="273" spans="6:18">
      <c r="F273" s="2">
        <f>SUMIFS(VI_Debitos!$V:$V,VI_Debitos!$H:$H,$C273,VI_Debitos!$T:$T,$D273,VI_Debitos!$R:$R,LEFT(PAGADO!F$1,4),VI_Debitos!$Q:$Q,RIGHT(F$1,2))</f>
        <v>0</v>
      </c>
      <c r="G273" s="2">
        <f>SUMIFS(VI_Debitos!$V:$V,VI_Debitos!$H:$H,$C273,VI_Debitos!$T:$T,$D273,VI_Debitos!$R:$R,LEFT(PAGADO!G$1,4),VI_Debitos!$Q:$Q,RIGHT(G$1,2))</f>
        <v>0</v>
      </c>
      <c r="H273" s="2">
        <f>SUMIFS(VI_Debitos!$V:$V,VI_Debitos!$H:$H,$C273,VI_Debitos!$T:$T,$D273,VI_Debitos!$R:$R,LEFT(PAGADO!H$1,4),VI_Debitos!$Q:$Q,RIGHT(H$1,2))</f>
        <v>0</v>
      </c>
      <c r="I273" s="2">
        <f>SUMIFS(VI_Debitos!$V:$V,VI_Debitos!$H:$H,$C273,VI_Debitos!$T:$T,$D273,VI_Debitos!$R:$R,LEFT(PAGADO!I$1,4),VI_Debitos!$Q:$Q,RIGHT(I$1,2))</f>
        <v>0</v>
      </c>
      <c r="J273" s="2">
        <f>SUMIFS(VI_Debitos!$V:$V,VI_Debitos!$H:$H,$C273,VI_Debitos!$T:$T,$D273,VI_Debitos!$R:$R,LEFT(PAGADO!J$1,4),VI_Debitos!$Q:$Q,RIGHT(J$1,2))</f>
        <v>0</v>
      </c>
      <c r="K273" s="2">
        <f>SUMIFS(VI_Debitos!$V:$V,VI_Debitos!$H:$H,$C273,VI_Debitos!$T:$T,$D273,VI_Debitos!$R:$R,LEFT(PAGADO!K$1,4),VI_Debitos!$Q:$Q,RIGHT(K$1,2))</f>
        <v>0</v>
      </c>
      <c r="L273" s="2">
        <f>SUMIFS(VI_Debitos!$V:$V,VI_Debitos!$H:$H,$C273,VI_Debitos!$T:$T,$D273,VI_Debitos!$R:$R,LEFT(PAGADO!L$1,4),VI_Debitos!$Q:$Q,RIGHT(L$1,2))</f>
        <v>0</v>
      </c>
      <c r="M273" s="2">
        <f>SUMIFS(VI_Debitos!$V:$V,VI_Debitos!$H:$H,$C273,VI_Debitos!$T:$T,$D273,VI_Debitos!$R:$R,LEFT(PAGADO!M$1,4),VI_Debitos!$Q:$Q,RIGHT(M$1,2))</f>
        <v>0</v>
      </c>
      <c r="N273" s="2">
        <f>SUMIFS(VI_Debitos!$V:$V,VI_Debitos!$H:$H,$C273,VI_Debitos!$T:$T,$D273,VI_Debitos!$R:$R,LEFT(PAGADO!N$1,4),VI_Debitos!$Q:$Q,RIGHT(N$1,2))</f>
        <v>0</v>
      </c>
      <c r="O273" s="2">
        <f>SUMIFS(VI_Debitos!$V:$V,VI_Debitos!$H:$H,$C273,VI_Debitos!$T:$T,$D273,VI_Debitos!$R:$R,LEFT(PAGADO!O$1,4),VI_Debitos!$Q:$Q,RIGHT(O$1,2))</f>
        <v>0</v>
      </c>
      <c r="P273" s="2">
        <f>SUMIFS(VI_Debitos!$V:$V,VI_Debitos!$H:$H,$C273,VI_Debitos!$T:$T,$D273,VI_Debitos!$R:$R,LEFT(PAGADO!P$1,4),VI_Debitos!$Q:$Q,RIGHT(P$1,2))</f>
        <v>0</v>
      </c>
      <c r="Q273" s="2">
        <f>SUMIFS(VI_Debitos!$V:$V,VI_Debitos!$H:$H,$C273,VI_Debitos!$T:$T,$D273,VI_Debitos!$R:$R,LEFT(PAGADO!Q$1,4),VI_Debitos!$Q:$Q,RIGHT(Q$1,2))</f>
        <v>0</v>
      </c>
      <c r="R273" s="2">
        <f t="shared" si="4"/>
        <v>0</v>
      </c>
    </row>
    <row r="274" spans="6:18">
      <c r="F274" s="2">
        <f>SUMIFS(VI_Debitos!$V:$V,VI_Debitos!$H:$H,$C274,VI_Debitos!$T:$T,$D274,VI_Debitos!$R:$R,LEFT(PAGADO!F$1,4),VI_Debitos!$Q:$Q,RIGHT(F$1,2))</f>
        <v>0</v>
      </c>
      <c r="G274" s="2">
        <f>SUMIFS(VI_Debitos!$V:$V,VI_Debitos!$H:$H,$C274,VI_Debitos!$T:$T,$D274,VI_Debitos!$R:$R,LEFT(PAGADO!G$1,4),VI_Debitos!$Q:$Q,RIGHT(G$1,2))</f>
        <v>0</v>
      </c>
      <c r="H274" s="2">
        <f>SUMIFS(VI_Debitos!$V:$V,VI_Debitos!$H:$H,$C274,VI_Debitos!$T:$T,$D274,VI_Debitos!$R:$R,LEFT(PAGADO!H$1,4),VI_Debitos!$Q:$Q,RIGHT(H$1,2))</f>
        <v>0</v>
      </c>
      <c r="I274" s="2">
        <f>SUMIFS(VI_Debitos!$V:$V,VI_Debitos!$H:$H,$C274,VI_Debitos!$T:$T,$D274,VI_Debitos!$R:$R,LEFT(PAGADO!I$1,4),VI_Debitos!$Q:$Q,RIGHT(I$1,2))</f>
        <v>0</v>
      </c>
      <c r="J274" s="2">
        <f>SUMIFS(VI_Debitos!$V:$V,VI_Debitos!$H:$H,$C274,VI_Debitos!$T:$T,$D274,VI_Debitos!$R:$R,LEFT(PAGADO!J$1,4),VI_Debitos!$Q:$Q,RIGHT(J$1,2))</f>
        <v>0</v>
      </c>
      <c r="K274" s="2">
        <f>SUMIFS(VI_Debitos!$V:$V,VI_Debitos!$H:$H,$C274,VI_Debitos!$T:$T,$D274,VI_Debitos!$R:$R,LEFT(PAGADO!K$1,4),VI_Debitos!$Q:$Q,RIGHT(K$1,2))</f>
        <v>0</v>
      </c>
      <c r="L274" s="2">
        <f>SUMIFS(VI_Debitos!$V:$V,VI_Debitos!$H:$H,$C274,VI_Debitos!$T:$T,$D274,VI_Debitos!$R:$R,LEFT(PAGADO!L$1,4),VI_Debitos!$Q:$Q,RIGHT(L$1,2))</f>
        <v>0</v>
      </c>
      <c r="M274" s="2">
        <f>SUMIFS(VI_Debitos!$V:$V,VI_Debitos!$H:$H,$C274,VI_Debitos!$T:$T,$D274,VI_Debitos!$R:$R,LEFT(PAGADO!M$1,4),VI_Debitos!$Q:$Q,RIGHT(M$1,2))</f>
        <v>0</v>
      </c>
      <c r="N274" s="2">
        <f>SUMIFS(VI_Debitos!$V:$V,VI_Debitos!$H:$H,$C274,VI_Debitos!$T:$T,$D274,VI_Debitos!$R:$R,LEFT(PAGADO!N$1,4),VI_Debitos!$Q:$Q,RIGHT(N$1,2))</f>
        <v>0</v>
      </c>
      <c r="O274" s="2">
        <f>SUMIFS(VI_Debitos!$V:$V,VI_Debitos!$H:$H,$C274,VI_Debitos!$T:$T,$D274,VI_Debitos!$R:$R,LEFT(PAGADO!O$1,4),VI_Debitos!$Q:$Q,RIGHT(O$1,2))</f>
        <v>0</v>
      </c>
      <c r="P274" s="2">
        <f>SUMIFS(VI_Debitos!$V:$V,VI_Debitos!$H:$H,$C274,VI_Debitos!$T:$T,$D274,VI_Debitos!$R:$R,LEFT(PAGADO!P$1,4),VI_Debitos!$Q:$Q,RIGHT(P$1,2))</f>
        <v>0</v>
      </c>
      <c r="Q274" s="2">
        <f>SUMIFS(VI_Debitos!$V:$V,VI_Debitos!$H:$H,$C274,VI_Debitos!$T:$T,$D274,VI_Debitos!$R:$R,LEFT(PAGADO!Q$1,4),VI_Debitos!$Q:$Q,RIGHT(Q$1,2))</f>
        <v>0</v>
      </c>
      <c r="R274" s="2">
        <f t="shared" si="4"/>
        <v>0</v>
      </c>
    </row>
    <row r="275" spans="6:18">
      <c r="F275" s="2">
        <f>SUMIFS(VI_Debitos!$V:$V,VI_Debitos!$H:$H,$C275,VI_Debitos!$T:$T,$D275,VI_Debitos!$R:$R,LEFT(PAGADO!F$1,4),VI_Debitos!$Q:$Q,RIGHT(F$1,2))</f>
        <v>0</v>
      </c>
      <c r="G275" s="2">
        <f>SUMIFS(VI_Debitos!$V:$V,VI_Debitos!$H:$H,$C275,VI_Debitos!$T:$T,$D275,VI_Debitos!$R:$R,LEFT(PAGADO!G$1,4),VI_Debitos!$Q:$Q,RIGHT(G$1,2))</f>
        <v>0</v>
      </c>
      <c r="H275" s="2">
        <f>SUMIFS(VI_Debitos!$V:$V,VI_Debitos!$H:$H,$C275,VI_Debitos!$T:$T,$D275,VI_Debitos!$R:$R,LEFT(PAGADO!H$1,4),VI_Debitos!$Q:$Q,RIGHT(H$1,2))</f>
        <v>0</v>
      </c>
      <c r="I275" s="2">
        <f>SUMIFS(VI_Debitos!$V:$V,VI_Debitos!$H:$H,$C275,VI_Debitos!$T:$T,$D275,VI_Debitos!$R:$R,LEFT(PAGADO!I$1,4),VI_Debitos!$Q:$Q,RIGHT(I$1,2))</f>
        <v>0</v>
      </c>
      <c r="J275" s="2">
        <f>SUMIFS(VI_Debitos!$V:$V,VI_Debitos!$H:$H,$C275,VI_Debitos!$T:$T,$D275,VI_Debitos!$R:$R,LEFT(PAGADO!J$1,4),VI_Debitos!$Q:$Q,RIGHT(J$1,2))</f>
        <v>0</v>
      </c>
      <c r="K275" s="2">
        <f>SUMIFS(VI_Debitos!$V:$V,VI_Debitos!$H:$H,$C275,VI_Debitos!$T:$T,$D275,VI_Debitos!$R:$R,LEFT(PAGADO!K$1,4),VI_Debitos!$Q:$Q,RIGHT(K$1,2))</f>
        <v>0</v>
      </c>
      <c r="L275" s="2">
        <f>SUMIFS(VI_Debitos!$V:$V,VI_Debitos!$H:$H,$C275,VI_Debitos!$T:$T,$D275,VI_Debitos!$R:$R,LEFT(PAGADO!L$1,4),VI_Debitos!$Q:$Q,RIGHT(L$1,2))</f>
        <v>0</v>
      </c>
      <c r="M275" s="2">
        <f>SUMIFS(VI_Debitos!$V:$V,VI_Debitos!$H:$H,$C275,VI_Debitos!$T:$T,$D275,VI_Debitos!$R:$R,LEFT(PAGADO!M$1,4),VI_Debitos!$Q:$Q,RIGHT(M$1,2))</f>
        <v>0</v>
      </c>
      <c r="N275" s="2">
        <f>SUMIFS(VI_Debitos!$V:$V,VI_Debitos!$H:$H,$C275,VI_Debitos!$T:$T,$D275,VI_Debitos!$R:$R,LEFT(PAGADO!N$1,4),VI_Debitos!$Q:$Q,RIGHT(N$1,2))</f>
        <v>0</v>
      </c>
      <c r="O275" s="2">
        <f>SUMIFS(VI_Debitos!$V:$V,VI_Debitos!$H:$H,$C275,VI_Debitos!$T:$T,$D275,VI_Debitos!$R:$R,LEFT(PAGADO!O$1,4),VI_Debitos!$Q:$Q,RIGHT(O$1,2))</f>
        <v>0</v>
      </c>
      <c r="P275" s="2">
        <f>SUMIFS(VI_Debitos!$V:$V,VI_Debitos!$H:$H,$C275,VI_Debitos!$T:$T,$D275,VI_Debitos!$R:$R,LEFT(PAGADO!P$1,4),VI_Debitos!$Q:$Q,RIGHT(P$1,2))</f>
        <v>0</v>
      </c>
      <c r="Q275" s="2">
        <f>SUMIFS(VI_Debitos!$V:$V,VI_Debitos!$H:$H,$C275,VI_Debitos!$T:$T,$D275,VI_Debitos!$R:$R,LEFT(PAGADO!Q$1,4),VI_Debitos!$Q:$Q,RIGHT(Q$1,2))</f>
        <v>0</v>
      </c>
      <c r="R275" s="2">
        <f t="shared" si="4"/>
        <v>0</v>
      </c>
    </row>
    <row r="276" spans="6:18">
      <c r="F276" s="2">
        <f>SUMIFS(VI_Debitos!$V:$V,VI_Debitos!$H:$H,$C276,VI_Debitos!$T:$T,$D276,VI_Debitos!$R:$R,LEFT(PAGADO!F$1,4),VI_Debitos!$Q:$Q,RIGHT(F$1,2))</f>
        <v>0</v>
      </c>
      <c r="G276" s="2">
        <f>SUMIFS(VI_Debitos!$V:$V,VI_Debitos!$H:$H,$C276,VI_Debitos!$T:$T,$D276,VI_Debitos!$R:$R,LEFT(PAGADO!G$1,4),VI_Debitos!$Q:$Q,RIGHT(G$1,2))</f>
        <v>0</v>
      </c>
      <c r="H276" s="2">
        <f>SUMIFS(VI_Debitos!$V:$V,VI_Debitos!$H:$H,$C276,VI_Debitos!$T:$T,$D276,VI_Debitos!$R:$R,LEFT(PAGADO!H$1,4),VI_Debitos!$Q:$Q,RIGHT(H$1,2))</f>
        <v>0</v>
      </c>
      <c r="I276" s="2">
        <f>SUMIFS(VI_Debitos!$V:$V,VI_Debitos!$H:$H,$C276,VI_Debitos!$T:$T,$D276,VI_Debitos!$R:$R,LEFT(PAGADO!I$1,4),VI_Debitos!$Q:$Q,RIGHT(I$1,2))</f>
        <v>0</v>
      </c>
      <c r="J276" s="2">
        <f>SUMIFS(VI_Debitos!$V:$V,VI_Debitos!$H:$H,$C276,VI_Debitos!$T:$T,$D276,VI_Debitos!$R:$R,LEFT(PAGADO!J$1,4),VI_Debitos!$Q:$Q,RIGHT(J$1,2))</f>
        <v>0</v>
      </c>
      <c r="K276" s="2">
        <f>SUMIFS(VI_Debitos!$V:$V,VI_Debitos!$H:$H,$C276,VI_Debitos!$T:$T,$D276,VI_Debitos!$R:$R,LEFT(PAGADO!K$1,4),VI_Debitos!$Q:$Q,RIGHT(K$1,2))</f>
        <v>0</v>
      </c>
      <c r="L276" s="2">
        <f>SUMIFS(VI_Debitos!$V:$V,VI_Debitos!$H:$H,$C276,VI_Debitos!$T:$T,$D276,VI_Debitos!$R:$R,LEFT(PAGADO!L$1,4),VI_Debitos!$Q:$Q,RIGHT(L$1,2))</f>
        <v>0</v>
      </c>
      <c r="M276" s="2">
        <f>SUMIFS(VI_Debitos!$V:$V,VI_Debitos!$H:$H,$C276,VI_Debitos!$T:$T,$D276,VI_Debitos!$R:$R,LEFT(PAGADO!M$1,4),VI_Debitos!$Q:$Q,RIGHT(M$1,2))</f>
        <v>0</v>
      </c>
      <c r="N276" s="2">
        <f>SUMIFS(VI_Debitos!$V:$V,VI_Debitos!$H:$H,$C276,VI_Debitos!$T:$T,$D276,VI_Debitos!$R:$R,LEFT(PAGADO!N$1,4),VI_Debitos!$Q:$Q,RIGHT(N$1,2))</f>
        <v>0</v>
      </c>
      <c r="O276" s="2">
        <f>SUMIFS(VI_Debitos!$V:$V,VI_Debitos!$H:$H,$C276,VI_Debitos!$T:$T,$D276,VI_Debitos!$R:$R,LEFT(PAGADO!O$1,4),VI_Debitos!$Q:$Q,RIGHT(O$1,2))</f>
        <v>0</v>
      </c>
      <c r="P276" s="2">
        <f>SUMIFS(VI_Debitos!$V:$V,VI_Debitos!$H:$H,$C276,VI_Debitos!$T:$T,$D276,VI_Debitos!$R:$R,LEFT(PAGADO!P$1,4),VI_Debitos!$Q:$Q,RIGHT(P$1,2))</f>
        <v>0</v>
      </c>
      <c r="Q276" s="2">
        <f>SUMIFS(VI_Debitos!$V:$V,VI_Debitos!$H:$H,$C276,VI_Debitos!$T:$T,$D276,VI_Debitos!$R:$R,LEFT(PAGADO!Q$1,4),VI_Debitos!$Q:$Q,RIGHT(Q$1,2))</f>
        <v>0</v>
      </c>
      <c r="R276" s="2">
        <f t="shared" si="4"/>
        <v>0</v>
      </c>
    </row>
    <row r="277" spans="6:18">
      <c r="F277" s="2">
        <f>SUMIFS(VI_Debitos!$V:$V,VI_Debitos!$H:$H,$C277,VI_Debitos!$T:$T,$D277,VI_Debitos!$R:$R,LEFT(PAGADO!F$1,4),VI_Debitos!$Q:$Q,RIGHT(F$1,2))</f>
        <v>0</v>
      </c>
      <c r="G277" s="2">
        <f>SUMIFS(VI_Debitos!$V:$V,VI_Debitos!$H:$H,$C277,VI_Debitos!$T:$T,$D277,VI_Debitos!$R:$R,LEFT(PAGADO!G$1,4),VI_Debitos!$Q:$Q,RIGHT(G$1,2))</f>
        <v>0</v>
      </c>
      <c r="H277" s="2">
        <f>SUMIFS(VI_Debitos!$V:$V,VI_Debitos!$H:$H,$C277,VI_Debitos!$T:$T,$D277,VI_Debitos!$R:$R,LEFT(PAGADO!H$1,4),VI_Debitos!$Q:$Q,RIGHT(H$1,2))</f>
        <v>0</v>
      </c>
      <c r="I277" s="2">
        <f>SUMIFS(VI_Debitos!$V:$V,VI_Debitos!$H:$H,$C277,VI_Debitos!$T:$T,$D277,VI_Debitos!$R:$R,LEFT(PAGADO!I$1,4),VI_Debitos!$Q:$Q,RIGHT(I$1,2))</f>
        <v>0</v>
      </c>
      <c r="J277" s="2">
        <f>SUMIFS(VI_Debitos!$V:$V,VI_Debitos!$H:$H,$C277,VI_Debitos!$T:$T,$D277,VI_Debitos!$R:$R,LEFT(PAGADO!J$1,4),VI_Debitos!$Q:$Q,RIGHT(J$1,2))</f>
        <v>0</v>
      </c>
      <c r="K277" s="2">
        <f>SUMIFS(VI_Debitos!$V:$V,VI_Debitos!$H:$H,$C277,VI_Debitos!$T:$T,$D277,VI_Debitos!$R:$R,LEFT(PAGADO!K$1,4),VI_Debitos!$Q:$Q,RIGHT(K$1,2))</f>
        <v>0</v>
      </c>
      <c r="L277" s="2">
        <f>SUMIFS(VI_Debitos!$V:$V,VI_Debitos!$H:$H,$C277,VI_Debitos!$T:$T,$D277,VI_Debitos!$R:$R,LEFT(PAGADO!L$1,4),VI_Debitos!$Q:$Q,RIGHT(L$1,2))</f>
        <v>0</v>
      </c>
      <c r="M277" s="2">
        <f>SUMIFS(VI_Debitos!$V:$V,VI_Debitos!$H:$H,$C277,VI_Debitos!$T:$T,$D277,VI_Debitos!$R:$R,LEFT(PAGADO!M$1,4),VI_Debitos!$Q:$Q,RIGHT(M$1,2))</f>
        <v>0</v>
      </c>
      <c r="N277" s="2">
        <f>SUMIFS(VI_Debitos!$V:$V,VI_Debitos!$H:$H,$C277,VI_Debitos!$T:$T,$D277,VI_Debitos!$R:$R,LEFT(PAGADO!N$1,4),VI_Debitos!$Q:$Q,RIGHT(N$1,2))</f>
        <v>0</v>
      </c>
      <c r="O277" s="2">
        <f>SUMIFS(VI_Debitos!$V:$V,VI_Debitos!$H:$H,$C277,VI_Debitos!$T:$T,$D277,VI_Debitos!$R:$R,LEFT(PAGADO!O$1,4),VI_Debitos!$Q:$Q,RIGHT(O$1,2))</f>
        <v>0</v>
      </c>
      <c r="P277" s="2">
        <f>SUMIFS(VI_Debitos!$V:$V,VI_Debitos!$H:$H,$C277,VI_Debitos!$T:$T,$D277,VI_Debitos!$R:$R,LEFT(PAGADO!P$1,4),VI_Debitos!$Q:$Q,RIGHT(P$1,2))</f>
        <v>0</v>
      </c>
      <c r="Q277" s="2">
        <f>SUMIFS(VI_Debitos!$V:$V,VI_Debitos!$H:$H,$C277,VI_Debitos!$T:$T,$D277,VI_Debitos!$R:$R,LEFT(PAGADO!Q$1,4),VI_Debitos!$Q:$Q,RIGHT(Q$1,2))</f>
        <v>0</v>
      </c>
      <c r="R277" s="2">
        <f t="shared" si="4"/>
        <v>0</v>
      </c>
    </row>
    <row r="278" spans="6:18">
      <c r="F278" s="2">
        <f>SUMIFS(VI_Debitos!$V:$V,VI_Debitos!$H:$H,$C278,VI_Debitos!$T:$T,$D278,VI_Debitos!$R:$R,LEFT(PAGADO!F$1,4),VI_Debitos!$Q:$Q,RIGHT(F$1,2))</f>
        <v>0</v>
      </c>
      <c r="G278" s="2">
        <f>SUMIFS(VI_Debitos!$V:$V,VI_Debitos!$H:$H,$C278,VI_Debitos!$T:$T,$D278,VI_Debitos!$R:$R,LEFT(PAGADO!G$1,4),VI_Debitos!$Q:$Q,RIGHT(G$1,2))</f>
        <v>0</v>
      </c>
      <c r="H278" s="2">
        <f>SUMIFS(VI_Debitos!$V:$V,VI_Debitos!$H:$H,$C278,VI_Debitos!$T:$T,$D278,VI_Debitos!$R:$R,LEFT(PAGADO!H$1,4),VI_Debitos!$Q:$Q,RIGHT(H$1,2))</f>
        <v>0</v>
      </c>
      <c r="I278" s="2">
        <f>SUMIFS(VI_Debitos!$V:$V,VI_Debitos!$H:$H,$C278,VI_Debitos!$T:$T,$D278,VI_Debitos!$R:$R,LEFT(PAGADO!I$1,4),VI_Debitos!$Q:$Q,RIGHT(I$1,2))</f>
        <v>0</v>
      </c>
      <c r="J278" s="2">
        <f>SUMIFS(VI_Debitos!$V:$V,VI_Debitos!$H:$H,$C278,VI_Debitos!$T:$T,$D278,VI_Debitos!$R:$R,LEFT(PAGADO!J$1,4),VI_Debitos!$Q:$Q,RIGHT(J$1,2))</f>
        <v>0</v>
      </c>
      <c r="K278" s="2">
        <f>SUMIFS(VI_Debitos!$V:$V,VI_Debitos!$H:$H,$C278,VI_Debitos!$T:$T,$D278,VI_Debitos!$R:$R,LEFT(PAGADO!K$1,4),VI_Debitos!$Q:$Q,RIGHT(K$1,2))</f>
        <v>0</v>
      </c>
      <c r="L278" s="2">
        <f>SUMIFS(VI_Debitos!$V:$V,VI_Debitos!$H:$H,$C278,VI_Debitos!$T:$T,$D278,VI_Debitos!$R:$R,LEFT(PAGADO!L$1,4),VI_Debitos!$Q:$Q,RIGHT(L$1,2))</f>
        <v>0</v>
      </c>
      <c r="M278" s="2">
        <f>SUMIFS(VI_Debitos!$V:$V,VI_Debitos!$H:$H,$C278,VI_Debitos!$T:$T,$D278,VI_Debitos!$R:$R,LEFT(PAGADO!M$1,4),VI_Debitos!$Q:$Q,RIGHT(M$1,2))</f>
        <v>0</v>
      </c>
      <c r="N278" s="2">
        <f>SUMIFS(VI_Debitos!$V:$V,VI_Debitos!$H:$H,$C278,VI_Debitos!$T:$T,$D278,VI_Debitos!$R:$R,LEFT(PAGADO!N$1,4),VI_Debitos!$Q:$Q,RIGHT(N$1,2))</f>
        <v>0</v>
      </c>
      <c r="O278" s="2">
        <f>SUMIFS(VI_Debitos!$V:$V,VI_Debitos!$H:$H,$C278,VI_Debitos!$T:$T,$D278,VI_Debitos!$R:$R,LEFT(PAGADO!O$1,4),VI_Debitos!$Q:$Q,RIGHT(O$1,2))</f>
        <v>0</v>
      </c>
      <c r="P278" s="2">
        <f>SUMIFS(VI_Debitos!$V:$V,VI_Debitos!$H:$H,$C278,VI_Debitos!$T:$T,$D278,VI_Debitos!$R:$R,LEFT(PAGADO!P$1,4),VI_Debitos!$Q:$Q,RIGHT(P$1,2))</f>
        <v>0</v>
      </c>
      <c r="Q278" s="2">
        <f>SUMIFS(VI_Debitos!$V:$V,VI_Debitos!$H:$H,$C278,VI_Debitos!$T:$T,$D278,VI_Debitos!$R:$R,LEFT(PAGADO!Q$1,4),VI_Debitos!$Q:$Q,RIGHT(Q$1,2))</f>
        <v>0</v>
      </c>
      <c r="R278" s="2">
        <f t="shared" si="4"/>
        <v>0</v>
      </c>
    </row>
    <row r="279" spans="6:18">
      <c r="F279" s="2">
        <f>SUMIFS(VI_Debitos!$V:$V,VI_Debitos!$H:$H,$C279,VI_Debitos!$T:$T,$D279,VI_Debitos!$R:$R,LEFT(PAGADO!F$1,4),VI_Debitos!$Q:$Q,RIGHT(F$1,2))</f>
        <v>0</v>
      </c>
      <c r="G279" s="2">
        <f>SUMIFS(VI_Debitos!$V:$V,VI_Debitos!$H:$H,$C279,VI_Debitos!$T:$T,$D279,VI_Debitos!$R:$R,LEFT(PAGADO!G$1,4),VI_Debitos!$Q:$Q,RIGHT(G$1,2))</f>
        <v>0</v>
      </c>
      <c r="H279" s="2">
        <f>SUMIFS(VI_Debitos!$V:$V,VI_Debitos!$H:$H,$C279,VI_Debitos!$T:$T,$D279,VI_Debitos!$R:$R,LEFT(PAGADO!H$1,4),VI_Debitos!$Q:$Q,RIGHT(H$1,2))</f>
        <v>0</v>
      </c>
      <c r="I279" s="2">
        <f>SUMIFS(VI_Debitos!$V:$V,VI_Debitos!$H:$H,$C279,VI_Debitos!$T:$T,$D279,VI_Debitos!$R:$R,LEFT(PAGADO!I$1,4),VI_Debitos!$Q:$Q,RIGHT(I$1,2))</f>
        <v>0</v>
      </c>
      <c r="J279" s="2">
        <f>SUMIFS(VI_Debitos!$V:$V,VI_Debitos!$H:$H,$C279,VI_Debitos!$T:$T,$D279,VI_Debitos!$R:$R,LEFT(PAGADO!J$1,4),VI_Debitos!$Q:$Q,RIGHT(J$1,2))</f>
        <v>0</v>
      </c>
      <c r="K279" s="2">
        <f>SUMIFS(VI_Debitos!$V:$V,VI_Debitos!$H:$H,$C279,VI_Debitos!$T:$T,$D279,VI_Debitos!$R:$R,LEFT(PAGADO!K$1,4),VI_Debitos!$Q:$Q,RIGHT(K$1,2))</f>
        <v>0</v>
      </c>
      <c r="L279" s="2">
        <f>SUMIFS(VI_Debitos!$V:$V,VI_Debitos!$H:$H,$C279,VI_Debitos!$T:$T,$D279,VI_Debitos!$R:$R,LEFT(PAGADO!L$1,4),VI_Debitos!$Q:$Q,RIGHT(L$1,2))</f>
        <v>0</v>
      </c>
      <c r="M279" s="2">
        <f>SUMIFS(VI_Debitos!$V:$V,VI_Debitos!$H:$H,$C279,VI_Debitos!$T:$T,$D279,VI_Debitos!$R:$R,LEFT(PAGADO!M$1,4),VI_Debitos!$Q:$Q,RIGHT(M$1,2))</f>
        <v>0</v>
      </c>
      <c r="N279" s="2">
        <f>SUMIFS(VI_Debitos!$V:$V,VI_Debitos!$H:$H,$C279,VI_Debitos!$T:$T,$D279,VI_Debitos!$R:$R,LEFT(PAGADO!N$1,4),VI_Debitos!$Q:$Q,RIGHT(N$1,2))</f>
        <v>0</v>
      </c>
      <c r="O279" s="2">
        <f>SUMIFS(VI_Debitos!$V:$V,VI_Debitos!$H:$H,$C279,VI_Debitos!$T:$T,$D279,VI_Debitos!$R:$R,LEFT(PAGADO!O$1,4),VI_Debitos!$Q:$Q,RIGHT(O$1,2))</f>
        <v>0</v>
      </c>
      <c r="P279" s="2">
        <f>SUMIFS(VI_Debitos!$V:$V,VI_Debitos!$H:$H,$C279,VI_Debitos!$T:$T,$D279,VI_Debitos!$R:$R,LEFT(PAGADO!P$1,4),VI_Debitos!$Q:$Q,RIGHT(P$1,2))</f>
        <v>0</v>
      </c>
      <c r="Q279" s="2">
        <f>SUMIFS(VI_Debitos!$V:$V,VI_Debitos!$H:$H,$C279,VI_Debitos!$T:$T,$D279,VI_Debitos!$R:$R,LEFT(PAGADO!Q$1,4),VI_Debitos!$Q:$Q,RIGHT(Q$1,2))</f>
        <v>0</v>
      </c>
      <c r="R279" s="2">
        <f t="shared" si="4"/>
        <v>0</v>
      </c>
    </row>
    <row r="280" spans="6:18">
      <c r="F280" s="2">
        <f>SUMIFS(VI_Debitos!$V:$V,VI_Debitos!$H:$H,$C280,VI_Debitos!$T:$T,$D280,VI_Debitos!$R:$R,LEFT(PAGADO!F$1,4),VI_Debitos!$Q:$Q,RIGHT(F$1,2))</f>
        <v>0</v>
      </c>
      <c r="G280" s="2">
        <f>SUMIFS(VI_Debitos!$V:$V,VI_Debitos!$H:$H,$C280,VI_Debitos!$T:$T,$D280,VI_Debitos!$R:$R,LEFT(PAGADO!G$1,4),VI_Debitos!$Q:$Q,RIGHT(G$1,2))</f>
        <v>0</v>
      </c>
      <c r="H280" s="2">
        <f>SUMIFS(VI_Debitos!$V:$V,VI_Debitos!$H:$H,$C280,VI_Debitos!$T:$T,$D280,VI_Debitos!$R:$R,LEFT(PAGADO!H$1,4),VI_Debitos!$Q:$Q,RIGHT(H$1,2))</f>
        <v>0</v>
      </c>
      <c r="I280" s="2">
        <f>SUMIFS(VI_Debitos!$V:$V,VI_Debitos!$H:$H,$C280,VI_Debitos!$T:$T,$D280,VI_Debitos!$R:$R,LEFT(PAGADO!I$1,4),VI_Debitos!$Q:$Q,RIGHT(I$1,2))</f>
        <v>0</v>
      </c>
      <c r="J280" s="2">
        <f>SUMIFS(VI_Debitos!$V:$V,VI_Debitos!$H:$H,$C280,VI_Debitos!$T:$T,$D280,VI_Debitos!$R:$R,LEFT(PAGADO!J$1,4),VI_Debitos!$Q:$Q,RIGHT(J$1,2))</f>
        <v>0</v>
      </c>
      <c r="K280" s="2">
        <f>SUMIFS(VI_Debitos!$V:$V,VI_Debitos!$H:$H,$C280,VI_Debitos!$T:$T,$D280,VI_Debitos!$R:$R,LEFT(PAGADO!K$1,4),VI_Debitos!$Q:$Q,RIGHT(K$1,2))</f>
        <v>0</v>
      </c>
      <c r="L280" s="2">
        <f>SUMIFS(VI_Debitos!$V:$V,VI_Debitos!$H:$H,$C280,VI_Debitos!$T:$T,$D280,VI_Debitos!$R:$R,LEFT(PAGADO!L$1,4),VI_Debitos!$Q:$Q,RIGHT(L$1,2))</f>
        <v>0</v>
      </c>
      <c r="M280" s="2">
        <f>SUMIFS(VI_Debitos!$V:$V,VI_Debitos!$H:$H,$C280,VI_Debitos!$T:$T,$D280,VI_Debitos!$R:$R,LEFT(PAGADO!M$1,4),VI_Debitos!$Q:$Q,RIGHT(M$1,2))</f>
        <v>0</v>
      </c>
      <c r="N280" s="2">
        <f>SUMIFS(VI_Debitos!$V:$V,VI_Debitos!$H:$H,$C280,VI_Debitos!$T:$T,$D280,VI_Debitos!$R:$R,LEFT(PAGADO!N$1,4),VI_Debitos!$Q:$Q,RIGHT(N$1,2))</f>
        <v>0</v>
      </c>
      <c r="O280" s="2">
        <f>SUMIFS(VI_Debitos!$V:$V,VI_Debitos!$H:$H,$C280,VI_Debitos!$T:$T,$D280,VI_Debitos!$R:$R,LEFT(PAGADO!O$1,4),VI_Debitos!$Q:$Q,RIGHT(O$1,2))</f>
        <v>0</v>
      </c>
      <c r="P280" s="2">
        <f>SUMIFS(VI_Debitos!$V:$V,VI_Debitos!$H:$H,$C280,VI_Debitos!$T:$T,$D280,VI_Debitos!$R:$R,LEFT(PAGADO!P$1,4),VI_Debitos!$Q:$Q,RIGHT(P$1,2))</f>
        <v>0</v>
      </c>
      <c r="Q280" s="2">
        <f>SUMIFS(VI_Debitos!$V:$V,VI_Debitos!$H:$H,$C280,VI_Debitos!$T:$T,$D280,VI_Debitos!$R:$R,LEFT(PAGADO!Q$1,4),VI_Debitos!$Q:$Q,RIGHT(Q$1,2))</f>
        <v>0</v>
      </c>
      <c r="R280" s="2">
        <f t="shared" si="4"/>
        <v>0</v>
      </c>
    </row>
    <row r="281" spans="6:18">
      <c r="F281" s="2">
        <f>SUMIFS(VI_Debitos!$V:$V,VI_Debitos!$H:$H,$C281,VI_Debitos!$T:$T,$D281,VI_Debitos!$R:$R,LEFT(PAGADO!F$1,4),VI_Debitos!$Q:$Q,RIGHT(F$1,2))</f>
        <v>0</v>
      </c>
      <c r="G281" s="2">
        <f>SUMIFS(VI_Debitos!$V:$V,VI_Debitos!$H:$H,$C281,VI_Debitos!$T:$T,$D281,VI_Debitos!$R:$R,LEFT(PAGADO!G$1,4),VI_Debitos!$Q:$Q,RIGHT(G$1,2))</f>
        <v>0</v>
      </c>
      <c r="H281" s="2">
        <f>SUMIFS(VI_Debitos!$V:$V,VI_Debitos!$H:$H,$C281,VI_Debitos!$T:$T,$D281,VI_Debitos!$R:$R,LEFT(PAGADO!H$1,4),VI_Debitos!$Q:$Q,RIGHT(H$1,2))</f>
        <v>0</v>
      </c>
      <c r="I281" s="2">
        <f>SUMIFS(VI_Debitos!$V:$V,VI_Debitos!$H:$H,$C281,VI_Debitos!$T:$T,$D281,VI_Debitos!$R:$R,LEFT(PAGADO!I$1,4),VI_Debitos!$Q:$Q,RIGHT(I$1,2))</f>
        <v>0</v>
      </c>
      <c r="J281" s="2">
        <f>SUMIFS(VI_Debitos!$V:$V,VI_Debitos!$H:$H,$C281,VI_Debitos!$T:$T,$D281,VI_Debitos!$R:$R,LEFT(PAGADO!J$1,4),VI_Debitos!$Q:$Q,RIGHT(J$1,2))</f>
        <v>0</v>
      </c>
      <c r="K281" s="2">
        <f>SUMIFS(VI_Debitos!$V:$V,VI_Debitos!$H:$H,$C281,VI_Debitos!$T:$T,$D281,VI_Debitos!$R:$R,LEFT(PAGADO!K$1,4),VI_Debitos!$Q:$Q,RIGHT(K$1,2))</f>
        <v>0</v>
      </c>
      <c r="L281" s="2">
        <f>SUMIFS(VI_Debitos!$V:$V,VI_Debitos!$H:$H,$C281,VI_Debitos!$T:$T,$D281,VI_Debitos!$R:$R,LEFT(PAGADO!L$1,4),VI_Debitos!$Q:$Q,RIGHT(L$1,2))</f>
        <v>0</v>
      </c>
      <c r="M281" s="2">
        <f>SUMIFS(VI_Debitos!$V:$V,VI_Debitos!$H:$H,$C281,VI_Debitos!$T:$T,$D281,VI_Debitos!$R:$R,LEFT(PAGADO!M$1,4),VI_Debitos!$Q:$Q,RIGHT(M$1,2))</f>
        <v>0</v>
      </c>
      <c r="N281" s="2">
        <f>SUMIFS(VI_Debitos!$V:$V,VI_Debitos!$H:$H,$C281,VI_Debitos!$T:$T,$D281,VI_Debitos!$R:$R,LEFT(PAGADO!N$1,4),VI_Debitos!$Q:$Q,RIGHT(N$1,2))</f>
        <v>0</v>
      </c>
      <c r="O281" s="2">
        <f>SUMIFS(VI_Debitos!$V:$V,VI_Debitos!$H:$H,$C281,VI_Debitos!$T:$T,$D281,VI_Debitos!$R:$R,LEFT(PAGADO!O$1,4),VI_Debitos!$Q:$Q,RIGHT(O$1,2))</f>
        <v>0</v>
      </c>
      <c r="P281" s="2">
        <f>SUMIFS(VI_Debitos!$V:$V,VI_Debitos!$H:$H,$C281,VI_Debitos!$T:$T,$D281,VI_Debitos!$R:$R,LEFT(PAGADO!P$1,4),VI_Debitos!$Q:$Q,RIGHT(P$1,2))</f>
        <v>0</v>
      </c>
      <c r="Q281" s="2">
        <f>SUMIFS(VI_Debitos!$V:$V,VI_Debitos!$H:$H,$C281,VI_Debitos!$T:$T,$D281,VI_Debitos!$R:$R,LEFT(PAGADO!Q$1,4),VI_Debitos!$Q:$Q,RIGHT(Q$1,2))</f>
        <v>0</v>
      </c>
      <c r="R281" s="2">
        <f t="shared" si="4"/>
        <v>0</v>
      </c>
    </row>
    <row r="282" spans="6:18">
      <c r="F282" s="2">
        <f>SUMIFS(VI_Debitos!$V:$V,VI_Debitos!$H:$H,$C282,VI_Debitos!$T:$T,$D282,VI_Debitos!$R:$R,LEFT(PAGADO!F$1,4),VI_Debitos!$Q:$Q,RIGHT(F$1,2))</f>
        <v>0</v>
      </c>
      <c r="G282" s="2">
        <f>SUMIFS(VI_Debitos!$V:$V,VI_Debitos!$H:$H,$C282,VI_Debitos!$T:$T,$D282,VI_Debitos!$R:$R,LEFT(PAGADO!G$1,4),VI_Debitos!$Q:$Q,RIGHT(G$1,2))</f>
        <v>0</v>
      </c>
      <c r="H282" s="2">
        <f>SUMIFS(VI_Debitos!$V:$V,VI_Debitos!$H:$H,$C282,VI_Debitos!$T:$T,$D282,VI_Debitos!$R:$R,LEFT(PAGADO!H$1,4),VI_Debitos!$Q:$Q,RIGHT(H$1,2))</f>
        <v>0</v>
      </c>
      <c r="I282" s="2">
        <f>SUMIFS(VI_Debitos!$V:$V,VI_Debitos!$H:$H,$C282,VI_Debitos!$T:$T,$D282,VI_Debitos!$R:$R,LEFT(PAGADO!I$1,4),VI_Debitos!$Q:$Q,RIGHT(I$1,2))</f>
        <v>0</v>
      </c>
      <c r="J282" s="2">
        <f>SUMIFS(VI_Debitos!$V:$V,VI_Debitos!$H:$H,$C282,VI_Debitos!$T:$T,$D282,VI_Debitos!$R:$R,LEFT(PAGADO!J$1,4),VI_Debitos!$Q:$Q,RIGHT(J$1,2))</f>
        <v>0</v>
      </c>
      <c r="K282" s="2">
        <f>SUMIFS(VI_Debitos!$V:$V,VI_Debitos!$H:$H,$C282,VI_Debitos!$T:$T,$D282,VI_Debitos!$R:$R,LEFT(PAGADO!K$1,4),VI_Debitos!$Q:$Q,RIGHT(K$1,2))</f>
        <v>0</v>
      </c>
      <c r="L282" s="2">
        <f>SUMIFS(VI_Debitos!$V:$V,VI_Debitos!$H:$H,$C282,VI_Debitos!$T:$T,$D282,VI_Debitos!$R:$R,LEFT(PAGADO!L$1,4),VI_Debitos!$Q:$Q,RIGHT(L$1,2))</f>
        <v>0</v>
      </c>
      <c r="M282" s="2">
        <f>SUMIFS(VI_Debitos!$V:$V,VI_Debitos!$H:$H,$C282,VI_Debitos!$T:$T,$D282,VI_Debitos!$R:$R,LEFT(PAGADO!M$1,4),VI_Debitos!$Q:$Q,RIGHT(M$1,2))</f>
        <v>0</v>
      </c>
      <c r="N282" s="2">
        <f>SUMIFS(VI_Debitos!$V:$V,VI_Debitos!$H:$H,$C282,VI_Debitos!$T:$T,$D282,VI_Debitos!$R:$R,LEFT(PAGADO!N$1,4),VI_Debitos!$Q:$Q,RIGHT(N$1,2))</f>
        <v>0</v>
      </c>
      <c r="O282" s="2">
        <f>SUMIFS(VI_Debitos!$V:$V,VI_Debitos!$H:$H,$C282,VI_Debitos!$T:$T,$D282,VI_Debitos!$R:$R,LEFT(PAGADO!O$1,4),VI_Debitos!$Q:$Q,RIGHT(O$1,2))</f>
        <v>0</v>
      </c>
      <c r="P282" s="2">
        <f>SUMIFS(VI_Debitos!$V:$V,VI_Debitos!$H:$H,$C282,VI_Debitos!$T:$T,$D282,VI_Debitos!$R:$R,LEFT(PAGADO!P$1,4),VI_Debitos!$Q:$Q,RIGHT(P$1,2))</f>
        <v>0</v>
      </c>
      <c r="Q282" s="2">
        <f>SUMIFS(VI_Debitos!$V:$V,VI_Debitos!$H:$H,$C282,VI_Debitos!$T:$T,$D282,VI_Debitos!$R:$R,LEFT(PAGADO!Q$1,4),VI_Debitos!$Q:$Q,RIGHT(Q$1,2))</f>
        <v>0</v>
      </c>
      <c r="R282" s="2">
        <f t="shared" si="4"/>
        <v>0</v>
      </c>
    </row>
    <row r="283" spans="6:18">
      <c r="F283" s="2">
        <f>SUMIFS(VI_Debitos!$V:$V,VI_Debitos!$H:$H,$C283,VI_Debitos!$T:$T,$D283,VI_Debitos!$R:$R,LEFT(PAGADO!F$1,4),VI_Debitos!$Q:$Q,RIGHT(F$1,2))</f>
        <v>0</v>
      </c>
      <c r="G283" s="2">
        <f>SUMIFS(VI_Debitos!$V:$V,VI_Debitos!$H:$H,$C283,VI_Debitos!$T:$T,$D283,VI_Debitos!$R:$R,LEFT(PAGADO!G$1,4),VI_Debitos!$Q:$Q,RIGHT(G$1,2))</f>
        <v>0</v>
      </c>
      <c r="H283" s="2">
        <f>SUMIFS(VI_Debitos!$V:$V,VI_Debitos!$H:$H,$C283,VI_Debitos!$T:$T,$D283,VI_Debitos!$R:$R,LEFT(PAGADO!H$1,4),VI_Debitos!$Q:$Q,RIGHT(H$1,2))</f>
        <v>0</v>
      </c>
      <c r="I283" s="2">
        <f>SUMIFS(VI_Debitos!$V:$V,VI_Debitos!$H:$H,$C283,VI_Debitos!$T:$T,$D283,VI_Debitos!$R:$R,LEFT(PAGADO!I$1,4),VI_Debitos!$Q:$Q,RIGHT(I$1,2))</f>
        <v>0</v>
      </c>
      <c r="J283" s="2">
        <f>SUMIFS(VI_Debitos!$V:$V,VI_Debitos!$H:$H,$C283,VI_Debitos!$T:$T,$D283,VI_Debitos!$R:$R,LEFT(PAGADO!J$1,4),VI_Debitos!$Q:$Q,RIGHT(J$1,2))</f>
        <v>0</v>
      </c>
      <c r="K283" s="2">
        <f>SUMIFS(VI_Debitos!$V:$V,VI_Debitos!$H:$H,$C283,VI_Debitos!$T:$T,$D283,VI_Debitos!$R:$R,LEFT(PAGADO!K$1,4),VI_Debitos!$Q:$Q,RIGHT(K$1,2))</f>
        <v>0</v>
      </c>
      <c r="L283" s="2">
        <f>SUMIFS(VI_Debitos!$V:$V,VI_Debitos!$H:$H,$C283,VI_Debitos!$T:$T,$D283,VI_Debitos!$R:$R,LEFT(PAGADO!L$1,4),VI_Debitos!$Q:$Q,RIGHT(L$1,2))</f>
        <v>0</v>
      </c>
      <c r="M283" s="2">
        <f>SUMIFS(VI_Debitos!$V:$V,VI_Debitos!$H:$H,$C283,VI_Debitos!$T:$T,$D283,VI_Debitos!$R:$R,LEFT(PAGADO!M$1,4),VI_Debitos!$Q:$Q,RIGHT(M$1,2))</f>
        <v>0</v>
      </c>
      <c r="N283" s="2">
        <f>SUMIFS(VI_Debitos!$V:$V,VI_Debitos!$H:$H,$C283,VI_Debitos!$T:$T,$D283,VI_Debitos!$R:$R,LEFT(PAGADO!N$1,4),VI_Debitos!$Q:$Q,RIGHT(N$1,2))</f>
        <v>0</v>
      </c>
      <c r="O283" s="2">
        <f>SUMIFS(VI_Debitos!$V:$V,VI_Debitos!$H:$H,$C283,VI_Debitos!$T:$T,$D283,VI_Debitos!$R:$R,LEFT(PAGADO!O$1,4),VI_Debitos!$Q:$Q,RIGHT(O$1,2))</f>
        <v>0</v>
      </c>
      <c r="P283" s="2">
        <f>SUMIFS(VI_Debitos!$V:$V,VI_Debitos!$H:$H,$C283,VI_Debitos!$T:$T,$D283,VI_Debitos!$R:$R,LEFT(PAGADO!P$1,4),VI_Debitos!$Q:$Q,RIGHT(P$1,2))</f>
        <v>0</v>
      </c>
      <c r="Q283" s="2">
        <f>SUMIFS(VI_Debitos!$V:$V,VI_Debitos!$H:$H,$C283,VI_Debitos!$T:$T,$D283,VI_Debitos!$R:$R,LEFT(PAGADO!Q$1,4),VI_Debitos!$Q:$Q,RIGHT(Q$1,2))</f>
        <v>0</v>
      </c>
      <c r="R283" s="2">
        <f t="shared" si="4"/>
        <v>0</v>
      </c>
    </row>
    <row r="284" spans="6:18">
      <c r="F284" s="2">
        <f>SUMIFS(VI_Debitos!$V:$V,VI_Debitos!$H:$H,$C284,VI_Debitos!$T:$T,$D284,VI_Debitos!$R:$R,LEFT(PAGADO!F$1,4),VI_Debitos!$Q:$Q,RIGHT(F$1,2))</f>
        <v>0</v>
      </c>
      <c r="G284" s="2">
        <f>SUMIFS(VI_Debitos!$V:$V,VI_Debitos!$H:$H,$C284,VI_Debitos!$T:$T,$D284,VI_Debitos!$R:$R,LEFT(PAGADO!G$1,4),VI_Debitos!$Q:$Q,RIGHT(G$1,2))</f>
        <v>0</v>
      </c>
      <c r="H284" s="2">
        <f>SUMIFS(VI_Debitos!$V:$V,VI_Debitos!$H:$H,$C284,VI_Debitos!$T:$T,$D284,VI_Debitos!$R:$R,LEFT(PAGADO!H$1,4),VI_Debitos!$Q:$Q,RIGHT(H$1,2))</f>
        <v>0</v>
      </c>
      <c r="I284" s="2">
        <f>SUMIFS(VI_Debitos!$V:$V,VI_Debitos!$H:$H,$C284,VI_Debitos!$T:$T,$D284,VI_Debitos!$R:$R,LEFT(PAGADO!I$1,4),VI_Debitos!$Q:$Q,RIGHT(I$1,2))</f>
        <v>0</v>
      </c>
      <c r="J284" s="2">
        <f>SUMIFS(VI_Debitos!$V:$V,VI_Debitos!$H:$H,$C284,VI_Debitos!$T:$T,$D284,VI_Debitos!$R:$R,LEFT(PAGADO!J$1,4),VI_Debitos!$Q:$Q,RIGHT(J$1,2))</f>
        <v>0</v>
      </c>
      <c r="K284" s="2">
        <f>SUMIFS(VI_Debitos!$V:$V,VI_Debitos!$H:$H,$C284,VI_Debitos!$T:$T,$D284,VI_Debitos!$R:$R,LEFT(PAGADO!K$1,4),VI_Debitos!$Q:$Q,RIGHT(K$1,2))</f>
        <v>0</v>
      </c>
      <c r="L284" s="2">
        <f>SUMIFS(VI_Debitos!$V:$V,VI_Debitos!$H:$H,$C284,VI_Debitos!$T:$T,$D284,VI_Debitos!$R:$R,LEFT(PAGADO!L$1,4),VI_Debitos!$Q:$Q,RIGHT(L$1,2))</f>
        <v>0</v>
      </c>
      <c r="M284" s="2">
        <f>SUMIFS(VI_Debitos!$V:$V,VI_Debitos!$H:$H,$C284,VI_Debitos!$T:$T,$D284,VI_Debitos!$R:$R,LEFT(PAGADO!M$1,4),VI_Debitos!$Q:$Q,RIGHT(M$1,2))</f>
        <v>0</v>
      </c>
      <c r="N284" s="2">
        <f>SUMIFS(VI_Debitos!$V:$V,VI_Debitos!$H:$H,$C284,VI_Debitos!$T:$T,$D284,VI_Debitos!$R:$R,LEFT(PAGADO!N$1,4),VI_Debitos!$Q:$Q,RIGHT(N$1,2))</f>
        <v>0</v>
      </c>
      <c r="O284" s="2">
        <f>SUMIFS(VI_Debitos!$V:$V,VI_Debitos!$H:$H,$C284,VI_Debitos!$T:$T,$D284,VI_Debitos!$R:$R,LEFT(PAGADO!O$1,4),VI_Debitos!$Q:$Q,RIGHT(O$1,2))</f>
        <v>0</v>
      </c>
      <c r="P284" s="2">
        <f>SUMIFS(VI_Debitos!$V:$V,VI_Debitos!$H:$H,$C284,VI_Debitos!$T:$T,$D284,VI_Debitos!$R:$R,LEFT(PAGADO!P$1,4),VI_Debitos!$Q:$Q,RIGHT(P$1,2))</f>
        <v>0</v>
      </c>
      <c r="Q284" s="2">
        <f>SUMIFS(VI_Debitos!$V:$V,VI_Debitos!$H:$H,$C284,VI_Debitos!$T:$T,$D284,VI_Debitos!$R:$R,LEFT(PAGADO!Q$1,4),VI_Debitos!$Q:$Q,RIGHT(Q$1,2))</f>
        <v>0</v>
      </c>
      <c r="R284" s="2">
        <f t="shared" si="4"/>
        <v>0</v>
      </c>
    </row>
    <row r="285" spans="6:18">
      <c r="F285" s="2">
        <f>SUMIFS(VI_Debitos!$V:$V,VI_Debitos!$H:$H,$C285,VI_Debitos!$T:$T,$D285,VI_Debitos!$R:$R,LEFT(PAGADO!F$1,4),VI_Debitos!$Q:$Q,RIGHT(F$1,2))</f>
        <v>0</v>
      </c>
      <c r="G285" s="2">
        <f>SUMIFS(VI_Debitos!$V:$V,VI_Debitos!$H:$H,$C285,VI_Debitos!$T:$T,$D285,VI_Debitos!$R:$R,LEFT(PAGADO!G$1,4),VI_Debitos!$Q:$Q,RIGHT(G$1,2))</f>
        <v>0</v>
      </c>
      <c r="H285" s="2">
        <f>SUMIFS(VI_Debitos!$V:$V,VI_Debitos!$H:$H,$C285,VI_Debitos!$T:$T,$D285,VI_Debitos!$R:$R,LEFT(PAGADO!H$1,4),VI_Debitos!$Q:$Q,RIGHT(H$1,2))</f>
        <v>0</v>
      </c>
      <c r="I285" s="2">
        <f>SUMIFS(VI_Debitos!$V:$V,VI_Debitos!$H:$H,$C285,VI_Debitos!$T:$T,$D285,VI_Debitos!$R:$R,LEFT(PAGADO!I$1,4),VI_Debitos!$Q:$Q,RIGHT(I$1,2))</f>
        <v>0</v>
      </c>
      <c r="J285" s="2">
        <f>SUMIFS(VI_Debitos!$V:$V,VI_Debitos!$H:$H,$C285,VI_Debitos!$T:$T,$D285,VI_Debitos!$R:$R,LEFT(PAGADO!J$1,4),VI_Debitos!$Q:$Q,RIGHT(J$1,2))</f>
        <v>0</v>
      </c>
      <c r="K285" s="2">
        <f>SUMIFS(VI_Debitos!$V:$V,VI_Debitos!$H:$H,$C285,VI_Debitos!$T:$T,$D285,VI_Debitos!$R:$R,LEFT(PAGADO!K$1,4),VI_Debitos!$Q:$Q,RIGHT(K$1,2))</f>
        <v>0</v>
      </c>
      <c r="L285" s="2">
        <f>SUMIFS(VI_Debitos!$V:$V,VI_Debitos!$H:$H,$C285,VI_Debitos!$T:$T,$D285,VI_Debitos!$R:$R,LEFT(PAGADO!L$1,4),VI_Debitos!$Q:$Q,RIGHT(L$1,2))</f>
        <v>0</v>
      </c>
      <c r="M285" s="2">
        <f>SUMIFS(VI_Debitos!$V:$V,VI_Debitos!$H:$H,$C285,VI_Debitos!$T:$T,$D285,VI_Debitos!$R:$R,LEFT(PAGADO!M$1,4),VI_Debitos!$Q:$Q,RIGHT(M$1,2))</f>
        <v>0</v>
      </c>
      <c r="N285" s="2">
        <f>SUMIFS(VI_Debitos!$V:$V,VI_Debitos!$H:$H,$C285,VI_Debitos!$T:$T,$D285,VI_Debitos!$R:$R,LEFT(PAGADO!N$1,4),VI_Debitos!$Q:$Q,RIGHT(N$1,2))</f>
        <v>0</v>
      </c>
      <c r="O285" s="2">
        <f>SUMIFS(VI_Debitos!$V:$V,VI_Debitos!$H:$H,$C285,VI_Debitos!$T:$T,$D285,VI_Debitos!$R:$R,LEFT(PAGADO!O$1,4),VI_Debitos!$Q:$Q,RIGHT(O$1,2))</f>
        <v>0</v>
      </c>
      <c r="P285" s="2">
        <f>SUMIFS(VI_Debitos!$V:$V,VI_Debitos!$H:$H,$C285,VI_Debitos!$T:$T,$D285,VI_Debitos!$R:$R,LEFT(PAGADO!P$1,4),VI_Debitos!$Q:$Q,RIGHT(P$1,2))</f>
        <v>0</v>
      </c>
      <c r="Q285" s="2">
        <f>SUMIFS(VI_Debitos!$V:$V,VI_Debitos!$H:$H,$C285,VI_Debitos!$T:$T,$D285,VI_Debitos!$R:$R,LEFT(PAGADO!Q$1,4),VI_Debitos!$Q:$Q,RIGHT(Q$1,2))</f>
        <v>0</v>
      </c>
      <c r="R285" s="2">
        <f t="shared" si="4"/>
        <v>0</v>
      </c>
    </row>
    <row r="286" spans="6:18">
      <c r="F286" s="2">
        <f>SUMIFS(VI_Debitos!$V:$V,VI_Debitos!$H:$H,$C286,VI_Debitos!$T:$T,$D286,VI_Debitos!$R:$R,LEFT(PAGADO!F$1,4),VI_Debitos!$Q:$Q,RIGHT(F$1,2))</f>
        <v>0</v>
      </c>
      <c r="G286" s="2">
        <f>SUMIFS(VI_Debitos!$V:$V,VI_Debitos!$H:$H,$C286,VI_Debitos!$T:$T,$D286,VI_Debitos!$R:$R,LEFT(PAGADO!G$1,4),VI_Debitos!$Q:$Q,RIGHT(G$1,2))</f>
        <v>0</v>
      </c>
      <c r="H286" s="2">
        <f>SUMIFS(VI_Debitos!$V:$V,VI_Debitos!$H:$H,$C286,VI_Debitos!$T:$T,$D286,VI_Debitos!$R:$R,LEFT(PAGADO!H$1,4),VI_Debitos!$Q:$Q,RIGHT(H$1,2))</f>
        <v>0</v>
      </c>
      <c r="I286" s="2">
        <f>SUMIFS(VI_Debitos!$V:$V,VI_Debitos!$H:$H,$C286,VI_Debitos!$T:$T,$D286,VI_Debitos!$R:$R,LEFT(PAGADO!I$1,4),VI_Debitos!$Q:$Q,RIGHT(I$1,2))</f>
        <v>0</v>
      </c>
      <c r="J286" s="2">
        <f>SUMIFS(VI_Debitos!$V:$V,VI_Debitos!$H:$H,$C286,VI_Debitos!$T:$T,$D286,VI_Debitos!$R:$R,LEFT(PAGADO!J$1,4),VI_Debitos!$Q:$Q,RIGHT(J$1,2))</f>
        <v>0</v>
      </c>
      <c r="K286" s="2">
        <f>SUMIFS(VI_Debitos!$V:$V,VI_Debitos!$H:$H,$C286,VI_Debitos!$T:$T,$D286,VI_Debitos!$R:$R,LEFT(PAGADO!K$1,4),VI_Debitos!$Q:$Q,RIGHT(K$1,2))</f>
        <v>0</v>
      </c>
      <c r="L286" s="2">
        <f>SUMIFS(VI_Debitos!$V:$V,VI_Debitos!$H:$H,$C286,VI_Debitos!$T:$T,$D286,VI_Debitos!$R:$R,LEFT(PAGADO!L$1,4),VI_Debitos!$Q:$Q,RIGHT(L$1,2))</f>
        <v>0</v>
      </c>
      <c r="M286" s="2">
        <f>SUMIFS(VI_Debitos!$V:$V,VI_Debitos!$H:$H,$C286,VI_Debitos!$T:$T,$D286,VI_Debitos!$R:$R,LEFT(PAGADO!M$1,4),VI_Debitos!$Q:$Q,RIGHT(M$1,2))</f>
        <v>0</v>
      </c>
      <c r="N286" s="2">
        <f>SUMIFS(VI_Debitos!$V:$V,VI_Debitos!$H:$H,$C286,VI_Debitos!$T:$T,$D286,VI_Debitos!$R:$R,LEFT(PAGADO!N$1,4),VI_Debitos!$Q:$Q,RIGHT(N$1,2))</f>
        <v>0</v>
      </c>
      <c r="O286" s="2">
        <f>SUMIFS(VI_Debitos!$V:$V,VI_Debitos!$H:$H,$C286,VI_Debitos!$T:$T,$D286,VI_Debitos!$R:$R,LEFT(PAGADO!O$1,4),VI_Debitos!$Q:$Q,RIGHT(O$1,2))</f>
        <v>0</v>
      </c>
      <c r="P286" s="2">
        <f>SUMIFS(VI_Debitos!$V:$V,VI_Debitos!$H:$H,$C286,VI_Debitos!$T:$T,$D286,VI_Debitos!$R:$R,LEFT(PAGADO!P$1,4),VI_Debitos!$Q:$Q,RIGHT(P$1,2))</f>
        <v>0</v>
      </c>
      <c r="Q286" s="2">
        <f>SUMIFS(VI_Debitos!$V:$V,VI_Debitos!$H:$H,$C286,VI_Debitos!$T:$T,$D286,VI_Debitos!$R:$R,LEFT(PAGADO!Q$1,4),VI_Debitos!$Q:$Q,RIGHT(Q$1,2))</f>
        <v>0</v>
      </c>
      <c r="R286" s="2">
        <f t="shared" si="4"/>
        <v>0</v>
      </c>
    </row>
    <row r="287" spans="6:18">
      <c r="F287" s="2">
        <f>SUMIFS(VI_Debitos!$V:$V,VI_Debitos!$H:$H,$C287,VI_Debitos!$T:$T,$D287,VI_Debitos!$R:$R,LEFT(PAGADO!F$1,4),VI_Debitos!$Q:$Q,RIGHT(F$1,2))</f>
        <v>0</v>
      </c>
      <c r="G287" s="2">
        <f>SUMIFS(VI_Debitos!$V:$V,VI_Debitos!$H:$H,$C287,VI_Debitos!$T:$T,$D287,VI_Debitos!$R:$R,LEFT(PAGADO!G$1,4),VI_Debitos!$Q:$Q,RIGHT(G$1,2))</f>
        <v>0</v>
      </c>
      <c r="H287" s="2">
        <f>SUMIFS(VI_Debitos!$V:$V,VI_Debitos!$H:$H,$C287,VI_Debitos!$T:$T,$D287,VI_Debitos!$R:$R,LEFT(PAGADO!H$1,4),VI_Debitos!$Q:$Q,RIGHT(H$1,2))</f>
        <v>0</v>
      </c>
      <c r="I287" s="2">
        <f>SUMIFS(VI_Debitos!$V:$V,VI_Debitos!$H:$H,$C287,VI_Debitos!$T:$T,$D287,VI_Debitos!$R:$R,LEFT(PAGADO!I$1,4),VI_Debitos!$Q:$Q,RIGHT(I$1,2))</f>
        <v>0</v>
      </c>
      <c r="J287" s="2">
        <f>SUMIFS(VI_Debitos!$V:$V,VI_Debitos!$H:$H,$C287,VI_Debitos!$T:$T,$D287,VI_Debitos!$R:$R,LEFT(PAGADO!J$1,4),VI_Debitos!$Q:$Q,RIGHT(J$1,2))</f>
        <v>0</v>
      </c>
      <c r="K287" s="2">
        <f>SUMIFS(VI_Debitos!$V:$V,VI_Debitos!$H:$H,$C287,VI_Debitos!$T:$T,$D287,VI_Debitos!$R:$R,LEFT(PAGADO!K$1,4),VI_Debitos!$Q:$Q,RIGHT(K$1,2))</f>
        <v>0</v>
      </c>
      <c r="L287" s="2">
        <f>SUMIFS(VI_Debitos!$V:$V,VI_Debitos!$H:$H,$C287,VI_Debitos!$T:$T,$D287,VI_Debitos!$R:$R,LEFT(PAGADO!L$1,4),VI_Debitos!$Q:$Q,RIGHT(L$1,2))</f>
        <v>0</v>
      </c>
      <c r="M287" s="2">
        <f>SUMIFS(VI_Debitos!$V:$V,VI_Debitos!$H:$H,$C287,VI_Debitos!$T:$T,$D287,VI_Debitos!$R:$R,LEFT(PAGADO!M$1,4),VI_Debitos!$Q:$Q,RIGHT(M$1,2))</f>
        <v>0</v>
      </c>
      <c r="N287" s="2">
        <f>SUMIFS(VI_Debitos!$V:$V,VI_Debitos!$H:$H,$C287,VI_Debitos!$T:$T,$D287,VI_Debitos!$R:$R,LEFT(PAGADO!N$1,4),VI_Debitos!$Q:$Q,RIGHT(N$1,2))</f>
        <v>0</v>
      </c>
      <c r="O287" s="2">
        <f>SUMIFS(VI_Debitos!$V:$V,VI_Debitos!$H:$H,$C287,VI_Debitos!$T:$T,$D287,VI_Debitos!$R:$R,LEFT(PAGADO!O$1,4),VI_Debitos!$Q:$Q,RIGHT(O$1,2))</f>
        <v>0</v>
      </c>
      <c r="P287" s="2">
        <f>SUMIFS(VI_Debitos!$V:$V,VI_Debitos!$H:$H,$C287,VI_Debitos!$T:$T,$D287,VI_Debitos!$R:$R,LEFT(PAGADO!P$1,4),VI_Debitos!$Q:$Q,RIGHT(P$1,2))</f>
        <v>0</v>
      </c>
      <c r="Q287" s="2">
        <f>SUMIFS(VI_Debitos!$V:$V,VI_Debitos!$H:$H,$C287,VI_Debitos!$T:$T,$D287,VI_Debitos!$R:$R,LEFT(PAGADO!Q$1,4),VI_Debitos!$Q:$Q,RIGHT(Q$1,2))</f>
        <v>0</v>
      </c>
      <c r="R287" s="2">
        <f t="shared" si="4"/>
        <v>0</v>
      </c>
    </row>
    <row r="288" spans="6:18">
      <c r="F288" s="2">
        <f>SUMIFS(VI_Debitos!$V:$V,VI_Debitos!$H:$H,$C288,VI_Debitos!$T:$T,$D288,VI_Debitos!$R:$R,LEFT(PAGADO!F$1,4),VI_Debitos!$Q:$Q,RIGHT(F$1,2))</f>
        <v>0</v>
      </c>
      <c r="G288" s="2">
        <f>SUMIFS(VI_Debitos!$V:$V,VI_Debitos!$H:$H,$C288,VI_Debitos!$T:$T,$D288,VI_Debitos!$R:$R,LEFT(PAGADO!G$1,4),VI_Debitos!$Q:$Q,RIGHT(G$1,2))</f>
        <v>0</v>
      </c>
      <c r="H288" s="2">
        <f>SUMIFS(VI_Debitos!$V:$V,VI_Debitos!$H:$H,$C288,VI_Debitos!$T:$T,$D288,VI_Debitos!$R:$R,LEFT(PAGADO!H$1,4),VI_Debitos!$Q:$Q,RIGHT(H$1,2))</f>
        <v>0</v>
      </c>
      <c r="I288" s="2">
        <f>SUMIFS(VI_Debitos!$V:$V,VI_Debitos!$H:$H,$C288,VI_Debitos!$T:$T,$D288,VI_Debitos!$R:$R,LEFT(PAGADO!I$1,4),VI_Debitos!$Q:$Q,RIGHT(I$1,2))</f>
        <v>0</v>
      </c>
      <c r="J288" s="2">
        <f>SUMIFS(VI_Debitos!$V:$V,VI_Debitos!$H:$H,$C288,VI_Debitos!$T:$T,$D288,VI_Debitos!$R:$R,LEFT(PAGADO!J$1,4),VI_Debitos!$Q:$Q,RIGHT(J$1,2))</f>
        <v>0</v>
      </c>
      <c r="K288" s="2">
        <f>SUMIFS(VI_Debitos!$V:$V,VI_Debitos!$H:$H,$C288,VI_Debitos!$T:$T,$D288,VI_Debitos!$R:$R,LEFT(PAGADO!K$1,4),VI_Debitos!$Q:$Q,RIGHT(K$1,2))</f>
        <v>0</v>
      </c>
      <c r="L288" s="2">
        <f>SUMIFS(VI_Debitos!$V:$V,VI_Debitos!$H:$H,$C288,VI_Debitos!$T:$T,$D288,VI_Debitos!$R:$R,LEFT(PAGADO!L$1,4),VI_Debitos!$Q:$Q,RIGHT(L$1,2))</f>
        <v>0</v>
      </c>
      <c r="M288" s="2">
        <f>SUMIFS(VI_Debitos!$V:$V,VI_Debitos!$H:$H,$C288,VI_Debitos!$T:$T,$D288,VI_Debitos!$R:$R,LEFT(PAGADO!M$1,4),VI_Debitos!$Q:$Q,RIGHT(M$1,2))</f>
        <v>0</v>
      </c>
      <c r="N288" s="2">
        <f>SUMIFS(VI_Debitos!$V:$V,VI_Debitos!$H:$H,$C288,VI_Debitos!$T:$T,$D288,VI_Debitos!$R:$R,LEFT(PAGADO!N$1,4),VI_Debitos!$Q:$Q,RIGHT(N$1,2))</f>
        <v>0</v>
      </c>
      <c r="O288" s="2">
        <f>SUMIFS(VI_Debitos!$V:$V,VI_Debitos!$H:$H,$C288,VI_Debitos!$T:$T,$D288,VI_Debitos!$R:$R,LEFT(PAGADO!O$1,4),VI_Debitos!$Q:$Q,RIGHT(O$1,2))</f>
        <v>0</v>
      </c>
      <c r="P288" s="2">
        <f>SUMIFS(VI_Debitos!$V:$V,VI_Debitos!$H:$H,$C288,VI_Debitos!$T:$T,$D288,VI_Debitos!$R:$R,LEFT(PAGADO!P$1,4),VI_Debitos!$Q:$Q,RIGHT(P$1,2))</f>
        <v>0</v>
      </c>
      <c r="Q288" s="2">
        <f>SUMIFS(VI_Debitos!$V:$V,VI_Debitos!$H:$H,$C288,VI_Debitos!$T:$T,$D288,VI_Debitos!$R:$R,LEFT(PAGADO!Q$1,4),VI_Debitos!$Q:$Q,RIGHT(Q$1,2))</f>
        <v>0</v>
      </c>
      <c r="R288" s="2">
        <f t="shared" si="4"/>
        <v>0</v>
      </c>
    </row>
    <row r="289" spans="6:18">
      <c r="F289" s="2">
        <f>SUMIFS(VI_Debitos!$V:$V,VI_Debitos!$H:$H,$C289,VI_Debitos!$T:$T,$D289,VI_Debitos!$R:$R,LEFT(PAGADO!F$1,4),VI_Debitos!$Q:$Q,RIGHT(F$1,2))</f>
        <v>0</v>
      </c>
      <c r="G289" s="2">
        <f>SUMIFS(VI_Debitos!$V:$V,VI_Debitos!$H:$H,$C289,VI_Debitos!$T:$T,$D289,VI_Debitos!$R:$R,LEFT(PAGADO!G$1,4),VI_Debitos!$Q:$Q,RIGHT(G$1,2))</f>
        <v>0</v>
      </c>
      <c r="H289" s="2">
        <f>SUMIFS(VI_Debitos!$V:$V,VI_Debitos!$H:$H,$C289,VI_Debitos!$T:$T,$D289,VI_Debitos!$R:$R,LEFT(PAGADO!H$1,4),VI_Debitos!$Q:$Q,RIGHT(H$1,2))</f>
        <v>0</v>
      </c>
      <c r="I289" s="2">
        <f>SUMIFS(VI_Debitos!$V:$V,VI_Debitos!$H:$H,$C289,VI_Debitos!$T:$T,$D289,VI_Debitos!$R:$R,LEFT(PAGADO!I$1,4),VI_Debitos!$Q:$Q,RIGHT(I$1,2))</f>
        <v>0</v>
      </c>
      <c r="J289" s="2">
        <f>SUMIFS(VI_Debitos!$V:$V,VI_Debitos!$H:$H,$C289,VI_Debitos!$T:$T,$D289,VI_Debitos!$R:$R,LEFT(PAGADO!J$1,4),VI_Debitos!$Q:$Q,RIGHT(J$1,2))</f>
        <v>0</v>
      </c>
      <c r="K289" s="2">
        <f>SUMIFS(VI_Debitos!$V:$V,VI_Debitos!$H:$H,$C289,VI_Debitos!$T:$T,$D289,VI_Debitos!$R:$R,LEFT(PAGADO!K$1,4),VI_Debitos!$Q:$Q,RIGHT(K$1,2))</f>
        <v>0</v>
      </c>
      <c r="L289" s="2">
        <f>SUMIFS(VI_Debitos!$V:$V,VI_Debitos!$H:$H,$C289,VI_Debitos!$T:$T,$D289,VI_Debitos!$R:$R,LEFT(PAGADO!L$1,4),VI_Debitos!$Q:$Q,RIGHT(L$1,2))</f>
        <v>0</v>
      </c>
      <c r="M289" s="2">
        <f>SUMIFS(VI_Debitos!$V:$V,VI_Debitos!$H:$H,$C289,VI_Debitos!$T:$T,$D289,VI_Debitos!$R:$R,LEFT(PAGADO!M$1,4),VI_Debitos!$Q:$Q,RIGHT(M$1,2))</f>
        <v>0</v>
      </c>
      <c r="N289" s="2">
        <f>SUMIFS(VI_Debitos!$V:$V,VI_Debitos!$H:$H,$C289,VI_Debitos!$T:$T,$D289,VI_Debitos!$R:$R,LEFT(PAGADO!N$1,4),VI_Debitos!$Q:$Q,RIGHT(N$1,2))</f>
        <v>0</v>
      </c>
      <c r="O289" s="2">
        <f>SUMIFS(VI_Debitos!$V:$V,VI_Debitos!$H:$H,$C289,VI_Debitos!$T:$T,$D289,VI_Debitos!$R:$R,LEFT(PAGADO!O$1,4),VI_Debitos!$Q:$Q,RIGHT(O$1,2))</f>
        <v>0</v>
      </c>
      <c r="P289" s="2">
        <f>SUMIFS(VI_Debitos!$V:$V,VI_Debitos!$H:$H,$C289,VI_Debitos!$T:$T,$D289,VI_Debitos!$R:$R,LEFT(PAGADO!P$1,4),VI_Debitos!$Q:$Q,RIGHT(P$1,2))</f>
        <v>0</v>
      </c>
      <c r="Q289" s="2">
        <f>SUMIFS(VI_Debitos!$V:$V,VI_Debitos!$H:$H,$C289,VI_Debitos!$T:$T,$D289,VI_Debitos!$R:$R,LEFT(PAGADO!Q$1,4),VI_Debitos!$Q:$Q,RIGHT(Q$1,2))</f>
        <v>0</v>
      </c>
      <c r="R289" s="2">
        <f t="shared" si="4"/>
        <v>0</v>
      </c>
    </row>
    <row r="290" spans="6:18">
      <c r="F290" s="2">
        <f>SUMIFS(VI_Debitos!$V:$V,VI_Debitos!$H:$H,$C290,VI_Debitos!$T:$T,$D290,VI_Debitos!$R:$R,LEFT(PAGADO!F$1,4),VI_Debitos!$Q:$Q,RIGHT(F$1,2))</f>
        <v>0</v>
      </c>
      <c r="G290" s="2">
        <f>SUMIFS(VI_Debitos!$V:$V,VI_Debitos!$H:$H,$C290,VI_Debitos!$T:$T,$D290,VI_Debitos!$R:$R,LEFT(PAGADO!G$1,4),VI_Debitos!$Q:$Q,RIGHT(G$1,2))</f>
        <v>0</v>
      </c>
      <c r="H290" s="2">
        <f>SUMIFS(VI_Debitos!$V:$V,VI_Debitos!$H:$H,$C290,VI_Debitos!$T:$T,$D290,VI_Debitos!$R:$R,LEFT(PAGADO!H$1,4),VI_Debitos!$Q:$Q,RIGHT(H$1,2))</f>
        <v>0</v>
      </c>
      <c r="I290" s="2">
        <f>SUMIFS(VI_Debitos!$V:$V,VI_Debitos!$H:$H,$C290,VI_Debitos!$T:$T,$D290,VI_Debitos!$R:$R,LEFT(PAGADO!I$1,4),VI_Debitos!$Q:$Q,RIGHT(I$1,2))</f>
        <v>0</v>
      </c>
      <c r="J290" s="2">
        <f>SUMIFS(VI_Debitos!$V:$V,VI_Debitos!$H:$H,$C290,VI_Debitos!$T:$T,$D290,VI_Debitos!$R:$R,LEFT(PAGADO!J$1,4),VI_Debitos!$Q:$Q,RIGHT(J$1,2))</f>
        <v>0</v>
      </c>
      <c r="K290" s="2">
        <f>SUMIFS(VI_Debitos!$V:$V,VI_Debitos!$H:$H,$C290,VI_Debitos!$T:$T,$D290,VI_Debitos!$R:$R,LEFT(PAGADO!K$1,4),VI_Debitos!$Q:$Q,RIGHT(K$1,2))</f>
        <v>0</v>
      </c>
      <c r="L290" s="2">
        <f>SUMIFS(VI_Debitos!$V:$V,VI_Debitos!$H:$H,$C290,VI_Debitos!$T:$T,$D290,VI_Debitos!$R:$R,LEFT(PAGADO!L$1,4),VI_Debitos!$Q:$Q,RIGHT(L$1,2))</f>
        <v>0</v>
      </c>
      <c r="M290" s="2">
        <f>SUMIFS(VI_Debitos!$V:$V,VI_Debitos!$H:$H,$C290,VI_Debitos!$T:$T,$D290,VI_Debitos!$R:$R,LEFT(PAGADO!M$1,4),VI_Debitos!$Q:$Q,RIGHT(M$1,2))</f>
        <v>0</v>
      </c>
      <c r="N290" s="2">
        <f>SUMIFS(VI_Debitos!$V:$V,VI_Debitos!$H:$H,$C290,VI_Debitos!$T:$T,$D290,VI_Debitos!$R:$R,LEFT(PAGADO!N$1,4),VI_Debitos!$Q:$Q,RIGHT(N$1,2))</f>
        <v>0</v>
      </c>
      <c r="O290" s="2">
        <f>SUMIFS(VI_Debitos!$V:$V,VI_Debitos!$H:$H,$C290,VI_Debitos!$T:$T,$D290,VI_Debitos!$R:$R,LEFT(PAGADO!O$1,4),VI_Debitos!$Q:$Q,RIGHT(O$1,2))</f>
        <v>0</v>
      </c>
      <c r="P290" s="2">
        <f>SUMIFS(VI_Debitos!$V:$V,VI_Debitos!$H:$H,$C290,VI_Debitos!$T:$T,$D290,VI_Debitos!$R:$R,LEFT(PAGADO!P$1,4),VI_Debitos!$Q:$Q,RIGHT(P$1,2))</f>
        <v>0</v>
      </c>
      <c r="Q290" s="2">
        <f>SUMIFS(VI_Debitos!$V:$V,VI_Debitos!$H:$H,$C290,VI_Debitos!$T:$T,$D290,VI_Debitos!$R:$R,LEFT(PAGADO!Q$1,4),VI_Debitos!$Q:$Q,RIGHT(Q$1,2))</f>
        <v>0</v>
      </c>
      <c r="R290" s="2">
        <f t="shared" si="4"/>
        <v>0</v>
      </c>
    </row>
    <row r="291" spans="6:18">
      <c r="F291" s="2">
        <f>SUMIFS(VI_Debitos!$V:$V,VI_Debitos!$H:$H,$C291,VI_Debitos!$T:$T,$D291,VI_Debitos!$R:$R,LEFT(PAGADO!F$1,4),VI_Debitos!$Q:$Q,RIGHT(F$1,2))</f>
        <v>0</v>
      </c>
      <c r="G291" s="2">
        <f>SUMIFS(VI_Debitos!$V:$V,VI_Debitos!$H:$H,$C291,VI_Debitos!$T:$T,$D291,VI_Debitos!$R:$R,LEFT(PAGADO!G$1,4),VI_Debitos!$Q:$Q,RIGHT(G$1,2))</f>
        <v>0</v>
      </c>
      <c r="H291" s="2">
        <f>SUMIFS(VI_Debitos!$V:$V,VI_Debitos!$H:$H,$C291,VI_Debitos!$T:$T,$D291,VI_Debitos!$R:$R,LEFT(PAGADO!H$1,4),VI_Debitos!$Q:$Q,RIGHT(H$1,2))</f>
        <v>0</v>
      </c>
      <c r="I291" s="2">
        <f>SUMIFS(VI_Debitos!$V:$V,VI_Debitos!$H:$H,$C291,VI_Debitos!$T:$T,$D291,VI_Debitos!$R:$R,LEFT(PAGADO!I$1,4),VI_Debitos!$Q:$Q,RIGHT(I$1,2))</f>
        <v>0</v>
      </c>
      <c r="J291" s="2">
        <f>SUMIFS(VI_Debitos!$V:$V,VI_Debitos!$H:$H,$C291,VI_Debitos!$T:$T,$D291,VI_Debitos!$R:$R,LEFT(PAGADO!J$1,4),VI_Debitos!$Q:$Q,RIGHT(J$1,2))</f>
        <v>0</v>
      </c>
      <c r="K291" s="2">
        <f>SUMIFS(VI_Debitos!$V:$V,VI_Debitos!$H:$H,$C291,VI_Debitos!$T:$T,$D291,VI_Debitos!$R:$R,LEFT(PAGADO!K$1,4),VI_Debitos!$Q:$Q,RIGHT(K$1,2))</f>
        <v>0</v>
      </c>
      <c r="L291" s="2">
        <f>SUMIFS(VI_Debitos!$V:$V,VI_Debitos!$H:$H,$C291,VI_Debitos!$T:$T,$D291,VI_Debitos!$R:$R,LEFT(PAGADO!L$1,4),VI_Debitos!$Q:$Q,RIGHT(L$1,2))</f>
        <v>0</v>
      </c>
      <c r="M291" s="2">
        <f>SUMIFS(VI_Debitos!$V:$V,VI_Debitos!$H:$H,$C291,VI_Debitos!$T:$T,$D291,VI_Debitos!$R:$R,LEFT(PAGADO!M$1,4),VI_Debitos!$Q:$Q,RIGHT(M$1,2))</f>
        <v>0</v>
      </c>
      <c r="N291" s="2">
        <f>SUMIFS(VI_Debitos!$V:$V,VI_Debitos!$H:$H,$C291,VI_Debitos!$T:$T,$D291,VI_Debitos!$R:$R,LEFT(PAGADO!N$1,4),VI_Debitos!$Q:$Q,RIGHT(N$1,2))</f>
        <v>0</v>
      </c>
      <c r="O291" s="2">
        <f>SUMIFS(VI_Debitos!$V:$V,VI_Debitos!$H:$H,$C291,VI_Debitos!$T:$T,$D291,VI_Debitos!$R:$R,LEFT(PAGADO!O$1,4),VI_Debitos!$Q:$Q,RIGHT(O$1,2))</f>
        <v>0</v>
      </c>
      <c r="P291" s="2">
        <f>SUMIFS(VI_Debitos!$V:$V,VI_Debitos!$H:$H,$C291,VI_Debitos!$T:$T,$D291,VI_Debitos!$R:$R,LEFT(PAGADO!P$1,4),VI_Debitos!$Q:$Q,RIGHT(P$1,2))</f>
        <v>0</v>
      </c>
      <c r="Q291" s="2">
        <f>SUMIFS(VI_Debitos!$V:$V,VI_Debitos!$H:$H,$C291,VI_Debitos!$T:$T,$D291,VI_Debitos!$R:$R,LEFT(PAGADO!Q$1,4),VI_Debitos!$Q:$Q,RIGHT(Q$1,2))</f>
        <v>0</v>
      </c>
      <c r="R291" s="2">
        <f t="shared" si="4"/>
        <v>0</v>
      </c>
    </row>
    <row r="292" spans="6:18">
      <c r="F292" s="2">
        <f>SUMIFS(VI_Debitos!$V:$V,VI_Debitos!$H:$H,$C292,VI_Debitos!$T:$T,$D292,VI_Debitos!$R:$R,LEFT(PAGADO!F$1,4),VI_Debitos!$Q:$Q,RIGHT(F$1,2))</f>
        <v>0</v>
      </c>
      <c r="G292" s="2">
        <f>SUMIFS(VI_Debitos!$V:$V,VI_Debitos!$H:$H,$C292,VI_Debitos!$T:$T,$D292,VI_Debitos!$R:$R,LEFT(PAGADO!G$1,4),VI_Debitos!$Q:$Q,RIGHT(G$1,2))</f>
        <v>0</v>
      </c>
      <c r="H292" s="2">
        <f>SUMIFS(VI_Debitos!$V:$V,VI_Debitos!$H:$H,$C292,VI_Debitos!$T:$T,$D292,VI_Debitos!$R:$R,LEFT(PAGADO!H$1,4),VI_Debitos!$Q:$Q,RIGHT(H$1,2))</f>
        <v>0</v>
      </c>
      <c r="I292" s="2">
        <f>SUMIFS(VI_Debitos!$V:$V,VI_Debitos!$H:$H,$C292,VI_Debitos!$T:$T,$D292,VI_Debitos!$R:$R,LEFT(PAGADO!I$1,4),VI_Debitos!$Q:$Q,RIGHT(I$1,2))</f>
        <v>0</v>
      </c>
      <c r="J292" s="2">
        <f>SUMIFS(VI_Debitos!$V:$V,VI_Debitos!$H:$H,$C292,VI_Debitos!$T:$T,$D292,VI_Debitos!$R:$R,LEFT(PAGADO!J$1,4),VI_Debitos!$Q:$Q,RIGHT(J$1,2))</f>
        <v>0</v>
      </c>
      <c r="K292" s="2">
        <f>SUMIFS(VI_Debitos!$V:$V,VI_Debitos!$H:$H,$C292,VI_Debitos!$T:$T,$D292,VI_Debitos!$R:$R,LEFT(PAGADO!K$1,4),VI_Debitos!$Q:$Q,RIGHT(K$1,2))</f>
        <v>0</v>
      </c>
      <c r="L292" s="2">
        <f>SUMIFS(VI_Debitos!$V:$V,VI_Debitos!$H:$H,$C292,VI_Debitos!$T:$T,$D292,VI_Debitos!$R:$R,LEFT(PAGADO!L$1,4),VI_Debitos!$Q:$Q,RIGHT(L$1,2))</f>
        <v>0</v>
      </c>
      <c r="M292" s="2">
        <f>SUMIFS(VI_Debitos!$V:$V,VI_Debitos!$H:$H,$C292,VI_Debitos!$T:$T,$D292,VI_Debitos!$R:$R,LEFT(PAGADO!M$1,4),VI_Debitos!$Q:$Q,RIGHT(M$1,2))</f>
        <v>0</v>
      </c>
      <c r="N292" s="2">
        <f>SUMIFS(VI_Debitos!$V:$V,VI_Debitos!$H:$H,$C292,VI_Debitos!$T:$T,$D292,VI_Debitos!$R:$R,LEFT(PAGADO!N$1,4),VI_Debitos!$Q:$Q,RIGHT(N$1,2))</f>
        <v>0</v>
      </c>
      <c r="O292" s="2">
        <f>SUMIFS(VI_Debitos!$V:$V,VI_Debitos!$H:$H,$C292,VI_Debitos!$T:$T,$D292,VI_Debitos!$R:$R,LEFT(PAGADO!O$1,4),VI_Debitos!$Q:$Q,RIGHT(O$1,2))</f>
        <v>0</v>
      </c>
      <c r="P292" s="2">
        <f>SUMIFS(VI_Debitos!$V:$V,VI_Debitos!$H:$H,$C292,VI_Debitos!$T:$T,$D292,VI_Debitos!$R:$R,LEFT(PAGADO!P$1,4),VI_Debitos!$Q:$Q,RIGHT(P$1,2))</f>
        <v>0</v>
      </c>
      <c r="Q292" s="2">
        <f>SUMIFS(VI_Debitos!$V:$V,VI_Debitos!$H:$H,$C292,VI_Debitos!$T:$T,$D292,VI_Debitos!$R:$R,LEFT(PAGADO!Q$1,4),VI_Debitos!$Q:$Q,RIGHT(Q$1,2))</f>
        <v>0</v>
      </c>
      <c r="R292" s="2">
        <f t="shared" si="4"/>
        <v>0</v>
      </c>
    </row>
    <row r="293" spans="6:18">
      <c r="F293" s="2">
        <f>SUMIFS(VI_Debitos!$V:$V,VI_Debitos!$H:$H,$C293,VI_Debitos!$T:$T,$D293,VI_Debitos!$R:$R,LEFT(PAGADO!F$1,4),VI_Debitos!$Q:$Q,RIGHT(F$1,2))</f>
        <v>0</v>
      </c>
      <c r="G293" s="2">
        <f>SUMIFS(VI_Debitos!$V:$V,VI_Debitos!$H:$H,$C293,VI_Debitos!$T:$T,$D293,VI_Debitos!$R:$R,LEFT(PAGADO!G$1,4),VI_Debitos!$Q:$Q,RIGHT(G$1,2))</f>
        <v>0</v>
      </c>
      <c r="H293" s="2">
        <f>SUMIFS(VI_Debitos!$V:$V,VI_Debitos!$H:$H,$C293,VI_Debitos!$T:$T,$D293,VI_Debitos!$R:$R,LEFT(PAGADO!H$1,4),VI_Debitos!$Q:$Q,RIGHT(H$1,2))</f>
        <v>0</v>
      </c>
      <c r="I293" s="2">
        <f>SUMIFS(VI_Debitos!$V:$V,VI_Debitos!$H:$H,$C293,VI_Debitos!$T:$T,$D293,VI_Debitos!$R:$R,LEFT(PAGADO!I$1,4),VI_Debitos!$Q:$Q,RIGHT(I$1,2))</f>
        <v>0</v>
      </c>
      <c r="J293" s="2">
        <f>SUMIFS(VI_Debitos!$V:$V,VI_Debitos!$H:$H,$C293,VI_Debitos!$T:$T,$D293,VI_Debitos!$R:$R,LEFT(PAGADO!J$1,4),VI_Debitos!$Q:$Q,RIGHT(J$1,2))</f>
        <v>0</v>
      </c>
      <c r="K293" s="2">
        <f>SUMIFS(VI_Debitos!$V:$V,VI_Debitos!$H:$H,$C293,VI_Debitos!$T:$T,$D293,VI_Debitos!$R:$R,LEFT(PAGADO!K$1,4),VI_Debitos!$Q:$Q,RIGHT(K$1,2))</f>
        <v>0</v>
      </c>
      <c r="L293" s="2">
        <f>SUMIFS(VI_Debitos!$V:$V,VI_Debitos!$H:$H,$C293,VI_Debitos!$T:$T,$D293,VI_Debitos!$R:$R,LEFT(PAGADO!L$1,4),VI_Debitos!$Q:$Q,RIGHT(L$1,2))</f>
        <v>0</v>
      </c>
      <c r="M293" s="2">
        <f>SUMIFS(VI_Debitos!$V:$V,VI_Debitos!$H:$H,$C293,VI_Debitos!$T:$T,$D293,VI_Debitos!$R:$R,LEFT(PAGADO!M$1,4),VI_Debitos!$Q:$Q,RIGHT(M$1,2))</f>
        <v>0</v>
      </c>
      <c r="N293" s="2">
        <f>SUMIFS(VI_Debitos!$V:$V,VI_Debitos!$H:$H,$C293,VI_Debitos!$T:$T,$D293,VI_Debitos!$R:$R,LEFT(PAGADO!N$1,4),VI_Debitos!$Q:$Q,RIGHT(N$1,2))</f>
        <v>0</v>
      </c>
      <c r="O293" s="2">
        <f>SUMIFS(VI_Debitos!$V:$V,VI_Debitos!$H:$H,$C293,VI_Debitos!$T:$T,$D293,VI_Debitos!$R:$R,LEFT(PAGADO!O$1,4),VI_Debitos!$Q:$Q,RIGHT(O$1,2))</f>
        <v>0</v>
      </c>
      <c r="P293" s="2">
        <f>SUMIFS(VI_Debitos!$V:$V,VI_Debitos!$H:$H,$C293,VI_Debitos!$T:$T,$D293,VI_Debitos!$R:$R,LEFT(PAGADO!P$1,4),VI_Debitos!$Q:$Q,RIGHT(P$1,2))</f>
        <v>0</v>
      </c>
      <c r="Q293" s="2">
        <f>SUMIFS(VI_Debitos!$V:$V,VI_Debitos!$H:$H,$C293,VI_Debitos!$T:$T,$D293,VI_Debitos!$R:$R,LEFT(PAGADO!Q$1,4),VI_Debitos!$Q:$Q,RIGHT(Q$1,2))</f>
        <v>0</v>
      </c>
      <c r="R293" s="2">
        <f t="shared" si="4"/>
        <v>0</v>
      </c>
    </row>
    <row r="294" spans="6:18">
      <c r="F294" s="2">
        <f>SUMIFS(VI_Debitos!$V:$V,VI_Debitos!$H:$H,$C294,VI_Debitos!$T:$T,$D294,VI_Debitos!$R:$R,LEFT(PAGADO!F$1,4),VI_Debitos!$Q:$Q,RIGHT(F$1,2))</f>
        <v>0</v>
      </c>
      <c r="G294" s="2">
        <f>SUMIFS(VI_Debitos!$V:$V,VI_Debitos!$H:$H,$C294,VI_Debitos!$T:$T,$D294,VI_Debitos!$R:$R,LEFT(PAGADO!G$1,4),VI_Debitos!$Q:$Q,RIGHT(G$1,2))</f>
        <v>0</v>
      </c>
      <c r="H294" s="2">
        <f>SUMIFS(VI_Debitos!$V:$V,VI_Debitos!$H:$H,$C294,VI_Debitos!$T:$T,$D294,VI_Debitos!$R:$R,LEFT(PAGADO!H$1,4),VI_Debitos!$Q:$Q,RIGHT(H$1,2))</f>
        <v>0</v>
      </c>
      <c r="I294" s="2">
        <f>SUMIFS(VI_Debitos!$V:$V,VI_Debitos!$H:$H,$C294,VI_Debitos!$T:$T,$D294,VI_Debitos!$R:$R,LEFT(PAGADO!I$1,4),VI_Debitos!$Q:$Q,RIGHT(I$1,2))</f>
        <v>0</v>
      </c>
      <c r="J294" s="2">
        <f>SUMIFS(VI_Debitos!$V:$V,VI_Debitos!$H:$H,$C294,VI_Debitos!$T:$T,$D294,VI_Debitos!$R:$R,LEFT(PAGADO!J$1,4),VI_Debitos!$Q:$Q,RIGHT(J$1,2))</f>
        <v>0</v>
      </c>
      <c r="K294" s="2">
        <f>SUMIFS(VI_Debitos!$V:$V,VI_Debitos!$H:$H,$C294,VI_Debitos!$T:$T,$D294,VI_Debitos!$R:$R,LEFT(PAGADO!K$1,4),VI_Debitos!$Q:$Q,RIGHT(K$1,2))</f>
        <v>0</v>
      </c>
      <c r="L294" s="2">
        <f>SUMIFS(VI_Debitos!$V:$V,VI_Debitos!$H:$H,$C294,VI_Debitos!$T:$T,$D294,VI_Debitos!$R:$R,LEFT(PAGADO!L$1,4),VI_Debitos!$Q:$Q,RIGHT(L$1,2))</f>
        <v>0</v>
      </c>
      <c r="M294" s="2">
        <f>SUMIFS(VI_Debitos!$V:$V,VI_Debitos!$H:$H,$C294,VI_Debitos!$T:$T,$D294,VI_Debitos!$R:$R,LEFT(PAGADO!M$1,4),VI_Debitos!$Q:$Q,RIGHT(M$1,2))</f>
        <v>0</v>
      </c>
      <c r="N294" s="2">
        <f>SUMIFS(VI_Debitos!$V:$V,VI_Debitos!$H:$H,$C294,VI_Debitos!$T:$T,$D294,VI_Debitos!$R:$R,LEFT(PAGADO!N$1,4),VI_Debitos!$Q:$Q,RIGHT(N$1,2))</f>
        <v>0</v>
      </c>
      <c r="O294" s="2">
        <f>SUMIFS(VI_Debitos!$V:$V,VI_Debitos!$H:$H,$C294,VI_Debitos!$T:$T,$D294,VI_Debitos!$R:$R,LEFT(PAGADO!O$1,4),VI_Debitos!$Q:$Q,RIGHT(O$1,2))</f>
        <v>0</v>
      </c>
      <c r="P294" s="2">
        <f>SUMIFS(VI_Debitos!$V:$V,VI_Debitos!$H:$H,$C294,VI_Debitos!$T:$T,$D294,VI_Debitos!$R:$R,LEFT(PAGADO!P$1,4),VI_Debitos!$Q:$Q,RIGHT(P$1,2))</f>
        <v>0</v>
      </c>
      <c r="Q294" s="2">
        <f>SUMIFS(VI_Debitos!$V:$V,VI_Debitos!$H:$H,$C294,VI_Debitos!$T:$T,$D294,VI_Debitos!$R:$R,LEFT(PAGADO!Q$1,4),VI_Debitos!$Q:$Q,RIGHT(Q$1,2))</f>
        <v>0</v>
      </c>
      <c r="R294" s="2">
        <f t="shared" si="4"/>
        <v>0</v>
      </c>
    </row>
    <row r="295" spans="6:18">
      <c r="F295" s="2">
        <f>SUMIFS(VI_Debitos!$V:$V,VI_Debitos!$H:$H,$C295,VI_Debitos!$T:$T,$D295,VI_Debitos!$R:$R,LEFT(PAGADO!F$1,4),VI_Debitos!$Q:$Q,RIGHT(F$1,2))</f>
        <v>0</v>
      </c>
      <c r="G295" s="2">
        <f>SUMIFS(VI_Debitos!$V:$V,VI_Debitos!$H:$H,$C295,VI_Debitos!$T:$T,$D295,VI_Debitos!$R:$R,LEFT(PAGADO!G$1,4),VI_Debitos!$Q:$Q,RIGHT(G$1,2))</f>
        <v>0</v>
      </c>
      <c r="H295" s="2">
        <f>SUMIFS(VI_Debitos!$V:$V,VI_Debitos!$H:$H,$C295,VI_Debitos!$T:$T,$D295,VI_Debitos!$R:$R,LEFT(PAGADO!H$1,4),VI_Debitos!$Q:$Q,RIGHT(H$1,2))</f>
        <v>0</v>
      </c>
      <c r="I295" s="2">
        <f>SUMIFS(VI_Debitos!$V:$V,VI_Debitos!$H:$H,$C295,VI_Debitos!$T:$T,$D295,VI_Debitos!$R:$R,LEFT(PAGADO!I$1,4),VI_Debitos!$Q:$Q,RIGHT(I$1,2))</f>
        <v>0</v>
      </c>
      <c r="J295" s="2">
        <f>SUMIFS(VI_Debitos!$V:$V,VI_Debitos!$H:$H,$C295,VI_Debitos!$T:$T,$D295,VI_Debitos!$R:$R,LEFT(PAGADO!J$1,4),VI_Debitos!$Q:$Q,RIGHT(J$1,2))</f>
        <v>0</v>
      </c>
      <c r="K295" s="2">
        <f>SUMIFS(VI_Debitos!$V:$V,VI_Debitos!$H:$H,$C295,VI_Debitos!$T:$T,$D295,VI_Debitos!$R:$R,LEFT(PAGADO!K$1,4),VI_Debitos!$Q:$Q,RIGHT(K$1,2))</f>
        <v>0</v>
      </c>
      <c r="L295" s="2">
        <f>SUMIFS(VI_Debitos!$V:$V,VI_Debitos!$H:$H,$C295,VI_Debitos!$T:$T,$D295,VI_Debitos!$R:$R,LEFT(PAGADO!L$1,4),VI_Debitos!$Q:$Q,RIGHT(L$1,2))</f>
        <v>0</v>
      </c>
      <c r="M295" s="2">
        <f>SUMIFS(VI_Debitos!$V:$V,VI_Debitos!$H:$H,$C295,VI_Debitos!$T:$T,$D295,VI_Debitos!$R:$R,LEFT(PAGADO!M$1,4),VI_Debitos!$Q:$Q,RIGHT(M$1,2))</f>
        <v>0</v>
      </c>
      <c r="N295" s="2">
        <f>SUMIFS(VI_Debitos!$V:$V,VI_Debitos!$H:$H,$C295,VI_Debitos!$T:$T,$D295,VI_Debitos!$R:$R,LEFT(PAGADO!N$1,4),VI_Debitos!$Q:$Q,RIGHT(N$1,2))</f>
        <v>0</v>
      </c>
      <c r="O295" s="2">
        <f>SUMIFS(VI_Debitos!$V:$V,VI_Debitos!$H:$H,$C295,VI_Debitos!$T:$T,$D295,VI_Debitos!$R:$R,LEFT(PAGADO!O$1,4),VI_Debitos!$Q:$Q,RIGHT(O$1,2))</f>
        <v>0</v>
      </c>
      <c r="P295" s="2">
        <f>SUMIFS(VI_Debitos!$V:$V,VI_Debitos!$H:$H,$C295,VI_Debitos!$T:$T,$D295,VI_Debitos!$R:$R,LEFT(PAGADO!P$1,4),VI_Debitos!$Q:$Q,RIGHT(P$1,2))</f>
        <v>0</v>
      </c>
      <c r="Q295" s="2">
        <f>SUMIFS(VI_Debitos!$V:$V,VI_Debitos!$H:$H,$C295,VI_Debitos!$T:$T,$D295,VI_Debitos!$R:$R,LEFT(PAGADO!Q$1,4),VI_Debitos!$Q:$Q,RIGHT(Q$1,2))</f>
        <v>0</v>
      </c>
      <c r="R295" s="2">
        <f t="shared" si="4"/>
        <v>0</v>
      </c>
    </row>
    <row r="296" spans="6:18">
      <c r="F296" s="2">
        <f>SUMIFS(VI_Debitos!$V:$V,VI_Debitos!$H:$H,$C296,VI_Debitos!$T:$T,$D296,VI_Debitos!$R:$R,LEFT(PAGADO!F$1,4),VI_Debitos!$Q:$Q,RIGHT(F$1,2))</f>
        <v>0</v>
      </c>
      <c r="G296" s="2">
        <f>SUMIFS(VI_Debitos!$V:$V,VI_Debitos!$H:$H,$C296,VI_Debitos!$T:$T,$D296,VI_Debitos!$R:$R,LEFT(PAGADO!G$1,4),VI_Debitos!$Q:$Q,RIGHT(G$1,2))</f>
        <v>0</v>
      </c>
      <c r="H296" s="2">
        <f>SUMIFS(VI_Debitos!$V:$V,VI_Debitos!$H:$H,$C296,VI_Debitos!$T:$T,$D296,VI_Debitos!$R:$R,LEFT(PAGADO!H$1,4),VI_Debitos!$Q:$Q,RIGHT(H$1,2))</f>
        <v>0</v>
      </c>
      <c r="I296" s="2">
        <f>SUMIFS(VI_Debitos!$V:$V,VI_Debitos!$H:$H,$C296,VI_Debitos!$T:$T,$D296,VI_Debitos!$R:$R,LEFT(PAGADO!I$1,4),VI_Debitos!$Q:$Q,RIGHT(I$1,2))</f>
        <v>0</v>
      </c>
      <c r="J296" s="2">
        <f>SUMIFS(VI_Debitos!$V:$V,VI_Debitos!$H:$H,$C296,VI_Debitos!$T:$T,$D296,VI_Debitos!$R:$R,LEFT(PAGADO!J$1,4),VI_Debitos!$Q:$Q,RIGHT(J$1,2))</f>
        <v>0</v>
      </c>
      <c r="K296" s="2">
        <f>SUMIFS(VI_Debitos!$V:$V,VI_Debitos!$H:$H,$C296,VI_Debitos!$T:$T,$D296,VI_Debitos!$R:$R,LEFT(PAGADO!K$1,4),VI_Debitos!$Q:$Q,RIGHT(K$1,2))</f>
        <v>0</v>
      </c>
      <c r="L296" s="2">
        <f>SUMIFS(VI_Debitos!$V:$V,VI_Debitos!$H:$H,$C296,VI_Debitos!$T:$T,$D296,VI_Debitos!$R:$R,LEFT(PAGADO!L$1,4),VI_Debitos!$Q:$Q,RIGHT(L$1,2))</f>
        <v>0</v>
      </c>
      <c r="M296" s="2">
        <f>SUMIFS(VI_Debitos!$V:$V,VI_Debitos!$H:$H,$C296,VI_Debitos!$T:$T,$D296,VI_Debitos!$R:$R,LEFT(PAGADO!M$1,4),VI_Debitos!$Q:$Q,RIGHT(M$1,2))</f>
        <v>0</v>
      </c>
      <c r="N296" s="2">
        <f>SUMIFS(VI_Debitos!$V:$V,VI_Debitos!$H:$H,$C296,VI_Debitos!$T:$T,$D296,VI_Debitos!$R:$R,LEFT(PAGADO!N$1,4),VI_Debitos!$Q:$Q,RIGHT(N$1,2))</f>
        <v>0</v>
      </c>
      <c r="O296" s="2">
        <f>SUMIFS(VI_Debitos!$V:$V,VI_Debitos!$H:$H,$C296,VI_Debitos!$T:$T,$D296,VI_Debitos!$R:$R,LEFT(PAGADO!O$1,4),VI_Debitos!$Q:$Q,RIGHT(O$1,2))</f>
        <v>0</v>
      </c>
      <c r="P296" s="2">
        <f>SUMIFS(VI_Debitos!$V:$V,VI_Debitos!$H:$H,$C296,VI_Debitos!$T:$T,$D296,VI_Debitos!$R:$R,LEFT(PAGADO!P$1,4),VI_Debitos!$Q:$Q,RIGHT(P$1,2))</f>
        <v>0</v>
      </c>
      <c r="Q296" s="2">
        <f>SUMIFS(VI_Debitos!$V:$V,VI_Debitos!$H:$H,$C296,VI_Debitos!$T:$T,$D296,VI_Debitos!$R:$R,LEFT(PAGADO!Q$1,4),VI_Debitos!$Q:$Q,RIGHT(Q$1,2))</f>
        <v>0</v>
      </c>
      <c r="R296" s="2">
        <f t="shared" si="4"/>
        <v>0</v>
      </c>
    </row>
    <row r="297" spans="6:18">
      <c r="F297" s="2">
        <f>SUMIFS(VI_Debitos!$V:$V,VI_Debitos!$H:$H,$C297,VI_Debitos!$T:$T,$D297,VI_Debitos!$R:$R,LEFT(PAGADO!F$1,4),VI_Debitos!$Q:$Q,RIGHT(F$1,2))</f>
        <v>0</v>
      </c>
      <c r="G297" s="2">
        <f>SUMIFS(VI_Debitos!$V:$V,VI_Debitos!$H:$H,$C297,VI_Debitos!$T:$T,$D297,VI_Debitos!$R:$R,LEFT(PAGADO!G$1,4),VI_Debitos!$Q:$Q,RIGHT(G$1,2))</f>
        <v>0</v>
      </c>
      <c r="H297" s="2">
        <f>SUMIFS(VI_Debitos!$V:$V,VI_Debitos!$H:$H,$C297,VI_Debitos!$T:$T,$D297,VI_Debitos!$R:$R,LEFT(PAGADO!H$1,4),VI_Debitos!$Q:$Q,RIGHT(H$1,2))</f>
        <v>0</v>
      </c>
      <c r="I297" s="2">
        <f>SUMIFS(VI_Debitos!$V:$V,VI_Debitos!$H:$H,$C297,VI_Debitos!$T:$T,$D297,VI_Debitos!$R:$R,LEFT(PAGADO!I$1,4),VI_Debitos!$Q:$Q,RIGHT(I$1,2))</f>
        <v>0</v>
      </c>
      <c r="J297" s="2">
        <f>SUMIFS(VI_Debitos!$V:$V,VI_Debitos!$H:$H,$C297,VI_Debitos!$T:$T,$D297,VI_Debitos!$R:$R,LEFT(PAGADO!J$1,4),VI_Debitos!$Q:$Q,RIGHT(J$1,2))</f>
        <v>0</v>
      </c>
      <c r="K297" s="2">
        <f>SUMIFS(VI_Debitos!$V:$V,VI_Debitos!$H:$H,$C297,VI_Debitos!$T:$T,$D297,VI_Debitos!$R:$R,LEFT(PAGADO!K$1,4),VI_Debitos!$Q:$Q,RIGHT(K$1,2))</f>
        <v>0</v>
      </c>
      <c r="L297" s="2">
        <f>SUMIFS(VI_Debitos!$V:$V,VI_Debitos!$H:$H,$C297,VI_Debitos!$T:$T,$D297,VI_Debitos!$R:$R,LEFT(PAGADO!L$1,4),VI_Debitos!$Q:$Q,RIGHT(L$1,2))</f>
        <v>0</v>
      </c>
      <c r="M297" s="2">
        <f>SUMIFS(VI_Debitos!$V:$V,VI_Debitos!$H:$H,$C297,VI_Debitos!$T:$T,$D297,VI_Debitos!$R:$R,LEFT(PAGADO!M$1,4),VI_Debitos!$Q:$Q,RIGHT(M$1,2))</f>
        <v>0</v>
      </c>
      <c r="N297" s="2">
        <f>SUMIFS(VI_Debitos!$V:$V,VI_Debitos!$H:$H,$C297,VI_Debitos!$T:$T,$D297,VI_Debitos!$R:$R,LEFT(PAGADO!N$1,4),VI_Debitos!$Q:$Q,RIGHT(N$1,2))</f>
        <v>0</v>
      </c>
      <c r="O297" s="2">
        <f>SUMIFS(VI_Debitos!$V:$V,VI_Debitos!$H:$H,$C297,VI_Debitos!$T:$T,$D297,VI_Debitos!$R:$R,LEFT(PAGADO!O$1,4),VI_Debitos!$Q:$Q,RIGHT(O$1,2))</f>
        <v>0</v>
      </c>
      <c r="P297" s="2">
        <f>SUMIFS(VI_Debitos!$V:$V,VI_Debitos!$H:$H,$C297,VI_Debitos!$T:$T,$D297,VI_Debitos!$R:$R,LEFT(PAGADO!P$1,4),VI_Debitos!$Q:$Q,RIGHT(P$1,2))</f>
        <v>0</v>
      </c>
      <c r="Q297" s="2">
        <f>SUMIFS(VI_Debitos!$V:$V,VI_Debitos!$H:$H,$C297,VI_Debitos!$T:$T,$D297,VI_Debitos!$R:$R,LEFT(PAGADO!Q$1,4),VI_Debitos!$Q:$Q,RIGHT(Q$1,2))</f>
        <v>0</v>
      </c>
      <c r="R297" s="2">
        <f t="shared" si="4"/>
        <v>0</v>
      </c>
    </row>
    <row r="298" spans="6:18">
      <c r="F298" s="2">
        <f>SUMIFS(VI_Debitos!$V:$V,VI_Debitos!$H:$H,$C298,VI_Debitos!$T:$T,$D298,VI_Debitos!$R:$R,LEFT(PAGADO!F$1,4),VI_Debitos!$Q:$Q,RIGHT(F$1,2))</f>
        <v>0</v>
      </c>
      <c r="G298" s="2">
        <f>SUMIFS(VI_Debitos!$V:$V,VI_Debitos!$H:$H,$C298,VI_Debitos!$T:$T,$D298,VI_Debitos!$R:$R,LEFT(PAGADO!G$1,4),VI_Debitos!$Q:$Q,RIGHT(G$1,2))</f>
        <v>0</v>
      </c>
      <c r="H298" s="2">
        <f>SUMIFS(VI_Debitos!$V:$V,VI_Debitos!$H:$H,$C298,VI_Debitos!$T:$T,$D298,VI_Debitos!$R:$R,LEFT(PAGADO!H$1,4),VI_Debitos!$Q:$Q,RIGHT(H$1,2))</f>
        <v>0</v>
      </c>
      <c r="I298" s="2">
        <f>SUMIFS(VI_Debitos!$V:$V,VI_Debitos!$H:$H,$C298,VI_Debitos!$T:$T,$D298,VI_Debitos!$R:$R,LEFT(PAGADO!I$1,4),VI_Debitos!$Q:$Q,RIGHT(I$1,2))</f>
        <v>0</v>
      </c>
      <c r="J298" s="2">
        <f>SUMIFS(VI_Debitos!$V:$V,VI_Debitos!$H:$H,$C298,VI_Debitos!$T:$T,$D298,VI_Debitos!$R:$R,LEFT(PAGADO!J$1,4),VI_Debitos!$Q:$Q,RIGHT(J$1,2))</f>
        <v>0</v>
      </c>
      <c r="K298" s="2">
        <f>SUMIFS(VI_Debitos!$V:$V,VI_Debitos!$H:$H,$C298,VI_Debitos!$T:$T,$D298,VI_Debitos!$R:$R,LEFT(PAGADO!K$1,4),VI_Debitos!$Q:$Q,RIGHT(K$1,2))</f>
        <v>0</v>
      </c>
      <c r="L298" s="2">
        <f>SUMIFS(VI_Debitos!$V:$V,VI_Debitos!$H:$H,$C298,VI_Debitos!$T:$T,$D298,VI_Debitos!$R:$R,LEFT(PAGADO!L$1,4),VI_Debitos!$Q:$Q,RIGHT(L$1,2))</f>
        <v>0</v>
      </c>
      <c r="M298" s="2">
        <f>SUMIFS(VI_Debitos!$V:$V,VI_Debitos!$H:$H,$C298,VI_Debitos!$T:$T,$D298,VI_Debitos!$R:$R,LEFT(PAGADO!M$1,4),VI_Debitos!$Q:$Q,RIGHT(M$1,2))</f>
        <v>0</v>
      </c>
      <c r="N298" s="2">
        <f>SUMIFS(VI_Debitos!$V:$V,VI_Debitos!$H:$H,$C298,VI_Debitos!$T:$T,$D298,VI_Debitos!$R:$R,LEFT(PAGADO!N$1,4),VI_Debitos!$Q:$Q,RIGHT(N$1,2))</f>
        <v>0</v>
      </c>
      <c r="O298" s="2">
        <f>SUMIFS(VI_Debitos!$V:$V,VI_Debitos!$H:$H,$C298,VI_Debitos!$T:$T,$D298,VI_Debitos!$R:$R,LEFT(PAGADO!O$1,4),VI_Debitos!$Q:$Q,RIGHT(O$1,2))</f>
        <v>0</v>
      </c>
      <c r="P298" s="2">
        <f>SUMIFS(VI_Debitos!$V:$V,VI_Debitos!$H:$H,$C298,VI_Debitos!$T:$T,$D298,VI_Debitos!$R:$R,LEFT(PAGADO!P$1,4),VI_Debitos!$Q:$Q,RIGHT(P$1,2))</f>
        <v>0</v>
      </c>
      <c r="Q298" s="2">
        <f>SUMIFS(VI_Debitos!$V:$V,VI_Debitos!$H:$H,$C298,VI_Debitos!$T:$T,$D298,VI_Debitos!$R:$R,LEFT(PAGADO!Q$1,4),VI_Debitos!$Q:$Q,RIGHT(Q$1,2))</f>
        <v>0</v>
      </c>
      <c r="R298" s="2">
        <f t="shared" si="4"/>
        <v>0</v>
      </c>
    </row>
    <row r="299" spans="6:18">
      <c r="F299" s="2">
        <f>SUMIFS(VI_Debitos!$V:$V,VI_Debitos!$H:$H,$C299,VI_Debitos!$T:$T,$D299,VI_Debitos!$R:$R,LEFT(PAGADO!F$1,4),VI_Debitos!$Q:$Q,RIGHT(F$1,2))</f>
        <v>0</v>
      </c>
      <c r="G299" s="2">
        <f>SUMIFS(VI_Debitos!$V:$V,VI_Debitos!$H:$H,$C299,VI_Debitos!$T:$T,$D299,VI_Debitos!$R:$R,LEFT(PAGADO!G$1,4),VI_Debitos!$Q:$Q,RIGHT(G$1,2))</f>
        <v>0</v>
      </c>
      <c r="H299" s="2">
        <f>SUMIFS(VI_Debitos!$V:$V,VI_Debitos!$H:$H,$C299,VI_Debitos!$T:$T,$D299,VI_Debitos!$R:$R,LEFT(PAGADO!H$1,4),VI_Debitos!$Q:$Q,RIGHT(H$1,2))</f>
        <v>0</v>
      </c>
      <c r="I299" s="2">
        <f>SUMIFS(VI_Debitos!$V:$V,VI_Debitos!$H:$H,$C299,VI_Debitos!$T:$T,$D299,VI_Debitos!$R:$R,LEFT(PAGADO!I$1,4),VI_Debitos!$Q:$Q,RIGHT(I$1,2))</f>
        <v>0</v>
      </c>
      <c r="J299" s="2">
        <f>SUMIFS(VI_Debitos!$V:$V,VI_Debitos!$H:$H,$C299,VI_Debitos!$T:$T,$D299,VI_Debitos!$R:$R,LEFT(PAGADO!J$1,4),VI_Debitos!$Q:$Q,RIGHT(J$1,2))</f>
        <v>0</v>
      </c>
      <c r="K299" s="2">
        <f>SUMIFS(VI_Debitos!$V:$V,VI_Debitos!$H:$H,$C299,VI_Debitos!$T:$T,$D299,VI_Debitos!$R:$R,LEFT(PAGADO!K$1,4),VI_Debitos!$Q:$Q,RIGHT(K$1,2))</f>
        <v>0</v>
      </c>
      <c r="L299" s="2">
        <f>SUMIFS(VI_Debitos!$V:$V,VI_Debitos!$H:$H,$C299,VI_Debitos!$T:$T,$D299,VI_Debitos!$R:$R,LEFT(PAGADO!L$1,4),VI_Debitos!$Q:$Q,RIGHT(L$1,2))</f>
        <v>0</v>
      </c>
      <c r="M299" s="2">
        <f>SUMIFS(VI_Debitos!$V:$V,VI_Debitos!$H:$H,$C299,VI_Debitos!$T:$T,$D299,VI_Debitos!$R:$R,LEFT(PAGADO!M$1,4),VI_Debitos!$Q:$Q,RIGHT(M$1,2))</f>
        <v>0</v>
      </c>
      <c r="N299" s="2">
        <f>SUMIFS(VI_Debitos!$V:$V,VI_Debitos!$H:$H,$C299,VI_Debitos!$T:$T,$D299,VI_Debitos!$R:$R,LEFT(PAGADO!N$1,4),VI_Debitos!$Q:$Q,RIGHT(N$1,2))</f>
        <v>0</v>
      </c>
      <c r="O299" s="2">
        <f>SUMIFS(VI_Debitos!$V:$V,VI_Debitos!$H:$H,$C299,VI_Debitos!$T:$T,$D299,VI_Debitos!$R:$R,LEFT(PAGADO!O$1,4),VI_Debitos!$Q:$Q,RIGHT(O$1,2))</f>
        <v>0</v>
      </c>
      <c r="P299" s="2">
        <f>SUMIFS(VI_Debitos!$V:$V,VI_Debitos!$H:$H,$C299,VI_Debitos!$T:$T,$D299,VI_Debitos!$R:$R,LEFT(PAGADO!P$1,4),VI_Debitos!$Q:$Q,RIGHT(P$1,2))</f>
        <v>0</v>
      </c>
      <c r="Q299" s="2">
        <f>SUMIFS(VI_Debitos!$V:$V,VI_Debitos!$H:$H,$C299,VI_Debitos!$T:$T,$D299,VI_Debitos!$R:$R,LEFT(PAGADO!Q$1,4),VI_Debitos!$Q:$Q,RIGHT(Q$1,2))</f>
        <v>0</v>
      </c>
      <c r="R299" s="2">
        <f t="shared" si="4"/>
        <v>0</v>
      </c>
    </row>
    <row r="300" spans="6:18">
      <c r="F300" s="2">
        <f>SUMIFS(VI_Debitos!$V:$V,VI_Debitos!$H:$H,$C300,VI_Debitos!$T:$T,$D300,VI_Debitos!$R:$R,LEFT(PAGADO!F$1,4),VI_Debitos!$Q:$Q,RIGHT(F$1,2))</f>
        <v>0</v>
      </c>
      <c r="G300" s="2">
        <f>SUMIFS(VI_Debitos!$V:$V,VI_Debitos!$H:$H,$C300,VI_Debitos!$T:$T,$D300,VI_Debitos!$R:$R,LEFT(PAGADO!G$1,4),VI_Debitos!$Q:$Q,RIGHT(G$1,2))</f>
        <v>0</v>
      </c>
      <c r="H300" s="2">
        <f>SUMIFS(VI_Debitos!$V:$V,VI_Debitos!$H:$H,$C300,VI_Debitos!$T:$T,$D300,VI_Debitos!$R:$R,LEFT(PAGADO!H$1,4),VI_Debitos!$Q:$Q,RIGHT(H$1,2))</f>
        <v>0</v>
      </c>
      <c r="I300" s="2">
        <f>SUMIFS(VI_Debitos!$V:$V,VI_Debitos!$H:$H,$C300,VI_Debitos!$T:$T,$D300,VI_Debitos!$R:$R,LEFT(PAGADO!I$1,4),VI_Debitos!$Q:$Q,RIGHT(I$1,2))</f>
        <v>0</v>
      </c>
      <c r="J300" s="2">
        <f>SUMIFS(VI_Debitos!$V:$V,VI_Debitos!$H:$H,$C300,VI_Debitos!$T:$T,$D300,VI_Debitos!$R:$R,LEFT(PAGADO!J$1,4),VI_Debitos!$Q:$Q,RIGHT(J$1,2))</f>
        <v>0</v>
      </c>
      <c r="K300" s="2">
        <f>SUMIFS(VI_Debitos!$V:$V,VI_Debitos!$H:$H,$C300,VI_Debitos!$T:$T,$D300,VI_Debitos!$R:$R,LEFT(PAGADO!K$1,4),VI_Debitos!$Q:$Q,RIGHT(K$1,2))</f>
        <v>0</v>
      </c>
      <c r="L300" s="2">
        <f>SUMIFS(VI_Debitos!$V:$V,VI_Debitos!$H:$H,$C300,VI_Debitos!$T:$T,$D300,VI_Debitos!$R:$R,LEFT(PAGADO!L$1,4),VI_Debitos!$Q:$Q,RIGHT(L$1,2))</f>
        <v>0</v>
      </c>
      <c r="M300" s="2">
        <f>SUMIFS(VI_Debitos!$V:$V,VI_Debitos!$H:$H,$C300,VI_Debitos!$T:$T,$D300,VI_Debitos!$R:$R,LEFT(PAGADO!M$1,4),VI_Debitos!$Q:$Q,RIGHT(M$1,2))</f>
        <v>0</v>
      </c>
      <c r="N300" s="2">
        <f>SUMIFS(VI_Debitos!$V:$V,VI_Debitos!$H:$H,$C300,VI_Debitos!$T:$T,$D300,VI_Debitos!$R:$R,LEFT(PAGADO!N$1,4),VI_Debitos!$Q:$Q,RIGHT(N$1,2))</f>
        <v>0</v>
      </c>
      <c r="O300" s="2">
        <f>SUMIFS(VI_Debitos!$V:$V,VI_Debitos!$H:$H,$C300,VI_Debitos!$T:$T,$D300,VI_Debitos!$R:$R,LEFT(PAGADO!O$1,4),VI_Debitos!$Q:$Q,RIGHT(O$1,2))</f>
        <v>0</v>
      </c>
      <c r="P300" s="2">
        <f>SUMIFS(VI_Debitos!$V:$V,VI_Debitos!$H:$H,$C300,VI_Debitos!$T:$T,$D300,VI_Debitos!$R:$R,LEFT(PAGADO!P$1,4),VI_Debitos!$Q:$Q,RIGHT(P$1,2))</f>
        <v>0</v>
      </c>
      <c r="Q300" s="2">
        <f>SUMIFS(VI_Debitos!$V:$V,VI_Debitos!$H:$H,$C300,VI_Debitos!$T:$T,$D300,VI_Debitos!$R:$R,LEFT(PAGADO!Q$1,4),VI_Debitos!$Q:$Q,RIGHT(Q$1,2))</f>
        <v>0</v>
      </c>
      <c r="R300" s="2">
        <f t="shared" si="4"/>
        <v>0</v>
      </c>
    </row>
    <row r="301" spans="6:18">
      <c r="F301" s="2">
        <f>SUMIFS(VI_Debitos!$V:$V,VI_Debitos!$H:$H,$C301,VI_Debitos!$T:$T,$D301,VI_Debitos!$R:$R,LEFT(PAGADO!F$1,4),VI_Debitos!$Q:$Q,RIGHT(F$1,2))</f>
        <v>0</v>
      </c>
      <c r="G301" s="2">
        <f>SUMIFS(VI_Debitos!$V:$V,VI_Debitos!$H:$H,$C301,VI_Debitos!$T:$T,$D301,VI_Debitos!$R:$R,LEFT(PAGADO!G$1,4),VI_Debitos!$Q:$Q,RIGHT(G$1,2))</f>
        <v>0</v>
      </c>
      <c r="H301" s="2">
        <f>SUMIFS(VI_Debitos!$V:$V,VI_Debitos!$H:$H,$C301,VI_Debitos!$T:$T,$D301,VI_Debitos!$R:$R,LEFT(PAGADO!H$1,4),VI_Debitos!$Q:$Q,RIGHT(H$1,2))</f>
        <v>0</v>
      </c>
      <c r="I301" s="2">
        <f>SUMIFS(VI_Debitos!$V:$V,VI_Debitos!$H:$H,$C301,VI_Debitos!$T:$T,$D301,VI_Debitos!$R:$R,LEFT(PAGADO!I$1,4),VI_Debitos!$Q:$Q,RIGHT(I$1,2))</f>
        <v>0</v>
      </c>
      <c r="J301" s="2">
        <f>SUMIFS(VI_Debitos!$V:$V,VI_Debitos!$H:$H,$C301,VI_Debitos!$T:$T,$D301,VI_Debitos!$R:$R,LEFT(PAGADO!J$1,4),VI_Debitos!$Q:$Q,RIGHT(J$1,2))</f>
        <v>0</v>
      </c>
      <c r="K301" s="2">
        <f>SUMIFS(VI_Debitos!$V:$V,VI_Debitos!$H:$H,$C301,VI_Debitos!$T:$T,$D301,VI_Debitos!$R:$R,LEFT(PAGADO!K$1,4),VI_Debitos!$Q:$Q,RIGHT(K$1,2))</f>
        <v>0</v>
      </c>
      <c r="L301" s="2">
        <f>SUMIFS(VI_Debitos!$V:$V,VI_Debitos!$H:$H,$C301,VI_Debitos!$T:$T,$D301,VI_Debitos!$R:$R,LEFT(PAGADO!L$1,4),VI_Debitos!$Q:$Q,RIGHT(L$1,2))</f>
        <v>0</v>
      </c>
      <c r="M301" s="2">
        <f>SUMIFS(VI_Debitos!$V:$V,VI_Debitos!$H:$H,$C301,VI_Debitos!$T:$T,$D301,VI_Debitos!$R:$R,LEFT(PAGADO!M$1,4),VI_Debitos!$Q:$Q,RIGHT(M$1,2))</f>
        <v>0</v>
      </c>
      <c r="N301" s="2">
        <f>SUMIFS(VI_Debitos!$V:$V,VI_Debitos!$H:$H,$C301,VI_Debitos!$T:$T,$D301,VI_Debitos!$R:$R,LEFT(PAGADO!N$1,4),VI_Debitos!$Q:$Q,RIGHT(N$1,2))</f>
        <v>0</v>
      </c>
      <c r="O301" s="2">
        <f>SUMIFS(VI_Debitos!$V:$V,VI_Debitos!$H:$H,$C301,VI_Debitos!$T:$T,$D301,VI_Debitos!$R:$R,LEFT(PAGADO!O$1,4),VI_Debitos!$Q:$Q,RIGHT(O$1,2))</f>
        <v>0</v>
      </c>
      <c r="P301" s="2">
        <f>SUMIFS(VI_Debitos!$V:$V,VI_Debitos!$H:$H,$C301,VI_Debitos!$T:$T,$D301,VI_Debitos!$R:$R,LEFT(PAGADO!P$1,4),VI_Debitos!$Q:$Q,RIGHT(P$1,2))</f>
        <v>0</v>
      </c>
      <c r="Q301" s="2">
        <f>SUMIFS(VI_Debitos!$V:$V,VI_Debitos!$H:$H,$C301,VI_Debitos!$T:$T,$D301,VI_Debitos!$R:$R,LEFT(PAGADO!Q$1,4),VI_Debitos!$Q:$Q,RIGHT(Q$1,2))</f>
        <v>0</v>
      </c>
      <c r="R301" s="2">
        <f t="shared" si="4"/>
        <v>0</v>
      </c>
    </row>
    <row r="302" spans="6:18">
      <c r="F302" s="2">
        <f>SUMIFS(VI_Debitos!$V:$V,VI_Debitos!$H:$H,$C302,VI_Debitos!$T:$T,$D302,VI_Debitos!$R:$R,LEFT(PAGADO!F$1,4),VI_Debitos!$Q:$Q,RIGHT(F$1,2))</f>
        <v>0</v>
      </c>
      <c r="G302" s="2">
        <f>SUMIFS(VI_Debitos!$V:$V,VI_Debitos!$H:$H,$C302,VI_Debitos!$T:$T,$D302,VI_Debitos!$R:$R,LEFT(PAGADO!G$1,4),VI_Debitos!$Q:$Q,RIGHT(G$1,2))</f>
        <v>0</v>
      </c>
      <c r="H302" s="2">
        <f>SUMIFS(VI_Debitos!$V:$V,VI_Debitos!$H:$H,$C302,VI_Debitos!$T:$T,$D302,VI_Debitos!$R:$R,LEFT(PAGADO!H$1,4),VI_Debitos!$Q:$Q,RIGHT(H$1,2))</f>
        <v>0</v>
      </c>
      <c r="I302" s="2">
        <f>SUMIFS(VI_Debitos!$V:$V,VI_Debitos!$H:$H,$C302,VI_Debitos!$T:$T,$D302,VI_Debitos!$R:$R,LEFT(PAGADO!I$1,4),VI_Debitos!$Q:$Q,RIGHT(I$1,2))</f>
        <v>0</v>
      </c>
      <c r="J302" s="2">
        <f>SUMIFS(VI_Debitos!$V:$V,VI_Debitos!$H:$H,$C302,VI_Debitos!$T:$T,$D302,VI_Debitos!$R:$R,LEFT(PAGADO!J$1,4),VI_Debitos!$Q:$Q,RIGHT(J$1,2))</f>
        <v>0</v>
      </c>
      <c r="K302" s="2">
        <f>SUMIFS(VI_Debitos!$V:$V,VI_Debitos!$H:$H,$C302,VI_Debitos!$T:$T,$D302,VI_Debitos!$R:$R,LEFT(PAGADO!K$1,4),VI_Debitos!$Q:$Q,RIGHT(K$1,2))</f>
        <v>0</v>
      </c>
      <c r="L302" s="2">
        <f>SUMIFS(VI_Debitos!$V:$V,VI_Debitos!$H:$H,$C302,VI_Debitos!$T:$T,$D302,VI_Debitos!$R:$R,LEFT(PAGADO!L$1,4),VI_Debitos!$Q:$Q,RIGHT(L$1,2))</f>
        <v>0</v>
      </c>
      <c r="M302" s="2">
        <f>SUMIFS(VI_Debitos!$V:$V,VI_Debitos!$H:$H,$C302,VI_Debitos!$T:$T,$D302,VI_Debitos!$R:$R,LEFT(PAGADO!M$1,4),VI_Debitos!$Q:$Q,RIGHT(M$1,2))</f>
        <v>0</v>
      </c>
      <c r="N302" s="2">
        <f>SUMIFS(VI_Debitos!$V:$V,VI_Debitos!$H:$H,$C302,VI_Debitos!$T:$T,$D302,VI_Debitos!$R:$R,LEFT(PAGADO!N$1,4),VI_Debitos!$Q:$Q,RIGHT(N$1,2))</f>
        <v>0</v>
      </c>
      <c r="O302" s="2">
        <f>SUMIFS(VI_Debitos!$V:$V,VI_Debitos!$H:$H,$C302,VI_Debitos!$T:$T,$D302,VI_Debitos!$R:$R,LEFT(PAGADO!O$1,4),VI_Debitos!$Q:$Q,RIGHT(O$1,2))</f>
        <v>0</v>
      </c>
      <c r="P302" s="2">
        <f>SUMIFS(VI_Debitos!$V:$V,VI_Debitos!$H:$H,$C302,VI_Debitos!$T:$T,$D302,VI_Debitos!$R:$R,LEFT(PAGADO!P$1,4),VI_Debitos!$Q:$Q,RIGHT(P$1,2))</f>
        <v>0</v>
      </c>
      <c r="Q302" s="2">
        <f>SUMIFS(VI_Debitos!$V:$V,VI_Debitos!$H:$H,$C302,VI_Debitos!$T:$T,$D302,VI_Debitos!$R:$R,LEFT(PAGADO!Q$1,4),VI_Debitos!$Q:$Q,RIGHT(Q$1,2))</f>
        <v>0</v>
      </c>
      <c r="R302" s="2">
        <f t="shared" si="4"/>
        <v>0</v>
      </c>
    </row>
    <row r="303" spans="6:18">
      <c r="F303" s="2">
        <f>SUMIFS(VI_Debitos!$V:$V,VI_Debitos!$H:$H,$C303,VI_Debitos!$T:$T,$D303,VI_Debitos!$R:$R,LEFT(PAGADO!F$1,4),VI_Debitos!$Q:$Q,RIGHT(F$1,2))</f>
        <v>0</v>
      </c>
      <c r="G303" s="2">
        <f>SUMIFS(VI_Debitos!$V:$V,VI_Debitos!$H:$H,$C303,VI_Debitos!$T:$T,$D303,VI_Debitos!$R:$R,LEFT(PAGADO!G$1,4),VI_Debitos!$Q:$Q,RIGHT(G$1,2))</f>
        <v>0</v>
      </c>
      <c r="H303" s="2">
        <f>SUMIFS(VI_Debitos!$V:$V,VI_Debitos!$H:$H,$C303,VI_Debitos!$T:$T,$D303,VI_Debitos!$R:$R,LEFT(PAGADO!H$1,4),VI_Debitos!$Q:$Q,RIGHT(H$1,2))</f>
        <v>0</v>
      </c>
      <c r="I303" s="2">
        <f>SUMIFS(VI_Debitos!$V:$V,VI_Debitos!$H:$H,$C303,VI_Debitos!$T:$T,$D303,VI_Debitos!$R:$R,LEFT(PAGADO!I$1,4),VI_Debitos!$Q:$Q,RIGHT(I$1,2))</f>
        <v>0</v>
      </c>
      <c r="J303" s="2">
        <f>SUMIFS(VI_Debitos!$V:$V,VI_Debitos!$H:$H,$C303,VI_Debitos!$T:$T,$D303,VI_Debitos!$R:$R,LEFT(PAGADO!J$1,4),VI_Debitos!$Q:$Q,RIGHT(J$1,2))</f>
        <v>0</v>
      </c>
      <c r="K303" s="2">
        <f>SUMIFS(VI_Debitos!$V:$V,VI_Debitos!$H:$H,$C303,VI_Debitos!$T:$T,$D303,VI_Debitos!$R:$R,LEFT(PAGADO!K$1,4),VI_Debitos!$Q:$Q,RIGHT(K$1,2))</f>
        <v>0</v>
      </c>
      <c r="L303" s="2">
        <f>SUMIFS(VI_Debitos!$V:$V,VI_Debitos!$H:$H,$C303,VI_Debitos!$T:$T,$D303,VI_Debitos!$R:$R,LEFT(PAGADO!L$1,4),VI_Debitos!$Q:$Q,RIGHT(L$1,2))</f>
        <v>0</v>
      </c>
      <c r="M303" s="2">
        <f>SUMIFS(VI_Debitos!$V:$V,VI_Debitos!$H:$H,$C303,VI_Debitos!$T:$T,$D303,VI_Debitos!$R:$R,LEFT(PAGADO!M$1,4),VI_Debitos!$Q:$Q,RIGHT(M$1,2))</f>
        <v>0</v>
      </c>
      <c r="N303" s="2">
        <f>SUMIFS(VI_Debitos!$V:$V,VI_Debitos!$H:$H,$C303,VI_Debitos!$T:$T,$D303,VI_Debitos!$R:$R,LEFT(PAGADO!N$1,4),VI_Debitos!$Q:$Q,RIGHT(N$1,2))</f>
        <v>0</v>
      </c>
      <c r="O303" s="2">
        <f>SUMIFS(VI_Debitos!$V:$V,VI_Debitos!$H:$H,$C303,VI_Debitos!$T:$T,$D303,VI_Debitos!$R:$R,LEFT(PAGADO!O$1,4),VI_Debitos!$Q:$Q,RIGHT(O$1,2))</f>
        <v>0</v>
      </c>
      <c r="P303" s="2">
        <f>SUMIFS(VI_Debitos!$V:$V,VI_Debitos!$H:$H,$C303,VI_Debitos!$T:$T,$D303,VI_Debitos!$R:$R,LEFT(PAGADO!P$1,4),VI_Debitos!$Q:$Q,RIGHT(P$1,2))</f>
        <v>0</v>
      </c>
      <c r="Q303" s="2">
        <f>SUMIFS(VI_Debitos!$V:$V,VI_Debitos!$H:$H,$C303,VI_Debitos!$T:$T,$D303,VI_Debitos!$R:$R,LEFT(PAGADO!Q$1,4),VI_Debitos!$Q:$Q,RIGHT(Q$1,2))</f>
        <v>0</v>
      </c>
      <c r="R303" s="2">
        <f t="shared" si="4"/>
        <v>0</v>
      </c>
    </row>
    <row r="304" spans="6:18">
      <c r="F304" s="2">
        <f>SUMIFS(VI_Debitos!$V:$V,VI_Debitos!$H:$H,$C304,VI_Debitos!$T:$T,$D304,VI_Debitos!$R:$R,LEFT(PAGADO!F$1,4),VI_Debitos!$Q:$Q,RIGHT(F$1,2))</f>
        <v>0</v>
      </c>
      <c r="G304" s="2">
        <f>SUMIFS(VI_Debitos!$V:$V,VI_Debitos!$H:$H,$C304,VI_Debitos!$T:$T,$D304,VI_Debitos!$R:$R,LEFT(PAGADO!G$1,4),VI_Debitos!$Q:$Q,RIGHT(G$1,2))</f>
        <v>0</v>
      </c>
      <c r="H304" s="2">
        <f>SUMIFS(VI_Debitos!$V:$V,VI_Debitos!$H:$H,$C304,VI_Debitos!$T:$T,$D304,VI_Debitos!$R:$R,LEFT(PAGADO!H$1,4),VI_Debitos!$Q:$Q,RIGHT(H$1,2))</f>
        <v>0</v>
      </c>
      <c r="I304" s="2">
        <f>SUMIFS(VI_Debitos!$V:$V,VI_Debitos!$H:$H,$C304,VI_Debitos!$T:$T,$D304,VI_Debitos!$R:$R,LEFT(PAGADO!I$1,4),VI_Debitos!$Q:$Q,RIGHT(I$1,2))</f>
        <v>0</v>
      </c>
      <c r="J304" s="2">
        <f>SUMIFS(VI_Debitos!$V:$V,VI_Debitos!$H:$H,$C304,VI_Debitos!$T:$T,$D304,VI_Debitos!$R:$R,LEFT(PAGADO!J$1,4),VI_Debitos!$Q:$Q,RIGHT(J$1,2))</f>
        <v>0</v>
      </c>
      <c r="K304" s="2">
        <f>SUMIFS(VI_Debitos!$V:$V,VI_Debitos!$H:$H,$C304,VI_Debitos!$T:$T,$D304,VI_Debitos!$R:$R,LEFT(PAGADO!K$1,4),VI_Debitos!$Q:$Q,RIGHT(K$1,2))</f>
        <v>0</v>
      </c>
      <c r="L304" s="2">
        <f>SUMIFS(VI_Debitos!$V:$V,VI_Debitos!$H:$H,$C304,VI_Debitos!$T:$T,$D304,VI_Debitos!$R:$R,LEFT(PAGADO!L$1,4),VI_Debitos!$Q:$Q,RIGHT(L$1,2))</f>
        <v>0</v>
      </c>
      <c r="M304" s="2">
        <f>SUMIFS(VI_Debitos!$V:$V,VI_Debitos!$H:$H,$C304,VI_Debitos!$T:$T,$D304,VI_Debitos!$R:$R,LEFT(PAGADO!M$1,4),VI_Debitos!$Q:$Q,RIGHT(M$1,2))</f>
        <v>0</v>
      </c>
      <c r="N304" s="2">
        <f>SUMIFS(VI_Debitos!$V:$V,VI_Debitos!$H:$H,$C304,VI_Debitos!$T:$T,$D304,VI_Debitos!$R:$R,LEFT(PAGADO!N$1,4),VI_Debitos!$Q:$Q,RIGHT(N$1,2))</f>
        <v>0</v>
      </c>
      <c r="O304" s="2">
        <f>SUMIFS(VI_Debitos!$V:$V,VI_Debitos!$H:$H,$C304,VI_Debitos!$T:$T,$D304,VI_Debitos!$R:$R,LEFT(PAGADO!O$1,4),VI_Debitos!$Q:$Q,RIGHT(O$1,2))</f>
        <v>0</v>
      </c>
      <c r="P304" s="2">
        <f>SUMIFS(VI_Debitos!$V:$V,VI_Debitos!$H:$H,$C304,VI_Debitos!$T:$T,$D304,VI_Debitos!$R:$R,LEFT(PAGADO!P$1,4),VI_Debitos!$Q:$Q,RIGHT(P$1,2))</f>
        <v>0</v>
      </c>
      <c r="Q304" s="2">
        <f>SUMIFS(VI_Debitos!$V:$V,VI_Debitos!$H:$H,$C304,VI_Debitos!$T:$T,$D304,VI_Debitos!$R:$R,LEFT(PAGADO!Q$1,4),VI_Debitos!$Q:$Q,RIGHT(Q$1,2))</f>
        <v>0</v>
      </c>
      <c r="R304" s="2">
        <f t="shared" si="4"/>
        <v>0</v>
      </c>
    </row>
    <row r="305" spans="6:18">
      <c r="F305" s="2">
        <f>SUMIFS(VI_Debitos!$V:$V,VI_Debitos!$H:$H,$C305,VI_Debitos!$T:$T,$D305,VI_Debitos!$R:$R,LEFT(PAGADO!F$1,4),VI_Debitos!$Q:$Q,RIGHT(F$1,2))</f>
        <v>0</v>
      </c>
      <c r="G305" s="2">
        <f>SUMIFS(VI_Debitos!$V:$V,VI_Debitos!$H:$H,$C305,VI_Debitos!$T:$T,$D305,VI_Debitos!$R:$R,LEFT(PAGADO!G$1,4),VI_Debitos!$Q:$Q,RIGHT(G$1,2))</f>
        <v>0</v>
      </c>
      <c r="H305" s="2">
        <f>SUMIFS(VI_Debitos!$V:$V,VI_Debitos!$H:$H,$C305,VI_Debitos!$T:$T,$D305,VI_Debitos!$R:$R,LEFT(PAGADO!H$1,4),VI_Debitos!$Q:$Q,RIGHT(H$1,2))</f>
        <v>0</v>
      </c>
      <c r="I305" s="2">
        <f>SUMIFS(VI_Debitos!$V:$V,VI_Debitos!$H:$H,$C305,VI_Debitos!$T:$T,$D305,VI_Debitos!$R:$R,LEFT(PAGADO!I$1,4),VI_Debitos!$Q:$Q,RIGHT(I$1,2))</f>
        <v>0</v>
      </c>
      <c r="J305" s="2">
        <f>SUMIFS(VI_Debitos!$V:$V,VI_Debitos!$H:$H,$C305,VI_Debitos!$T:$T,$D305,VI_Debitos!$R:$R,LEFT(PAGADO!J$1,4),VI_Debitos!$Q:$Q,RIGHT(J$1,2))</f>
        <v>0</v>
      </c>
      <c r="K305" s="2">
        <f>SUMIFS(VI_Debitos!$V:$V,VI_Debitos!$H:$H,$C305,VI_Debitos!$T:$T,$D305,VI_Debitos!$R:$R,LEFT(PAGADO!K$1,4),VI_Debitos!$Q:$Q,RIGHT(K$1,2))</f>
        <v>0</v>
      </c>
      <c r="L305" s="2">
        <f>SUMIFS(VI_Debitos!$V:$V,VI_Debitos!$H:$H,$C305,VI_Debitos!$T:$T,$D305,VI_Debitos!$R:$R,LEFT(PAGADO!L$1,4),VI_Debitos!$Q:$Q,RIGHT(L$1,2))</f>
        <v>0</v>
      </c>
      <c r="M305" s="2">
        <f>SUMIFS(VI_Debitos!$V:$V,VI_Debitos!$H:$H,$C305,VI_Debitos!$T:$T,$D305,VI_Debitos!$R:$R,LEFT(PAGADO!M$1,4),VI_Debitos!$Q:$Q,RIGHT(M$1,2))</f>
        <v>0</v>
      </c>
      <c r="N305" s="2">
        <f>SUMIFS(VI_Debitos!$V:$V,VI_Debitos!$H:$H,$C305,VI_Debitos!$T:$T,$D305,VI_Debitos!$R:$R,LEFT(PAGADO!N$1,4),VI_Debitos!$Q:$Q,RIGHT(N$1,2))</f>
        <v>0</v>
      </c>
      <c r="O305" s="2">
        <f>SUMIFS(VI_Debitos!$V:$V,VI_Debitos!$H:$H,$C305,VI_Debitos!$T:$T,$D305,VI_Debitos!$R:$R,LEFT(PAGADO!O$1,4),VI_Debitos!$Q:$Q,RIGHT(O$1,2))</f>
        <v>0</v>
      </c>
      <c r="P305" s="2">
        <f>SUMIFS(VI_Debitos!$V:$V,VI_Debitos!$H:$H,$C305,VI_Debitos!$T:$T,$D305,VI_Debitos!$R:$R,LEFT(PAGADO!P$1,4),VI_Debitos!$Q:$Q,RIGHT(P$1,2))</f>
        <v>0</v>
      </c>
      <c r="Q305" s="2">
        <f>SUMIFS(VI_Debitos!$V:$V,VI_Debitos!$H:$H,$C305,VI_Debitos!$T:$T,$D305,VI_Debitos!$R:$R,LEFT(PAGADO!Q$1,4),VI_Debitos!$Q:$Q,RIGHT(Q$1,2))</f>
        <v>0</v>
      </c>
      <c r="R305" s="2">
        <f t="shared" si="4"/>
        <v>0</v>
      </c>
    </row>
    <row r="306" spans="6:18">
      <c r="F306" s="2">
        <f>SUMIFS(VI_Debitos!$V:$V,VI_Debitos!$H:$H,$C306,VI_Debitos!$T:$T,$D306,VI_Debitos!$R:$R,LEFT(PAGADO!F$1,4),VI_Debitos!$Q:$Q,RIGHT(F$1,2))</f>
        <v>0</v>
      </c>
      <c r="G306" s="2">
        <f>SUMIFS(VI_Debitos!$V:$V,VI_Debitos!$H:$H,$C306,VI_Debitos!$T:$T,$D306,VI_Debitos!$R:$R,LEFT(PAGADO!G$1,4),VI_Debitos!$Q:$Q,RIGHT(G$1,2))</f>
        <v>0</v>
      </c>
      <c r="H306" s="2">
        <f>SUMIFS(VI_Debitos!$V:$V,VI_Debitos!$H:$H,$C306,VI_Debitos!$T:$T,$D306,VI_Debitos!$R:$R,LEFT(PAGADO!H$1,4),VI_Debitos!$Q:$Q,RIGHT(H$1,2))</f>
        <v>0</v>
      </c>
      <c r="I306" s="2">
        <f>SUMIFS(VI_Debitos!$V:$V,VI_Debitos!$H:$H,$C306,VI_Debitos!$T:$T,$D306,VI_Debitos!$R:$R,LEFT(PAGADO!I$1,4),VI_Debitos!$Q:$Q,RIGHT(I$1,2))</f>
        <v>0</v>
      </c>
      <c r="J306" s="2">
        <f>SUMIFS(VI_Debitos!$V:$V,VI_Debitos!$H:$H,$C306,VI_Debitos!$T:$T,$D306,VI_Debitos!$R:$R,LEFT(PAGADO!J$1,4),VI_Debitos!$Q:$Q,RIGHT(J$1,2))</f>
        <v>0</v>
      </c>
      <c r="K306" s="2">
        <f>SUMIFS(VI_Debitos!$V:$V,VI_Debitos!$H:$H,$C306,VI_Debitos!$T:$T,$D306,VI_Debitos!$R:$R,LEFT(PAGADO!K$1,4),VI_Debitos!$Q:$Q,RIGHT(K$1,2))</f>
        <v>0</v>
      </c>
      <c r="L306" s="2">
        <f>SUMIFS(VI_Debitos!$V:$V,VI_Debitos!$H:$H,$C306,VI_Debitos!$T:$T,$D306,VI_Debitos!$R:$R,LEFT(PAGADO!L$1,4),VI_Debitos!$Q:$Q,RIGHT(L$1,2))</f>
        <v>0</v>
      </c>
      <c r="M306" s="2">
        <f>SUMIFS(VI_Debitos!$V:$V,VI_Debitos!$H:$H,$C306,VI_Debitos!$T:$T,$D306,VI_Debitos!$R:$R,LEFT(PAGADO!M$1,4),VI_Debitos!$Q:$Q,RIGHT(M$1,2))</f>
        <v>0</v>
      </c>
      <c r="N306" s="2">
        <f>SUMIFS(VI_Debitos!$V:$V,VI_Debitos!$H:$H,$C306,VI_Debitos!$T:$T,$D306,VI_Debitos!$R:$R,LEFT(PAGADO!N$1,4),VI_Debitos!$Q:$Q,RIGHT(N$1,2))</f>
        <v>0</v>
      </c>
      <c r="O306" s="2">
        <f>SUMIFS(VI_Debitos!$V:$V,VI_Debitos!$H:$H,$C306,VI_Debitos!$T:$T,$D306,VI_Debitos!$R:$R,LEFT(PAGADO!O$1,4),VI_Debitos!$Q:$Q,RIGHT(O$1,2))</f>
        <v>0</v>
      </c>
      <c r="P306" s="2">
        <f>SUMIFS(VI_Debitos!$V:$V,VI_Debitos!$H:$H,$C306,VI_Debitos!$T:$T,$D306,VI_Debitos!$R:$R,LEFT(PAGADO!P$1,4),VI_Debitos!$Q:$Q,RIGHT(P$1,2))</f>
        <v>0</v>
      </c>
      <c r="Q306" s="2">
        <f>SUMIFS(VI_Debitos!$V:$V,VI_Debitos!$H:$H,$C306,VI_Debitos!$T:$T,$D306,VI_Debitos!$R:$R,LEFT(PAGADO!Q$1,4),VI_Debitos!$Q:$Q,RIGHT(Q$1,2))</f>
        <v>0</v>
      </c>
      <c r="R306" s="2">
        <f t="shared" si="4"/>
        <v>0</v>
      </c>
    </row>
    <row r="307" spans="6:18">
      <c r="F307" s="2">
        <f>SUMIFS(VI_Debitos!$V:$V,VI_Debitos!$H:$H,$C307,VI_Debitos!$T:$T,$D307,VI_Debitos!$R:$R,LEFT(PAGADO!F$1,4),VI_Debitos!$Q:$Q,RIGHT(F$1,2))</f>
        <v>0</v>
      </c>
      <c r="G307" s="2">
        <f>SUMIFS(VI_Debitos!$V:$V,VI_Debitos!$H:$H,$C307,VI_Debitos!$T:$T,$D307,VI_Debitos!$R:$R,LEFT(PAGADO!G$1,4),VI_Debitos!$Q:$Q,RIGHT(G$1,2))</f>
        <v>0</v>
      </c>
      <c r="H307" s="2">
        <f>SUMIFS(VI_Debitos!$V:$V,VI_Debitos!$H:$H,$C307,VI_Debitos!$T:$T,$D307,VI_Debitos!$R:$R,LEFT(PAGADO!H$1,4),VI_Debitos!$Q:$Q,RIGHT(H$1,2))</f>
        <v>0</v>
      </c>
      <c r="I307" s="2">
        <f>SUMIFS(VI_Debitos!$V:$V,VI_Debitos!$H:$H,$C307,VI_Debitos!$T:$T,$D307,VI_Debitos!$R:$R,LEFT(PAGADO!I$1,4),VI_Debitos!$Q:$Q,RIGHT(I$1,2))</f>
        <v>0</v>
      </c>
      <c r="J307" s="2">
        <f>SUMIFS(VI_Debitos!$V:$V,VI_Debitos!$H:$H,$C307,VI_Debitos!$T:$T,$D307,VI_Debitos!$R:$R,LEFT(PAGADO!J$1,4),VI_Debitos!$Q:$Q,RIGHT(J$1,2))</f>
        <v>0</v>
      </c>
      <c r="K307" s="2">
        <f>SUMIFS(VI_Debitos!$V:$V,VI_Debitos!$H:$H,$C307,VI_Debitos!$T:$T,$D307,VI_Debitos!$R:$R,LEFT(PAGADO!K$1,4),VI_Debitos!$Q:$Q,RIGHT(K$1,2))</f>
        <v>0</v>
      </c>
      <c r="L307" s="2">
        <f>SUMIFS(VI_Debitos!$V:$V,VI_Debitos!$H:$H,$C307,VI_Debitos!$T:$T,$D307,VI_Debitos!$R:$R,LEFT(PAGADO!L$1,4),VI_Debitos!$Q:$Q,RIGHT(L$1,2))</f>
        <v>0</v>
      </c>
      <c r="M307" s="2">
        <f>SUMIFS(VI_Debitos!$V:$V,VI_Debitos!$H:$H,$C307,VI_Debitos!$T:$T,$D307,VI_Debitos!$R:$R,LEFT(PAGADO!M$1,4),VI_Debitos!$Q:$Q,RIGHT(M$1,2))</f>
        <v>0</v>
      </c>
      <c r="N307" s="2">
        <f>SUMIFS(VI_Debitos!$V:$V,VI_Debitos!$H:$H,$C307,VI_Debitos!$T:$T,$D307,VI_Debitos!$R:$R,LEFT(PAGADO!N$1,4),VI_Debitos!$Q:$Q,RIGHT(N$1,2))</f>
        <v>0</v>
      </c>
      <c r="O307" s="2">
        <f>SUMIFS(VI_Debitos!$V:$V,VI_Debitos!$H:$H,$C307,VI_Debitos!$T:$T,$D307,VI_Debitos!$R:$R,LEFT(PAGADO!O$1,4),VI_Debitos!$Q:$Q,RIGHT(O$1,2))</f>
        <v>0</v>
      </c>
      <c r="P307" s="2">
        <f>SUMIFS(VI_Debitos!$V:$V,VI_Debitos!$H:$H,$C307,VI_Debitos!$T:$T,$D307,VI_Debitos!$R:$R,LEFT(PAGADO!P$1,4),VI_Debitos!$Q:$Q,RIGHT(P$1,2))</f>
        <v>0</v>
      </c>
      <c r="Q307" s="2">
        <f>SUMIFS(VI_Debitos!$V:$V,VI_Debitos!$H:$H,$C307,VI_Debitos!$T:$T,$D307,VI_Debitos!$R:$R,LEFT(PAGADO!Q$1,4),VI_Debitos!$Q:$Q,RIGHT(Q$1,2))</f>
        <v>0</v>
      </c>
      <c r="R307" s="2">
        <f t="shared" si="4"/>
        <v>0</v>
      </c>
    </row>
    <row r="308" spans="6:18">
      <c r="F308" s="2">
        <f>SUMIFS(VI_Debitos!$V:$V,VI_Debitos!$H:$H,$C308,VI_Debitos!$T:$T,$D308,VI_Debitos!$R:$R,LEFT(PAGADO!F$1,4),VI_Debitos!$Q:$Q,RIGHT(F$1,2))</f>
        <v>0</v>
      </c>
      <c r="G308" s="2">
        <f>SUMIFS(VI_Debitos!$V:$V,VI_Debitos!$H:$H,$C308,VI_Debitos!$T:$T,$D308,VI_Debitos!$R:$R,LEFT(PAGADO!G$1,4),VI_Debitos!$Q:$Q,RIGHT(G$1,2))</f>
        <v>0</v>
      </c>
      <c r="H308" s="2">
        <f>SUMIFS(VI_Debitos!$V:$V,VI_Debitos!$H:$H,$C308,VI_Debitos!$T:$T,$D308,VI_Debitos!$R:$R,LEFT(PAGADO!H$1,4),VI_Debitos!$Q:$Q,RIGHT(H$1,2))</f>
        <v>0</v>
      </c>
      <c r="I308" s="2">
        <f>SUMIFS(VI_Debitos!$V:$V,VI_Debitos!$H:$H,$C308,VI_Debitos!$T:$T,$D308,VI_Debitos!$R:$R,LEFT(PAGADO!I$1,4),VI_Debitos!$Q:$Q,RIGHT(I$1,2))</f>
        <v>0</v>
      </c>
      <c r="J308" s="2">
        <f>SUMIFS(VI_Debitos!$V:$V,VI_Debitos!$H:$H,$C308,VI_Debitos!$T:$T,$D308,VI_Debitos!$R:$R,LEFT(PAGADO!J$1,4),VI_Debitos!$Q:$Q,RIGHT(J$1,2))</f>
        <v>0</v>
      </c>
      <c r="K308" s="2">
        <f>SUMIFS(VI_Debitos!$V:$V,VI_Debitos!$H:$H,$C308,VI_Debitos!$T:$T,$D308,VI_Debitos!$R:$R,LEFT(PAGADO!K$1,4),VI_Debitos!$Q:$Q,RIGHT(K$1,2))</f>
        <v>0</v>
      </c>
      <c r="L308" s="2">
        <f>SUMIFS(VI_Debitos!$V:$V,VI_Debitos!$H:$H,$C308,VI_Debitos!$T:$T,$D308,VI_Debitos!$R:$R,LEFT(PAGADO!L$1,4),VI_Debitos!$Q:$Q,RIGHT(L$1,2))</f>
        <v>0</v>
      </c>
      <c r="M308" s="2">
        <f>SUMIFS(VI_Debitos!$V:$V,VI_Debitos!$H:$H,$C308,VI_Debitos!$T:$T,$D308,VI_Debitos!$R:$R,LEFT(PAGADO!M$1,4),VI_Debitos!$Q:$Q,RIGHT(M$1,2))</f>
        <v>0</v>
      </c>
      <c r="N308" s="2">
        <f>SUMIFS(VI_Debitos!$V:$V,VI_Debitos!$H:$H,$C308,VI_Debitos!$T:$T,$D308,VI_Debitos!$R:$R,LEFT(PAGADO!N$1,4),VI_Debitos!$Q:$Q,RIGHT(N$1,2))</f>
        <v>0</v>
      </c>
      <c r="O308" s="2">
        <f>SUMIFS(VI_Debitos!$V:$V,VI_Debitos!$H:$H,$C308,VI_Debitos!$T:$T,$D308,VI_Debitos!$R:$R,LEFT(PAGADO!O$1,4),VI_Debitos!$Q:$Q,RIGHT(O$1,2))</f>
        <v>0</v>
      </c>
      <c r="P308" s="2">
        <f>SUMIFS(VI_Debitos!$V:$V,VI_Debitos!$H:$H,$C308,VI_Debitos!$T:$T,$D308,VI_Debitos!$R:$R,LEFT(PAGADO!P$1,4),VI_Debitos!$Q:$Q,RIGHT(P$1,2))</f>
        <v>0</v>
      </c>
      <c r="Q308" s="2">
        <f>SUMIFS(VI_Debitos!$V:$V,VI_Debitos!$H:$H,$C308,VI_Debitos!$T:$T,$D308,VI_Debitos!$R:$R,LEFT(PAGADO!Q$1,4),VI_Debitos!$Q:$Q,RIGHT(Q$1,2))</f>
        <v>0</v>
      </c>
      <c r="R308" s="2">
        <f t="shared" si="4"/>
        <v>0</v>
      </c>
    </row>
    <row r="309" spans="6:18">
      <c r="F309" s="2">
        <f>SUMIFS(VI_Debitos!$V:$V,VI_Debitos!$H:$H,$C309,VI_Debitos!$T:$T,$D309,VI_Debitos!$R:$R,LEFT(PAGADO!F$1,4),VI_Debitos!$Q:$Q,RIGHT(F$1,2))</f>
        <v>0</v>
      </c>
      <c r="G309" s="2">
        <f>SUMIFS(VI_Debitos!$V:$V,VI_Debitos!$H:$H,$C309,VI_Debitos!$T:$T,$D309,VI_Debitos!$R:$R,LEFT(PAGADO!G$1,4),VI_Debitos!$Q:$Q,RIGHT(G$1,2))</f>
        <v>0</v>
      </c>
      <c r="H309" s="2">
        <f>SUMIFS(VI_Debitos!$V:$V,VI_Debitos!$H:$H,$C309,VI_Debitos!$T:$T,$D309,VI_Debitos!$R:$R,LEFT(PAGADO!H$1,4),VI_Debitos!$Q:$Q,RIGHT(H$1,2))</f>
        <v>0</v>
      </c>
      <c r="I309" s="2">
        <f>SUMIFS(VI_Debitos!$V:$V,VI_Debitos!$H:$H,$C309,VI_Debitos!$T:$T,$D309,VI_Debitos!$R:$R,LEFT(PAGADO!I$1,4),VI_Debitos!$Q:$Q,RIGHT(I$1,2))</f>
        <v>0</v>
      </c>
      <c r="J309" s="2">
        <f>SUMIFS(VI_Debitos!$V:$V,VI_Debitos!$H:$H,$C309,VI_Debitos!$T:$T,$D309,VI_Debitos!$R:$R,LEFT(PAGADO!J$1,4),VI_Debitos!$Q:$Q,RIGHT(J$1,2))</f>
        <v>0</v>
      </c>
      <c r="K309" s="2">
        <f>SUMIFS(VI_Debitos!$V:$V,VI_Debitos!$H:$H,$C309,VI_Debitos!$T:$T,$D309,VI_Debitos!$R:$R,LEFT(PAGADO!K$1,4),VI_Debitos!$Q:$Q,RIGHT(K$1,2))</f>
        <v>0</v>
      </c>
      <c r="L309" s="2">
        <f>SUMIFS(VI_Debitos!$V:$V,VI_Debitos!$H:$H,$C309,VI_Debitos!$T:$T,$D309,VI_Debitos!$R:$R,LEFT(PAGADO!L$1,4),VI_Debitos!$Q:$Q,RIGHT(L$1,2))</f>
        <v>0</v>
      </c>
      <c r="M309" s="2">
        <f>SUMIFS(VI_Debitos!$V:$V,VI_Debitos!$H:$H,$C309,VI_Debitos!$T:$T,$D309,VI_Debitos!$R:$R,LEFT(PAGADO!M$1,4),VI_Debitos!$Q:$Q,RIGHT(M$1,2))</f>
        <v>0</v>
      </c>
      <c r="N309" s="2">
        <f>SUMIFS(VI_Debitos!$V:$V,VI_Debitos!$H:$H,$C309,VI_Debitos!$T:$T,$D309,VI_Debitos!$R:$R,LEFT(PAGADO!N$1,4),VI_Debitos!$Q:$Q,RIGHT(N$1,2))</f>
        <v>0</v>
      </c>
      <c r="O309" s="2">
        <f>SUMIFS(VI_Debitos!$V:$V,VI_Debitos!$H:$H,$C309,VI_Debitos!$T:$T,$D309,VI_Debitos!$R:$R,LEFT(PAGADO!O$1,4),VI_Debitos!$Q:$Q,RIGHT(O$1,2))</f>
        <v>0</v>
      </c>
      <c r="P309" s="2">
        <f>SUMIFS(VI_Debitos!$V:$V,VI_Debitos!$H:$H,$C309,VI_Debitos!$T:$T,$D309,VI_Debitos!$R:$R,LEFT(PAGADO!P$1,4),VI_Debitos!$Q:$Q,RIGHT(P$1,2))</f>
        <v>0</v>
      </c>
      <c r="Q309" s="2">
        <f>SUMIFS(VI_Debitos!$V:$V,VI_Debitos!$H:$H,$C309,VI_Debitos!$T:$T,$D309,VI_Debitos!$R:$R,LEFT(PAGADO!Q$1,4),VI_Debitos!$Q:$Q,RIGHT(Q$1,2))</f>
        <v>0</v>
      </c>
      <c r="R309" s="2">
        <f t="shared" si="4"/>
        <v>0</v>
      </c>
    </row>
    <row r="310" spans="6:18">
      <c r="F310" s="2">
        <f>SUMIFS(VI_Debitos!$V:$V,VI_Debitos!$H:$H,$C310,VI_Debitos!$T:$T,$D310,VI_Debitos!$R:$R,LEFT(PAGADO!F$1,4),VI_Debitos!$Q:$Q,RIGHT(F$1,2))</f>
        <v>0</v>
      </c>
      <c r="G310" s="2">
        <f>SUMIFS(VI_Debitos!$V:$V,VI_Debitos!$H:$H,$C310,VI_Debitos!$T:$T,$D310,VI_Debitos!$R:$R,LEFT(PAGADO!G$1,4),VI_Debitos!$Q:$Q,RIGHT(G$1,2))</f>
        <v>0</v>
      </c>
      <c r="H310" s="2">
        <f>SUMIFS(VI_Debitos!$V:$V,VI_Debitos!$H:$H,$C310,VI_Debitos!$T:$T,$D310,VI_Debitos!$R:$R,LEFT(PAGADO!H$1,4),VI_Debitos!$Q:$Q,RIGHT(H$1,2))</f>
        <v>0</v>
      </c>
      <c r="I310" s="2">
        <f>SUMIFS(VI_Debitos!$V:$V,VI_Debitos!$H:$H,$C310,VI_Debitos!$T:$T,$D310,VI_Debitos!$R:$R,LEFT(PAGADO!I$1,4),VI_Debitos!$Q:$Q,RIGHT(I$1,2))</f>
        <v>0</v>
      </c>
      <c r="J310" s="2">
        <f>SUMIFS(VI_Debitos!$V:$V,VI_Debitos!$H:$H,$C310,VI_Debitos!$T:$T,$D310,VI_Debitos!$R:$R,LEFT(PAGADO!J$1,4),VI_Debitos!$Q:$Q,RIGHT(J$1,2))</f>
        <v>0</v>
      </c>
      <c r="K310" s="2">
        <f>SUMIFS(VI_Debitos!$V:$V,VI_Debitos!$H:$H,$C310,VI_Debitos!$T:$T,$D310,VI_Debitos!$R:$R,LEFT(PAGADO!K$1,4),VI_Debitos!$Q:$Q,RIGHT(K$1,2))</f>
        <v>0</v>
      </c>
      <c r="L310" s="2">
        <f>SUMIFS(VI_Debitos!$V:$V,VI_Debitos!$H:$H,$C310,VI_Debitos!$T:$T,$D310,VI_Debitos!$R:$R,LEFT(PAGADO!L$1,4),VI_Debitos!$Q:$Q,RIGHT(L$1,2))</f>
        <v>0</v>
      </c>
      <c r="M310" s="2">
        <f>SUMIFS(VI_Debitos!$V:$V,VI_Debitos!$H:$H,$C310,VI_Debitos!$T:$T,$D310,VI_Debitos!$R:$R,LEFT(PAGADO!M$1,4),VI_Debitos!$Q:$Q,RIGHT(M$1,2))</f>
        <v>0</v>
      </c>
      <c r="N310" s="2">
        <f>SUMIFS(VI_Debitos!$V:$V,VI_Debitos!$H:$H,$C310,VI_Debitos!$T:$T,$D310,VI_Debitos!$R:$R,LEFT(PAGADO!N$1,4),VI_Debitos!$Q:$Q,RIGHT(N$1,2))</f>
        <v>0</v>
      </c>
      <c r="O310" s="2">
        <f>SUMIFS(VI_Debitos!$V:$V,VI_Debitos!$H:$H,$C310,VI_Debitos!$T:$T,$D310,VI_Debitos!$R:$R,LEFT(PAGADO!O$1,4),VI_Debitos!$Q:$Q,RIGHT(O$1,2))</f>
        <v>0</v>
      </c>
      <c r="P310" s="2">
        <f>SUMIFS(VI_Debitos!$V:$V,VI_Debitos!$H:$H,$C310,VI_Debitos!$T:$T,$D310,VI_Debitos!$R:$R,LEFT(PAGADO!P$1,4),VI_Debitos!$Q:$Q,RIGHT(P$1,2))</f>
        <v>0</v>
      </c>
      <c r="Q310" s="2">
        <f>SUMIFS(VI_Debitos!$V:$V,VI_Debitos!$H:$H,$C310,VI_Debitos!$T:$T,$D310,VI_Debitos!$R:$R,LEFT(PAGADO!Q$1,4),VI_Debitos!$Q:$Q,RIGHT(Q$1,2))</f>
        <v>0</v>
      </c>
      <c r="R310" s="2">
        <f t="shared" si="4"/>
        <v>0</v>
      </c>
    </row>
    <row r="311" spans="6:18">
      <c r="F311" s="2">
        <f>SUMIFS(VI_Debitos!$V:$V,VI_Debitos!$H:$H,$C311,VI_Debitos!$T:$T,$D311,VI_Debitos!$R:$R,LEFT(PAGADO!F$1,4),VI_Debitos!$Q:$Q,RIGHT(F$1,2))</f>
        <v>0</v>
      </c>
      <c r="G311" s="2">
        <f>SUMIFS(VI_Debitos!$V:$V,VI_Debitos!$H:$H,$C311,VI_Debitos!$T:$T,$D311,VI_Debitos!$R:$R,LEFT(PAGADO!G$1,4),VI_Debitos!$Q:$Q,RIGHT(G$1,2))</f>
        <v>0</v>
      </c>
      <c r="H311" s="2">
        <f>SUMIFS(VI_Debitos!$V:$V,VI_Debitos!$H:$H,$C311,VI_Debitos!$T:$T,$D311,VI_Debitos!$R:$R,LEFT(PAGADO!H$1,4),VI_Debitos!$Q:$Q,RIGHT(H$1,2))</f>
        <v>0</v>
      </c>
      <c r="I311" s="2">
        <f>SUMIFS(VI_Debitos!$V:$V,VI_Debitos!$H:$H,$C311,VI_Debitos!$T:$T,$D311,VI_Debitos!$R:$R,LEFT(PAGADO!I$1,4),VI_Debitos!$Q:$Q,RIGHT(I$1,2))</f>
        <v>0</v>
      </c>
      <c r="J311" s="2">
        <f>SUMIFS(VI_Debitos!$V:$V,VI_Debitos!$H:$H,$C311,VI_Debitos!$T:$T,$D311,VI_Debitos!$R:$R,LEFT(PAGADO!J$1,4),VI_Debitos!$Q:$Q,RIGHT(J$1,2))</f>
        <v>0</v>
      </c>
      <c r="K311" s="2">
        <f>SUMIFS(VI_Debitos!$V:$V,VI_Debitos!$H:$H,$C311,VI_Debitos!$T:$T,$D311,VI_Debitos!$R:$R,LEFT(PAGADO!K$1,4),VI_Debitos!$Q:$Q,RIGHT(K$1,2))</f>
        <v>0</v>
      </c>
      <c r="L311" s="2">
        <f>SUMIFS(VI_Debitos!$V:$V,VI_Debitos!$H:$H,$C311,VI_Debitos!$T:$T,$D311,VI_Debitos!$R:$R,LEFT(PAGADO!L$1,4),VI_Debitos!$Q:$Q,RIGHT(L$1,2))</f>
        <v>0</v>
      </c>
      <c r="M311" s="2">
        <f>SUMIFS(VI_Debitos!$V:$V,VI_Debitos!$H:$H,$C311,VI_Debitos!$T:$T,$D311,VI_Debitos!$R:$R,LEFT(PAGADO!M$1,4),VI_Debitos!$Q:$Q,RIGHT(M$1,2))</f>
        <v>0</v>
      </c>
      <c r="N311" s="2">
        <f>SUMIFS(VI_Debitos!$V:$V,VI_Debitos!$H:$H,$C311,VI_Debitos!$T:$T,$D311,VI_Debitos!$R:$R,LEFT(PAGADO!N$1,4),VI_Debitos!$Q:$Q,RIGHT(N$1,2))</f>
        <v>0</v>
      </c>
      <c r="O311" s="2">
        <f>SUMIFS(VI_Debitos!$V:$V,VI_Debitos!$H:$H,$C311,VI_Debitos!$T:$T,$D311,VI_Debitos!$R:$R,LEFT(PAGADO!O$1,4),VI_Debitos!$Q:$Q,RIGHT(O$1,2))</f>
        <v>0</v>
      </c>
      <c r="P311" s="2">
        <f>SUMIFS(VI_Debitos!$V:$V,VI_Debitos!$H:$H,$C311,VI_Debitos!$T:$T,$D311,VI_Debitos!$R:$R,LEFT(PAGADO!P$1,4),VI_Debitos!$Q:$Q,RIGHT(P$1,2))</f>
        <v>0</v>
      </c>
      <c r="Q311" s="2">
        <f>SUMIFS(VI_Debitos!$V:$V,VI_Debitos!$H:$H,$C311,VI_Debitos!$T:$T,$D311,VI_Debitos!$R:$R,LEFT(PAGADO!Q$1,4),VI_Debitos!$Q:$Q,RIGHT(Q$1,2))</f>
        <v>0</v>
      </c>
      <c r="R311" s="2">
        <f t="shared" si="4"/>
        <v>0</v>
      </c>
    </row>
    <row r="312" spans="6:18">
      <c r="F312" s="2">
        <f>SUMIFS(VI_Debitos!$V:$V,VI_Debitos!$H:$H,$C312,VI_Debitos!$T:$T,$D312,VI_Debitos!$R:$R,LEFT(PAGADO!F$1,4),VI_Debitos!$Q:$Q,RIGHT(F$1,2))</f>
        <v>0</v>
      </c>
      <c r="G312" s="2">
        <f>SUMIFS(VI_Debitos!$V:$V,VI_Debitos!$H:$H,$C312,VI_Debitos!$T:$T,$D312,VI_Debitos!$R:$R,LEFT(PAGADO!G$1,4),VI_Debitos!$Q:$Q,RIGHT(G$1,2))</f>
        <v>0</v>
      </c>
      <c r="H312" s="2">
        <f>SUMIFS(VI_Debitos!$V:$V,VI_Debitos!$H:$H,$C312,VI_Debitos!$T:$T,$D312,VI_Debitos!$R:$R,LEFT(PAGADO!H$1,4),VI_Debitos!$Q:$Q,RIGHT(H$1,2))</f>
        <v>0</v>
      </c>
      <c r="I312" s="2">
        <f>SUMIFS(VI_Debitos!$V:$V,VI_Debitos!$H:$H,$C312,VI_Debitos!$T:$T,$D312,VI_Debitos!$R:$R,LEFT(PAGADO!I$1,4),VI_Debitos!$Q:$Q,RIGHT(I$1,2))</f>
        <v>0</v>
      </c>
      <c r="J312" s="2">
        <f>SUMIFS(VI_Debitos!$V:$V,VI_Debitos!$H:$H,$C312,VI_Debitos!$T:$T,$D312,VI_Debitos!$R:$R,LEFT(PAGADO!J$1,4),VI_Debitos!$Q:$Q,RIGHT(J$1,2))</f>
        <v>0</v>
      </c>
      <c r="K312" s="2">
        <f>SUMIFS(VI_Debitos!$V:$V,VI_Debitos!$H:$H,$C312,VI_Debitos!$T:$T,$D312,VI_Debitos!$R:$R,LEFT(PAGADO!K$1,4),VI_Debitos!$Q:$Q,RIGHT(K$1,2))</f>
        <v>0</v>
      </c>
      <c r="L312" s="2">
        <f>SUMIFS(VI_Debitos!$V:$V,VI_Debitos!$H:$H,$C312,VI_Debitos!$T:$T,$D312,VI_Debitos!$R:$R,LEFT(PAGADO!L$1,4),VI_Debitos!$Q:$Q,RIGHT(L$1,2))</f>
        <v>0</v>
      </c>
      <c r="M312" s="2">
        <f>SUMIFS(VI_Debitos!$V:$V,VI_Debitos!$H:$H,$C312,VI_Debitos!$T:$T,$D312,VI_Debitos!$R:$R,LEFT(PAGADO!M$1,4),VI_Debitos!$Q:$Q,RIGHT(M$1,2))</f>
        <v>0</v>
      </c>
      <c r="N312" s="2">
        <f>SUMIFS(VI_Debitos!$V:$V,VI_Debitos!$H:$H,$C312,VI_Debitos!$T:$T,$D312,VI_Debitos!$R:$R,LEFT(PAGADO!N$1,4),VI_Debitos!$Q:$Q,RIGHT(N$1,2))</f>
        <v>0</v>
      </c>
      <c r="O312" s="2">
        <f>SUMIFS(VI_Debitos!$V:$V,VI_Debitos!$H:$H,$C312,VI_Debitos!$T:$T,$D312,VI_Debitos!$R:$R,LEFT(PAGADO!O$1,4),VI_Debitos!$Q:$Q,RIGHT(O$1,2))</f>
        <v>0</v>
      </c>
      <c r="P312" s="2">
        <f>SUMIFS(VI_Debitos!$V:$V,VI_Debitos!$H:$H,$C312,VI_Debitos!$T:$T,$D312,VI_Debitos!$R:$R,LEFT(PAGADO!P$1,4),VI_Debitos!$Q:$Q,RIGHT(P$1,2))</f>
        <v>0</v>
      </c>
      <c r="Q312" s="2">
        <f>SUMIFS(VI_Debitos!$V:$V,VI_Debitos!$H:$H,$C312,VI_Debitos!$T:$T,$D312,VI_Debitos!$R:$R,LEFT(PAGADO!Q$1,4),VI_Debitos!$Q:$Q,RIGHT(Q$1,2))</f>
        <v>0</v>
      </c>
      <c r="R312" s="2">
        <f t="shared" si="4"/>
        <v>0</v>
      </c>
    </row>
    <row r="313" spans="6:18">
      <c r="F313" s="2">
        <f>SUMIFS(VI_Debitos!$V:$V,VI_Debitos!$H:$H,$C313,VI_Debitos!$T:$T,$D313,VI_Debitos!$R:$R,LEFT(PAGADO!F$1,4),VI_Debitos!$Q:$Q,RIGHT(F$1,2))</f>
        <v>0</v>
      </c>
      <c r="G313" s="2">
        <f>SUMIFS(VI_Debitos!$V:$V,VI_Debitos!$H:$H,$C313,VI_Debitos!$T:$T,$D313,VI_Debitos!$R:$R,LEFT(PAGADO!G$1,4),VI_Debitos!$Q:$Q,RIGHT(G$1,2))</f>
        <v>0</v>
      </c>
      <c r="H313" s="2">
        <f>SUMIFS(VI_Debitos!$V:$V,VI_Debitos!$H:$H,$C313,VI_Debitos!$T:$T,$D313,VI_Debitos!$R:$R,LEFT(PAGADO!H$1,4),VI_Debitos!$Q:$Q,RIGHT(H$1,2))</f>
        <v>0</v>
      </c>
      <c r="I313" s="2">
        <f>SUMIFS(VI_Debitos!$V:$V,VI_Debitos!$H:$H,$C313,VI_Debitos!$T:$T,$D313,VI_Debitos!$R:$R,LEFT(PAGADO!I$1,4),VI_Debitos!$Q:$Q,RIGHT(I$1,2))</f>
        <v>0</v>
      </c>
      <c r="J313" s="2">
        <f>SUMIFS(VI_Debitos!$V:$V,VI_Debitos!$H:$H,$C313,VI_Debitos!$T:$T,$D313,VI_Debitos!$R:$R,LEFT(PAGADO!J$1,4),VI_Debitos!$Q:$Q,RIGHT(J$1,2))</f>
        <v>0</v>
      </c>
      <c r="K313" s="2">
        <f>SUMIFS(VI_Debitos!$V:$V,VI_Debitos!$H:$H,$C313,VI_Debitos!$T:$T,$D313,VI_Debitos!$R:$R,LEFT(PAGADO!K$1,4),VI_Debitos!$Q:$Q,RIGHT(K$1,2))</f>
        <v>0</v>
      </c>
      <c r="L313" s="2">
        <f>SUMIFS(VI_Debitos!$V:$V,VI_Debitos!$H:$H,$C313,VI_Debitos!$T:$T,$D313,VI_Debitos!$R:$R,LEFT(PAGADO!L$1,4),VI_Debitos!$Q:$Q,RIGHT(L$1,2))</f>
        <v>0</v>
      </c>
      <c r="M313" s="2">
        <f>SUMIFS(VI_Debitos!$V:$V,VI_Debitos!$H:$H,$C313,VI_Debitos!$T:$T,$D313,VI_Debitos!$R:$R,LEFT(PAGADO!M$1,4),VI_Debitos!$Q:$Q,RIGHT(M$1,2))</f>
        <v>0</v>
      </c>
      <c r="N313" s="2">
        <f>SUMIFS(VI_Debitos!$V:$V,VI_Debitos!$H:$H,$C313,VI_Debitos!$T:$T,$D313,VI_Debitos!$R:$R,LEFT(PAGADO!N$1,4),VI_Debitos!$Q:$Q,RIGHT(N$1,2))</f>
        <v>0</v>
      </c>
      <c r="O313" s="2">
        <f>SUMIFS(VI_Debitos!$V:$V,VI_Debitos!$H:$H,$C313,VI_Debitos!$T:$T,$D313,VI_Debitos!$R:$R,LEFT(PAGADO!O$1,4),VI_Debitos!$Q:$Q,RIGHT(O$1,2))</f>
        <v>0</v>
      </c>
      <c r="P313" s="2">
        <f>SUMIFS(VI_Debitos!$V:$V,VI_Debitos!$H:$H,$C313,VI_Debitos!$T:$T,$D313,VI_Debitos!$R:$R,LEFT(PAGADO!P$1,4),VI_Debitos!$Q:$Q,RIGHT(P$1,2))</f>
        <v>0</v>
      </c>
      <c r="Q313" s="2">
        <f>SUMIFS(VI_Debitos!$V:$V,VI_Debitos!$H:$H,$C313,VI_Debitos!$T:$T,$D313,VI_Debitos!$R:$R,LEFT(PAGADO!Q$1,4),VI_Debitos!$Q:$Q,RIGHT(Q$1,2))</f>
        <v>0</v>
      </c>
      <c r="R313" s="2">
        <f t="shared" si="4"/>
        <v>0</v>
      </c>
    </row>
    <row r="314" spans="6:18">
      <c r="F314" s="2">
        <f>SUMIFS(VI_Debitos!$V:$V,VI_Debitos!$H:$H,$C314,VI_Debitos!$T:$T,$D314,VI_Debitos!$R:$R,LEFT(PAGADO!F$1,4),VI_Debitos!$Q:$Q,RIGHT(F$1,2))</f>
        <v>0</v>
      </c>
      <c r="G314" s="2">
        <f>SUMIFS(VI_Debitos!$V:$V,VI_Debitos!$H:$H,$C314,VI_Debitos!$T:$T,$D314,VI_Debitos!$R:$R,LEFT(PAGADO!G$1,4),VI_Debitos!$Q:$Q,RIGHT(G$1,2))</f>
        <v>0</v>
      </c>
      <c r="H314" s="2">
        <f>SUMIFS(VI_Debitos!$V:$V,VI_Debitos!$H:$H,$C314,VI_Debitos!$T:$T,$D314,VI_Debitos!$R:$R,LEFT(PAGADO!H$1,4),VI_Debitos!$Q:$Q,RIGHT(H$1,2))</f>
        <v>0</v>
      </c>
      <c r="I314" s="2">
        <f>SUMIFS(VI_Debitos!$V:$V,VI_Debitos!$H:$H,$C314,VI_Debitos!$T:$T,$D314,VI_Debitos!$R:$R,LEFT(PAGADO!I$1,4),VI_Debitos!$Q:$Q,RIGHT(I$1,2))</f>
        <v>0</v>
      </c>
      <c r="J314" s="2">
        <f>SUMIFS(VI_Debitos!$V:$V,VI_Debitos!$H:$H,$C314,VI_Debitos!$T:$T,$D314,VI_Debitos!$R:$R,LEFT(PAGADO!J$1,4),VI_Debitos!$Q:$Q,RIGHT(J$1,2))</f>
        <v>0</v>
      </c>
      <c r="K314" s="2">
        <f>SUMIFS(VI_Debitos!$V:$V,VI_Debitos!$H:$H,$C314,VI_Debitos!$T:$T,$D314,VI_Debitos!$R:$R,LEFT(PAGADO!K$1,4),VI_Debitos!$Q:$Q,RIGHT(K$1,2))</f>
        <v>0</v>
      </c>
      <c r="L314" s="2">
        <f>SUMIFS(VI_Debitos!$V:$V,VI_Debitos!$H:$H,$C314,VI_Debitos!$T:$T,$D314,VI_Debitos!$R:$R,LEFT(PAGADO!L$1,4),VI_Debitos!$Q:$Q,RIGHT(L$1,2))</f>
        <v>0</v>
      </c>
      <c r="M314" s="2">
        <f>SUMIFS(VI_Debitos!$V:$V,VI_Debitos!$H:$H,$C314,VI_Debitos!$T:$T,$D314,VI_Debitos!$R:$R,LEFT(PAGADO!M$1,4),VI_Debitos!$Q:$Q,RIGHT(M$1,2))</f>
        <v>0</v>
      </c>
      <c r="N314" s="2">
        <f>SUMIFS(VI_Debitos!$V:$V,VI_Debitos!$H:$H,$C314,VI_Debitos!$T:$T,$D314,VI_Debitos!$R:$R,LEFT(PAGADO!N$1,4),VI_Debitos!$Q:$Q,RIGHT(N$1,2))</f>
        <v>0</v>
      </c>
      <c r="O314" s="2">
        <f>SUMIFS(VI_Debitos!$V:$V,VI_Debitos!$H:$H,$C314,VI_Debitos!$T:$T,$D314,VI_Debitos!$R:$R,LEFT(PAGADO!O$1,4),VI_Debitos!$Q:$Q,RIGHT(O$1,2))</f>
        <v>0</v>
      </c>
      <c r="P314" s="2">
        <f>SUMIFS(VI_Debitos!$V:$V,VI_Debitos!$H:$H,$C314,VI_Debitos!$T:$T,$D314,VI_Debitos!$R:$R,LEFT(PAGADO!P$1,4),VI_Debitos!$Q:$Q,RIGHT(P$1,2))</f>
        <v>0</v>
      </c>
      <c r="Q314" s="2">
        <f>SUMIFS(VI_Debitos!$V:$V,VI_Debitos!$H:$H,$C314,VI_Debitos!$T:$T,$D314,VI_Debitos!$R:$R,LEFT(PAGADO!Q$1,4),VI_Debitos!$Q:$Q,RIGHT(Q$1,2))</f>
        <v>0</v>
      </c>
      <c r="R314" s="2">
        <f t="shared" si="4"/>
        <v>0</v>
      </c>
    </row>
    <row r="315" spans="6:18">
      <c r="F315" s="2">
        <f>SUMIFS(VI_Debitos!$V:$V,VI_Debitos!$H:$H,$C315,VI_Debitos!$T:$T,$D315,VI_Debitos!$R:$R,LEFT(PAGADO!F$1,4),VI_Debitos!$Q:$Q,RIGHT(F$1,2))</f>
        <v>0</v>
      </c>
      <c r="G315" s="2">
        <f>SUMIFS(VI_Debitos!$V:$V,VI_Debitos!$H:$H,$C315,VI_Debitos!$T:$T,$D315,VI_Debitos!$R:$R,LEFT(PAGADO!G$1,4),VI_Debitos!$Q:$Q,RIGHT(G$1,2))</f>
        <v>0</v>
      </c>
      <c r="H315" s="2">
        <f>SUMIFS(VI_Debitos!$V:$V,VI_Debitos!$H:$H,$C315,VI_Debitos!$T:$T,$D315,VI_Debitos!$R:$R,LEFT(PAGADO!H$1,4),VI_Debitos!$Q:$Q,RIGHT(H$1,2))</f>
        <v>0</v>
      </c>
      <c r="I315" s="2">
        <f>SUMIFS(VI_Debitos!$V:$V,VI_Debitos!$H:$H,$C315,VI_Debitos!$T:$T,$D315,VI_Debitos!$R:$R,LEFT(PAGADO!I$1,4),VI_Debitos!$Q:$Q,RIGHT(I$1,2))</f>
        <v>0</v>
      </c>
      <c r="J315" s="2">
        <f>SUMIFS(VI_Debitos!$V:$V,VI_Debitos!$H:$H,$C315,VI_Debitos!$T:$T,$D315,VI_Debitos!$R:$R,LEFT(PAGADO!J$1,4),VI_Debitos!$Q:$Q,RIGHT(J$1,2))</f>
        <v>0</v>
      </c>
      <c r="K315" s="2">
        <f>SUMIFS(VI_Debitos!$V:$V,VI_Debitos!$H:$H,$C315,VI_Debitos!$T:$T,$D315,VI_Debitos!$R:$R,LEFT(PAGADO!K$1,4),VI_Debitos!$Q:$Q,RIGHT(K$1,2))</f>
        <v>0</v>
      </c>
      <c r="L315" s="2">
        <f>SUMIFS(VI_Debitos!$V:$V,VI_Debitos!$H:$H,$C315,VI_Debitos!$T:$T,$D315,VI_Debitos!$R:$R,LEFT(PAGADO!L$1,4),VI_Debitos!$Q:$Q,RIGHT(L$1,2))</f>
        <v>0</v>
      </c>
      <c r="M315" s="2">
        <f>SUMIFS(VI_Debitos!$V:$V,VI_Debitos!$H:$H,$C315,VI_Debitos!$T:$T,$D315,VI_Debitos!$R:$R,LEFT(PAGADO!M$1,4),VI_Debitos!$Q:$Q,RIGHT(M$1,2))</f>
        <v>0</v>
      </c>
      <c r="N315" s="2">
        <f>SUMIFS(VI_Debitos!$V:$V,VI_Debitos!$H:$H,$C315,VI_Debitos!$T:$T,$D315,VI_Debitos!$R:$R,LEFT(PAGADO!N$1,4),VI_Debitos!$Q:$Q,RIGHT(N$1,2))</f>
        <v>0</v>
      </c>
      <c r="O315" s="2">
        <f>SUMIFS(VI_Debitos!$V:$V,VI_Debitos!$H:$H,$C315,VI_Debitos!$T:$T,$D315,VI_Debitos!$R:$R,LEFT(PAGADO!O$1,4),VI_Debitos!$Q:$Q,RIGHT(O$1,2))</f>
        <v>0</v>
      </c>
      <c r="P315" s="2">
        <f>SUMIFS(VI_Debitos!$V:$V,VI_Debitos!$H:$H,$C315,VI_Debitos!$T:$T,$D315,VI_Debitos!$R:$R,LEFT(PAGADO!P$1,4),VI_Debitos!$Q:$Q,RIGHT(P$1,2))</f>
        <v>0</v>
      </c>
      <c r="Q315" s="2">
        <f>SUMIFS(VI_Debitos!$V:$V,VI_Debitos!$H:$H,$C315,VI_Debitos!$T:$T,$D315,VI_Debitos!$R:$R,LEFT(PAGADO!Q$1,4),VI_Debitos!$Q:$Q,RIGHT(Q$1,2))</f>
        <v>0</v>
      </c>
      <c r="R315" s="2">
        <f t="shared" si="4"/>
        <v>0</v>
      </c>
    </row>
    <row r="316" spans="6:18">
      <c r="F316" s="2">
        <f>SUMIFS(VI_Debitos!$V:$V,VI_Debitos!$H:$H,$C316,VI_Debitos!$T:$T,$D316,VI_Debitos!$R:$R,LEFT(PAGADO!F$1,4),VI_Debitos!$Q:$Q,RIGHT(F$1,2))</f>
        <v>0</v>
      </c>
      <c r="G316" s="2">
        <f>SUMIFS(VI_Debitos!$V:$V,VI_Debitos!$H:$H,$C316,VI_Debitos!$T:$T,$D316,VI_Debitos!$R:$R,LEFT(PAGADO!G$1,4),VI_Debitos!$Q:$Q,RIGHT(G$1,2))</f>
        <v>0</v>
      </c>
      <c r="H316" s="2">
        <f>SUMIFS(VI_Debitos!$V:$V,VI_Debitos!$H:$H,$C316,VI_Debitos!$T:$T,$D316,VI_Debitos!$R:$R,LEFT(PAGADO!H$1,4),VI_Debitos!$Q:$Q,RIGHT(H$1,2))</f>
        <v>0</v>
      </c>
      <c r="I316" s="2">
        <f>SUMIFS(VI_Debitos!$V:$V,VI_Debitos!$H:$H,$C316,VI_Debitos!$T:$T,$D316,VI_Debitos!$R:$R,LEFT(PAGADO!I$1,4),VI_Debitos!$Q:$Q,RIGHT(I$1,2))</f>
        <v>0</v>
      </c>
      <c r="J316" s="2">
        <f>SUMIFS(VI_Debitos!$V:$V,VI_Debitos!$H:$H,$C316,VI_Debitos!$T:$T,$D316,VI_Debitos!$R:$R,LEFT(PAGADO!J$1,4),VI_Debitos!$Q:$Q,RIGHT(J$1,2))</f>
        <v>0</v>
      </c>
      <c r="K316" s="2">
        <f>SUMIFS(VI_Debitos!$V:$V,VI_Debitos!$H:$H,$C316,VI_Debitos!$T:$T,$D316,VI_Debitos!$R:$R,LEFT(PAGADO!K$1,4),VI_Debitos!$Q:$Q,RIGHT(K$1,2))</f>
        <v>0</v>
      </c>
      <c r="L316" s="2">
        <f>SUMIFS(VI_Debitos!$V:$V,VI_Debitos!$H:$H,$C316,VI_Debitos!$T:$T,$D316,VI_Debitos!$R:$R,LEFT(PAGADO!L$1,4),VI_Debitos!$Q:$Q,RIGHT(L$1,2))</f>
        <v>0</v>
      </c>
      <c r="M316" s="2">
        <f>SUMIFS(VI_Debitos!$V:$V,VI_Debitos!$H:$H,$C316,VI_Debitos!$T:$T,$D316,VI_Debitos!$R:$R,LEFT(PAGADO!M$1,4),VI_Debitos!$Q:$Q,RIGHT(M$1,2))</f>
        <v>0</v>
      </c>
      <c r="N316" s="2">
        <f>SUMIFS(VI_Debitos!$V:$V,VI_Debitos!$H:$H,$C316,VI_Debitos!$T:$T,$D316,VI_Debitos!$R:$R,LEFT(PAGADO!N$1,4),VI_Debitos!$Q:$Q,RIGHT(N$1,2))</f>
        <v>0</v>
      </c>
      <c r="O316" s="2">
        <f>SUMIFS(VI_Debitos!$V:$V,VI_Debitos!$H:$H,$C316,VI_Debitos!$T:$T,$D316,VI_Debitos!$R:$R,LEFT(PAGADO!O$1,4),VI_Debitos!$Q:$Q,RIGHT(O$1,2))</f>
        <v>0</v>
      </c>
      <c r="P316" s="2">
        <f>SUMIFS(VI_Debitos!$V:$V,VI_Debitos!$H:$H,$C316,VI_Debitos!$T:$T,$D316,VI_Debitos!$R:$R,LEFT(PAGADO!P$1,4),VI_Debitos!$Q:$Q,RIGHT(P$1,2))</f>
        <v>0</v>
      </c>
      <c r="Q316" s="2">
        <f>SUMIFS(VI_Debitos!$V:$V,VI_Debitos!$H:$H,$C316,VI_Debitos!$T:$T,$D316,VI_Debitos!$R:$R,LEFT(PAGADO!Q$1,4),VI_Debitos!$Q:$Q,RIGHT(Q$1,2))</f>
        <v>0</v>
      </c>
      <c r="R316" s="2">
        <f t="shared" si="4"/>
        <v>0</v>
      </c>
    </row>
    <row r="317" spans="6:18">
      <c r="F317" s="2">
        <f>SUMIFS(VI_Debitos!$V:$V,VI_Debitos!$H:$H,$C317,VI_Debitos!$T:$T,$D317,VI_Debitos!$R:$R,LEFT(PAGADO!F$1,4),VI_Debitos!$Q:$Q,RIGHT(F$1,2))</f>
        <v>0</v>
      </c>
      <c r="G317" s="2">
        <f>SUMIFS(VI_Debitos!$V:$V,VI_Debitos!$H:$H,$C317,VI_Debitos!$T:$T,$D317,VI_Debitos!$R:$R,LEFT(PAGADO!G$1,4),VI_Debitos!$Q:$Q,RIGHT(G$1,2))</f>
        <v>0</v>
      </c>
      <c r="H317" s="2">
        <f>SUMIFS(VI_Debitos!$V:$V,VI_Debitos!$H:$H,$C317,VI_Debitos!$T:$T,$D317,VI_Debitos!$R:$R,LEFT(PAGADO!H$1,4),VI_Debitos!$Q:$Q,RIGHT(H$1,2))</f>
        <v>0</v>
      </c>
      <c r="I317" s="2">
        <f>SUMIFS(VI_Debitos!$V:$V,VI_Debitos!$H:$H,$C317,VI_Debitos!$T:$T,$D317,VI_Debitos!$R:$R,LEFT(PAGADO!I$1,4),VI_Debitos!$Q:$Q,RIGHT(I$1,2))</f>
        <v>0</v>
      </c>
      <c r="J317" s="2">
        <f>SUMIFS(VI_Debitos!$V:$V,VI_Debitos!$H:$H,$C317,VI_Debitos!$T:$T,$D317,VI_Debitos!$R:$R,LEFT(PAGADO!J$1,4),VI_Debitos!$Q:$Q,RIGHT(J$1,2))</f>
        <v>0</v>
      </c>
      <c r="K317" s="2">
        <f>SUMIFS(VI_Debitos!$V:$V,VI_Debitos!$H:$H,$C317,VI_Debitos!$T:$T,$D317,VI_Debitos!$R:$R,LEFT(PAGADO!K$1,4),VI_Debitos!$Q:$Q,RIGHT(K$1,2))</f>
        <v>0</v>
      </c>
      <c r="L317" s="2">
        <f>SUMIFS(VI_Debitos!$V:$V,VI_Debitos!$H:$H,$C317,VI_Debitos!$T:$T,$D317,VI_Debitos!$R:$R,LEFT(PAGADO!L$1,4),VI_Debitos!$Q:$Q,RIGHT(L$1,2))</f>
        <v>0</v>
      </c>
      <c r="M317" s="2">
        <f>SUMIFS(VI_Debitos!$V:$V,VI_Debitos!$H:$H,$C317,VI_Debitos!$T:$T,$D317,VI_Debitos!$R:$R,LEFT(PAGADO!M$1,4),VI_Debitos!$Q:$Q,RIGHT(M$1,2))</f>
        <v>0</v>
      </c>
      <c r="N317" s="2">
        <f>SUMIFS(VI_Debitos!$V:$V,VI_Debitos!$H:$H,$C317,VI_Debitos!$T:$T,$D317,VI_Debitos!$R:$R,LEFT(PAGADO!N$1,4),VI_Debitos!$Q:$Q,RIGHT(N$1,2))</f>
        <v>0</v>
      </c>
      <c r="O317" s="2">
        <f>SUMIFS(VI_Debitos!$V:$V,VI_Debitos!$H:$H,$C317,VI_Debitos!$T:$T,$D317,VI_Debitos!$R:$R,LEFT(PAGADO!O$1,4),VI_Debitos!$Q:$Q,RIGHT(O$1,2))</f>
        <v>0</v>
      </c>
      <c r="P317" s="2">
        <f>SUMIFS(VI_Debitos!$V:$V,VI_Debitos!$H:$H,$C317,VI_Debitos!$T:$T,$D317,VI_Debitos!$R:$R,LEFT(PAGADO!P$1,4),VI_Debitos!$Q:$Q,RIGHT(P$1,2))</f>
        <v>0</v>
      </c>
      <c r="Q317" s="2">
        <f>SUMIFS(VI_Debitos!$V:$V,VI_Debitos!$H:$H,$C317,VI_Debitos!$T:$T,$D317,VI_Debitos!$R:$R,LEFT(PAGADO!Q$1,4),VI_Debitos!$Q:$Q,RIGHT(Q$1,2))</f>
        <v>0</v>
      </c>
      <c r="R317" s="2">
        <f t="shared" si="4"/>
        <v>0</v>
      </c>
    </row>
    <row r="318" spans="6:18">
      <c r="F318" s="2">
        <f>SUMIFS(VI_Debitos!$V:$V,VI_Debitos!$H:$H,$C318,VI_Debitos!$T:$T,$D318,VI_Debitos!$R:$R,LEFT(PAGADO!F$1,4),VI_Debitos!$Q:$Q,RIGHT(F$1,2))</f>
        <v>0</v>
      </c>
      <c r="G318" s="2">
        <f>SUMIFS(VI_Debitos!$V:$V,VI_Debitos!$H:$H,$C318,VI_Debitos!$T:$T,$D318,VI_Debitos!$R:$R,LEFT(PAGADO!G$1,4),VI_Debitos!$Q:$Q,RIGHT(G$1,2))</f>
        <v>0</v>
      </c>
      <c r="H318" s="2">
        <f>SUMIFS(VI_Debitos!$V:$V,VI_Debitos!$H:$H,$C318,VI_Debitos!$T:$T,$D318,VI_Debitos!$R:$R,LEFT(PAGADO!H$1,4),VI_Debitos!$Q:$Q,RIGHT(H$1,2))</f>
        <v>0</v>
      </c>
      <c r="I318" s="2">
        <f>SUMIFS(VI_Debitos!$V:$V,VI_Debitos!$H:$H,$C318,VI_Debitos!$T:$T,$D318,VI_Debitos!$R:$R,LEFT(PAGADO!I$1,4),VI_Debitos!$Q:$Q,RIGHT(I$1,2))</f>
        <v>0</v>
      </c>
      <c r="J318" s="2">
        <f>SUMIFS(VI_Debitos!$V:$V,VI_Debitos!$H:$H,$C318,VI_Debitos!$T:$T,$D318,VI_Debitos!$R:$R,LEFT(PAGADO!J$1,4),VI_Debitos!$Q:$Q,RIGHT(J$1,2))</f>
        <v>0</v>
      </c>
      <c r="K318" s="2">
        <f>SUMIFS(VI_Debitos!$V:$V,VI_Debitos!$H:$H,$C318,VI_Debitos!$T:$T,$D318,VI_Debitos!$R:$R,LEFT(PAGADO!K$1,4),VI_Debitos!$Q:$Q,RIGHT(K$1,2))</f>
        <v>0</v>
      </c>
      <c r="L318" s="2">
        <f>SUMIFS(VI_Debitos!$V:$V,VI_Debitos!$H:$H,$C318,VI_Debitos!$T:$T,$D318,VI_Debitos!$R:$R,LEFT(PAGADO!L$1,4),VI_Debitos!$Q:$Q,RIGHT(L$1,2))</f>
        <v>0</v>
      </c>
      <c r="M318" s="2">
        <f>SUMIFS(VI_Debitos!$V:$V,VI_Debitos!$H:$H,$C318,VI_Debitos!$T:$T,$D318,VI_Debitos!$R:$R,LEFT(PAGADO!M$1,4),VI_Debitos!$Q:$Q,RIGHT(M$1,2))</f>
        <v>0</v>
      </c>
      <c r="N318" s="2">
        <f>SUMIFS(VI_Debitos!$V:$V,VI_Debitos!$H:$H,$C318,VI_Debitos!$T:$T,$D318,VI_Debitos!$R:$R,LEFT(PAGADO!N$1,4),VI_Debitos!$Q:$Q,RIGHT(N$1,2))</f>
        <v>0</v>
      </c>
      <c r="O318" s="2">
        <f>SUMIFS(VI_Debitos!$V:$V,VI_Debitos!$H:$H,$C318,VI_Debitos!$T:$T,$D318,VI_Debitos!$R:$R,LEFT(PAGADO!O$1,4),VI_Debitos!$Q:$Q,RIGHT(O$1,2))</f>
        <v>0</v>
      </c>
      <c r="P318" s="2">
        <f>SUMIFS(VI_Debitos!$V:$V,VI_Debitos!$H:$H,$C318,VI_Debitos!$T:$T,$D318,VI_Debitos!$R:$R,LEFT(PAGADO!P$1,4),VI_Debitos!$Q:$Q,RIGHT(P$1,2))</f>
        <v>0</v>
      </c>
      <c r="Q318" s="2">
        <f>SUMIFS(VI_Debitos!$V:$V,VI_Debitos!$H:$H,$C318,VI_Debitos!$T:$T,$D318,VI_Debitos!$R:$R,LEFT(PAGADO!Q$1,4),VI_Debitos!$Q:$Q,RIGHT(Q$1,2))</f>
        <v>0</v>
      </c>
      <c r="R318" s="2">
        <f t="shared" si="4"/>
        <v>0</v>
      </c>
    </row>
    <row r="319" spans="6:18">
      <c r="F319" s="2">
        <f>SUMIFS(VI_Debitos!$V:$V,VI_Debitos!$H:$H,$C319,VI_Debitos!$T:$T,$D319,VI_Debitos!$R:$R,LEFT(PAGADO!F$1,4),VI_Debitos!$Q:$Q,RIGHT(F$1,2))</f>
        <v>0</v>
      </c>
      <c r="G319" s="2">
        <f>SUMIFS(VI_Debitos!$V:$V,VI_Debitos!$H:$H,$C319,VI_Debitos!$T:$T,$D319,VI_Debitos!$R:$R,LEFT(PAGADO!G$1,4),VI_Debitos!$Q:$Q,RIGHT(G$1,2))</f>
        <v>0</v>
      </c>
      <c r="H319" s="2">
        <f>SUMIFS(VI_Debitos!$V:$V,VI_Debitos!$H:$H,$C319,VI_Debitos!$T:$T,$D319,VI_Debitos!$R:$R,LEFT(PAGADO!H$1,4),VI_Debitos!$Q:$Q,RIGHT(H$1,2))</f>
        <v>0</v>
      </c>
      <c r="I319" s="2">
        <f>SUMIFS(VI_Debitos!$V:$V,VI_Debitos!$H:$H,$C319,VI_Debitos!$T:$T,$D319,VI_Debitos!$R:$R,LEFT(PAGADO!I$1,4),VI_Debitos!$Q:$Q,RIGHT(I$1,2))</f>
        <v>0</v>
      </c>
      <c r="J319" s="2">
        <f>SUMIFS(VI_Debitos!$V:$V,VI_Debitos!$H:$H,$C319,VI_Debitos!$T:$T,$D319,VI_Debitos!$R:$R,LEFT(PAGADO!J$1,4),VI_Debitos!$Q:$Q,RIGHT(J$1,2))</f>
        <v>0</v>
      </c>
      <c r="K319" s="2">
        <f>SUMIFS(VI_Debitos!$V:$V,VI_Debitos!$H:$H,$C319,VI_Debitos!$T:$T,$D319,VI_Debitos!$R:$R,LEFT(PAGADO!K$1,4),VI_Debitos!$Q:$Q,RIGHT(K$1,2))</f>
        <v>0</v>
      </c>
      <c r="L319" s="2">
        <f>SUMIFS(VI_Debitos!$V:$V,VI_Debitos!$H:$H,$C319,VI_Debitos!$T:$T,$D319,VI_Debitos!$R:$R,LEFT(PAGADO!L$1,4),VI_Debitos!$Q:$Q,RIGHT(L$1,2))</f>
        <v>0</v>
      </c>
      <c r="M319" s="2">
        <f>SUMIFS(VI_Debitos!$V:$V,VI_Debitos!$H:$H,$C319,VI_Debitos!$T:$T,$D319,VI_Debitos!$R:$R,LEFT(PAGADO!M$1,4),VI_Debitos!$Q:$Q,RIGHT(M$1,2))</f>
        <v>0</v>
      </c>
      <c r="N319" s="2">
        <f>SUMIFS(VI_Debitos!$V:$V,VI_Debitos!$H:$H,$C319,VI_Debitos!$T:$T,$D319,VI_Debitos!$R:$R,LEFT(PAGADO!N$1,4),VI_Debitos!$Q:$Q,RIGHT(N$1,2))</f>
        <v>0</v>
      </c>
      <c r="O319" s="2">
        <f>SUMIFS(VI_Debitos!$V:$V,VI_Debitos!$H:$H,$C319,VI_Debitos!$T:$T,$D319,VI_Debitos!$R:$R,LEFT(PAGADO!O$1,4),VI_Debitos!$Q:$Q,RIGHT(O$1,2))</f>
        <v>0</v>
      </c>
      <c r="P319" s="2">
        <f>SUMIFS(VI_Debitos!$V:$V,VI_Debitos!$H:$H,$C319,VI_Debitos!$T:$T,$D319,VI_Debitos!$R:$R,LEFT(PAGADO!P$1,4),VI_Debitos!$Q:$Q,RIGHT(P$1,2))</f>
        <v>0</v>
      </c>
      <c r="Q319" s="2">
        <f>SUMIFS(VI_Debitos!$V:$V,VI_Debitos!$H:$H,$C319,VI_Debitos!$T:$T,$D319,VI_Debitos!$R:$R,LEFT(PAGADO!Q$1,4),VI_Debitos!$Q:$Q,RIGHT(Q$1,2))</f>
        <v>0</v>
      </c>
      <c r="R319" s="2">
        <f t="shared" si="4"/>
        <v>0</v>
      </c>
    </row>
    <row r="320" spans="6:18">
      <c r="F320" s="2">
        <f>SUMIFS(VI_Debitos!$V:$V,VI_Debitos!$H:$H,$C320,VI_Debitos!$T:$T,$D320,VI_Debitos!$R:$R,LEFT(PAGADO!F$1,4),VI_Debitos!$Q:$Q,RIGHT(F$1,2))</f>
        <v>0</v>
      </c>
      <c r="G320" s="2">
        <f>SUMIFS(VI_Debitos!$V:$V,VI_Debitos!$H:$H,$C320,VI_Debitos!$T:$T,$D320,VI_Debitos!$R:$R,LEFT(PAGADO!G$1,4),VI_Debitos!$Q:$Q,RIGHT(G$1,2))</f>
        <v>0</v>
      </c>
      <c r="H320" s="2">
        <f>SUMIFS(VI_Debitos!$V:$V,VI_Debitos!$H:$H,$C320,VI_Debitos!$T:$T,$D320,VI_Debitos!$R:$R,LEFT(PAGADO!H$1,4),VI_Debitos!$Q:$Q,RIGHT(H$1,2))</f>
        <v>0</v>
      </c>
      <c r="I320" s="2">
        <f>SUMIFS(VI_Debitos!$V:$V,VI_Debitos!$H:$H,$C320,VI_Debitos!$T:$T,$D320,VI_Debitos!$R:$R,LEFT(PAGADO!I$1,4),VI_Debitos!$Q:$Q,RIGHT(I$1,2))</f>
        <v>0</v>
      </c>
      <c r="J320" s="2">
        <f>SUMIFS(VI_Debitos!$V:$V,VI_Debitos!$H:$H,$C320,VI_Debitos!$T:$T,$D320,VI_Debitos!$R:$R,LEFT(PAGADO!J$1,4),VI_Debitos!$Q:$Q,RIGHT(J$1,2))</f>
        <v>0</v>
      </c>
      <c r="K320" s="2">
        <f>SUMIFS(VI_Debitos!$V:$V,VI_Debitos!$H:$H,$C320,VI_Debitos!$T:$T,$D320,VI_Debitos!$R:$R,LEFT(PAGADO!K$1,4),VI_Debitos!$Q:$Q,RIGHT(K$1,2))</f>
        <v>0</v>
      </c>
      <c r="L320" s="2">
        <f>SUMIFS(VI_Debitos!$V:$V,VI_Debitos!$H:$H,$C320,VI_Debitos!$T:$T,$D320,VI_Debitos!$R:$R,LEFT(PAGADO!L$1,4),VI_Debitos!$Q:$Q,RIGHT(L$1,2))</f>
        <v>0</v>
      </c>
      <c r="M320" s="2">
        <f>SUMIFS(VI_Debitos!$V:$V,VI_Debitos!$H:$H,$C320,VI_Debitos!$T:$T,$D320,VI_Debitos!$R:$R,LEFT(PAGADO!M$1,4),VI_Debitos!$Q:$Q,RIGHT(M$1,2))</f>
        <v>0</v>
      </c>
      <c r="N320" s="2">
        <f>SUMIFS(VI_Debitos!$V:$V,VI_Debitos!$H:$H,$C320,VI_Debitos!$T:$T,$D320,VI_Debitos!$R:$R,LEFT(PAGADO!N$1,4),VI_Debitos!$Q:$Q,RIGHT(N$1,2))</f>
        <v>0</v>
      </c>
      <c r="O320" s="2">
        <f>SUMIFS(VI_Debitos!$V:$V,VI_Debitos!$H:$H,$C320,VI_Debitos!$T:$T,$D320,VI_Debitos!$R:$R,LEFT(PAGADO!O$1,4),VI_Debitos!$Q:$Q,RIGHT(O$1,2))</f>
        <v>0</v>
      </c>
      <c r="P320" s="2">
        <f>SUMIFS(VI_Debitos!$V:$V,VI_Debitos!$H:$H,$C320,VI_Debitos!$T:$T,$D320,VI_Debitos!$R:$R,LEFT(PAGADO!P$1,4),VI_Debitos!$Q:$Q,RIGHT(P$1,2))</f>
        <v>0</v>
      </c>
      <c r="Q320" s="2">
        <f>SUMIFS(VI_Debitos!$V:$V,VI_Debitos!$H:$H,$C320,VI_Debitos!$T:$T,$D320,VI_Debitos!$R:$R,LEFT(PAGADO!Q$1,4),VI_Debitos!$Q:$Q,RIGHT(Q$1,2))</f>
        <v>0</v>
      </c>
      <c r="R320" s="2">
        <f t="shared" si="4"/>
        <v>0</v>
      </c>
    </row>
    <row r="321" spans="6:18">
      <c r="F321" s="2">
        <f>SUMIFS(VI_Debitos!$V:$V,VI_Debitos!$H:$H,$C321,VI_Debitos!$T:$T,$D321,VI_Debitos!$R:$R,LEFT(PAGADO!F$1,4),VI_Debitos!$Q:$Q,RIGHT(F$1,2))</f>
        <v>0</v>
      </c>
      <c r="G321" s="2">
        <f>SUMIFS(VI_Debitos!$V:$V,VI_Debitos!$H:$H,$C321,VI_Debitos!$T:$T,$D321,VI_Debitos!$R:$R,LEFT(PAGADO!G$1,4),VI_Debitos!$Q:$Q,RIGHT(G$1,2))</f>
        <v>0</v>
      </c>
      <c r="H321" s="2">
        <f>SUMIFS(VI_Debitos!$V:$V,VI_Debitos!$H:$H,$C321,VI_Debitos!$T:$T,$D321,VI_Debitos!$R:$R,LEFT(PAGADO!H$1,4),VI_Debitos!$Q:$Q,RIGHT(H$1,2))</f>
        <v>0</v>
      </c>
      <c r="I321" s="2">
        <f>SUMIFS(VI_Debitos!$V:$V,VI_Debitos!$H:$H,$C321,VI_Debitos!$T:$T,$D321,VI_Debitos!$R:$R,LEFT(PAGADO!I$1,4),VI_Debitos!$Q:$Q,RIGHT(I$1,2))</f>
        <v>0</v>
      </c>
      <c r="J321" s="2">
        <f>SUMIFS(VI_Debitos!$V:$V,VI_Debitos!$H:$H,$C321,VI_Debitos!$T:$T,$D321,VI_Debitos!$R:$R,LEFT(PAGADO!J$1,4),VI_Debitos!$Q:$Q,RIGHT(J$1,2))</f>
        <v>0</v>
      </c>
      <c r="K321" s="2">
        <f>SUMIFS(VI_Debitos!$V:$V,VI_Debitos!$H:$H,$C321,VI_Debitos!$T:$T,$D321,VI_Debitos!$R:$R,LEFT(PAGADO!K$1,4),VI_Debitos!$Q:$Q,RIGHT(K$1,2))</f>
        <v>0</v>
      </c>
      <c r="L321" s="2">
        <f>SUMIFS(VI_Debitos!$V:$V,VI_Debitos!$H:$H,$C321,VI_Debitos!$T:$T,$D321,VI_Debitos!$R:$R,LEFT(PAGADO!L$1,4),VI_Debitos!$Q:$Q,RIGHT(L$1,2))</f>
        <v>0</v>
      </c>
      <c r="M321" s="2">
        <f>SUMIFS(VI_Debitos!$V:$V,VI_Debitos!$H:$H,$C321,VI_Debitos!$T:$T,$D321,VI_Debitos!$R:$R,LEFT(PAGADO!M$1,4),VI_Debitos!$Q:$Q,RIGHT(M$1,2))</f>
        <v>0</v>
      </c>
      <c r="N321" s="2">
        <f>SUMIFS(VI_Debitos!$V:$V,VI_Debitos!$H:$H,$C321,VI_Debitos!$T:$T,$D321,VI_Debitos!$R:$R,LEFT(PAGADO!N$1,4),VI_Debitos!$Q:$Q,RIGHT(N$1,2))</f>
        <v>0</v>
      </c>
      <c r="O321" s="2">
        <f>SUMIFS(VI_Debitos!$V:$V,VI_Debitos!$H:$H,$C321,VI_Debitos!$T:$T,$D321,VI_Debitos!$R:$R,LEFT(PAGADO!O$1,4),VI_Debitos!$Q:$Q,RIGHT(O$1,2))</f>
        <v>0</v>
      </c>
      <c r="P321" s="2">
        <f>SUMIFS(VI_Debitos!$V:$V,VI_Debitos!$H:$H,$C321,VI_Debitos!$T:$T,$D321,VI_Debitos!$R:$R,LEFT(PAGADO!P$1,4),VI_Debitos!$Q:$Q,RIGHT(P$1,2))</f>
        <v>0</v>
      </c>
      <c r="Q321" s="2">
        <f>SUMIFS(VI_Debitos!$V:$V,VI_Debitos!$H:$H,$C321,VI_Debitos!$T:$T,$D321,VI_Debitos!$R:$R,LEFT(PAGADO!Q$1,4),VI_Debitos!$Q:$Q,RIGHT(Q$1,2))</f>
        <v>0</v>
      </c>
      <c r="R321" s="2">
        <f t="shared" si="4"/>
        <v>0</v>
      </c>
    </row>
    <row r="322" spans="6:18">
      <c r="F322" s="2">
        <f>SUMIFS(VI_Debitos!$V:$V,VI_Debitos!$H:$H,$C322,VI_Debitos!$T:$T,$D322,VI_Debitos!$R:$R,LEFT(PAGADO!F$1,4),VI_Debitos!$Q:$Q,RIGHT(F$1,2))</f>
        <v>0</v>
      </c>
      <c r="G322" s="2">
        <f>SUMIFS(VI_Debitos!$V:$V,VI_Debitos!$H:$H,$C322,VI_Debitos!$T:$T,$D322,VI_Debitos!$R:$R,LEFT(PAGADO!G$1,4),VI_Debitos!$Q:$Q,RIGHT(G$1,2))</f>
        <v>0</v>
      </c>
      <c r="H322" s="2">
        <f>SUMIFS(VI_Debitos!$V:$V,VI_Debitos!$H:$H,$C322,VI_Debitos!$T:$T,$D322,VI_Debitos!$R:$R,LEFT(PAGADO!H$1,4),VI_Debitos!$Q:$Q,RIGHT(H$1,2))</f>
        <v>0</v>
      </c>
      <c r="I322" s="2">
        <f>SUMIFS(VI_Debitos!$V:$V,VI_Debitos!$H:$H,$C322,VI_Debitos!$T:$T,$D322,VI_Debitos!$R:$R,LEFT(PAGADO!I$1,4),VI_Debitos!$Q:$Q,RIGHT(I$1,2))</f>
        <v>0</v>
      </c>
      <c r="J322" s="2">
        <f>SUMIFS(VI_Debitos!$V:$V,VI_Debitos!$H:$H,$C322,VI_Debitos!$T:$T,$D322,VI_Debitos!$R:$R,LEFT(PAGADO!J$1,4),VI_Debitos!$Q:$Q,RIGHT(J$1,2))</f>
        <v>0</v>
      </c>
      <c r="K322" s="2">
        <f>SUMIFS(VI_Debitos!$V:$V,VI_Debitos!$H:$H,$C322,VI_Debitos!$T:$T,$D322,VI_Debitos!$R:$R,LEFT(PAGADO!K$1,4),VI_Debitos!$Q:$Q,RIGHT(K$1,2))</f>
        <v>0</v>
      </c>
      <c r="L322" s="2">
        <f>SUMIFS(VI_Debitos!$V:$V,VI_Debitos!$H:$H,$C322,VI_Debitos!$T:$T,$D322,VI_Debitos!$R:$R,LEFT(PAGADO!L$1,4),VI_Debitos!$Q:$Q,RIGHT(L$1,2))</f>
        <v>0</v>
      </c>
      <c r="M322" s="2">
        <f>SUMIFS(VI_Debitos!$V:$V,VI_Debitos!$H:$H,$C322,VI_Debitos!$T:$T,$D322,VI_Debitos!$R:$R,LEFT(PAGADO!M$1,4),VI_Debitos!$Q:$Q,RIGHT(M$1,2))</f>
        <v>0</v>
      </c>
      <c r="N322" s="2">
        <f>SUMIFS(VI_Debitos!$V:$V,VI_Debitos!$H:$H,$C322,VI_Debitos!$T:$T,$D322,VI_Debitos!$R:$R,LEFT(PAGADO!N$1,4),VI_Debitos!$Q:$Q,RIGHT(N$1,2))</f>
        <v>0</v>
      </c>
      <c r="O322" s="2">
        <f>SUMIFS(VI_Debitos!$V:$V,VI_Debitos!$H:$H,$C322,VI_Debitos!$T:$T,$D322,VI_Debitos!$R:$R,LEFT(PAGADO!O$1,4),VI_Debitos!$Q:$Q,RIGHT(O$1,2))</f>
        <v>0</v>
      </c>
      <c r="P322" s="2">
        <f>SUMIFS(VI_Debitos!$V:$V,VI_Debitos!$H:$H,$C322,VI_Debitos!$T:$T,$D322,VI_Debitos!$R:$R,LEFT(PAGADO!P$1,4),VI_Debitos!$Q:$Q,RIGHT(P$1,2))</f>
        <v>0</v>
      </c>
      <c r="Q322" s="2">
        <f>SUMIFS(VI_Debitos!$V:$V,VI_Debitos!$H:$H,$C322,VI_Debitos!$T:$T,$D322,VI_Debitos!$R:$R,LEFT(PAGADO!Q$1,4),VI_Debitos!$Q:$Q,RIGHT(Q$1,2))</f>
        <v>0</v>
      </c>
      <c r="R322" s="2">
        <f t="shared" ref="R322:R385" si="5">SUM(F322:Q322)</f>
        <v>0</v>
      </c>
    </row>
    <row r="323" spans="6:18">
      <c r="F323" s="2">
        <f>SUMIFS(VI_Debitos!$V:$V,VI_Debitos!$H:$H,$C323,VI_Debitos!$T:$T,$D323,VI_Debitos!$R:$R,LEFT(PAGADO!F$1,4),VI_Debitos!$Q:$Q,RIGHT(F$1,2))</f>
        <v>0</v>
      </c>
      <c r="G323" s="2">
        <f>SUMIFS(VI_Debitos!$V:$V,VI_Debitos!$H:$H,$C323,VI_Debitos!$T:$T,$D323,VI_Debitos!$R:$R,LEFT(PAGADO!G$1,4),VI_Debitos!$Q:$Q,RIGHT(G$1,2))</f>
        <v>0</v>
      </c>
      <c r="H323" s="2">
        <f>SUMIFS(VI_Debitos!$V:$V,VI_Debitos!$H:$H,$C323,VI_Debitos!$T:$T,$D323,VI_Debitos!$R:$R,LEFT(PAGADO!H$1,4),VI_Debitos!$Q:$Q,RIGHT(H$1,2))</f>
        <v>0</v>
      </c>
      <c r="I323" s="2">
        <f>SUMIFS(VI_Debitos!$V:$V,VI_Debitos!$H:$H,$C323,VI_Debitos!$T:$T,$D323,VI_Debitos!$R:$R,LEFT(PAGADO!I$1,4),VI_Debitos!$Q:$Q,RIGHT(I$1,2))</f>
        <v>0</v>
      </c>
      <c r="J323" s="2">
        <f>SUMIFS(VI_Debitos!$V:$V,VI_Debitos!$H:$H,$C323,VI_Debitos!$T:$T,$D323,VI_Debitos!$R:$R,LEFT(PAGADO!J$1,4),VI_Debitos!$Q:$Q,RIGHT(J$1,2))</f>
        <v>0</v>
      </c>
      <c r="K323" s="2">
        <f>SUMIFS(VI_Debitos!$V:$V,VI_Debitos!$H:$H,$C323,VI_Debitos!$T:$T,$D323,VI_Debitos!$R:$R,LEFT(PAGADO!K$1,4),VI_Debitos!$Q:$Q,RIGHT(K$1,2))</f>
        <v>0</v>
      </c>
      <c r="L323" s="2">
        <f>SUMIFS(VI_Debitos!$V:$V,VI_Debitos!$H:$H,$C323,VI_Debitos!$T:$T,$D323,VI_Debitos!$R:$R,LEFT(PAGADO!L$1,4),VI_Debitos!$Q:$Q,RIGHT(L$1,2))</f>
        <v>0</v>
      </c>
      <c r="M323" s="2">
        <f>SUMIFS(VI_Debitos!$V:$V,VI_Debitos!$H:$H,$C323,VI_Debitos!$T:$T,$D323,VI_Debitos!$R:$R,LEFT(PAGADO!M$1,4),VI_Debitos!$Q:$Q,RIGHT(M$1,2))</f>
        <v>0</v>
      </c>
      <c r="N323" s="2">
        <f>SUMIFS(VI_Debitos!$V:$V,VI_Debitos!$H:$H,$C323,VI_Debitos!$T:$T,$D323,VI_Debitos!$R:$R,LEFT(PAGADO!N$1,4),VI_Debitos!$Q:$Q,RIGHT(N$1,2))</f>
        <v>0</v>
      </c>
      <c r="O323" s="2">
        <f>SUMIFS(VI_Debitos!$V:$V,VI_Debitos!$H:$H,$C323,VI_Debitos!$T:$T,$D323,VI_Debitos!$R:$R,LEFT(PAGADO!O$1,4),VI_Debitos!$Q:$Q,RIGHT(O$1,2))</f>
        <v>0</v>
      </c>
      <c r="P323" s="2">
        <f>SUMIFS(VI_Debitos!$V:$V,VI_Debitos!$H:$H,$C323,VI_Debitos!$T:$T,$D323,VI_Debitos!$R:$R,LEFT(PAGADO!P$1,4),VI_Debitos!$Q:$Q,RIGHT(P$1,2))</f>
        <v>0</v>
      </c>
      <c r="Q323" s="2">
        <f>SUMIFS(VI_Debitos!$V:$V,VI_Debitos!$H:$H,$C323,VI_Debitos!$T:$T,$D323,VI_Debitos!$R:$R,LEFT(PAGADO!Q$1,4),VI_Debitos!$Q:$Q,RIGHT(Q$1,2))</f>
        <v>0</v>
      </c>
      <c r="R323" s="2">
        <f t="shared" si="5"/>
        <v>0</v>
      </c>
    </row>
    <row r="324" spans="6:18">
      <c r="F324" s="2">
        <f>SUMIFS(VI_Debitos!$V:$V,VI_Debitos!$H:$H,$C324,VI_Debitos!$T:$T,$D324,VI_Debitos!$R:$R,LEFT(PAGADO!F$1,4),VI_Debitos!$Q:$Q,RIGHT(F$1,2))</f>
        <v>0</v>
      </c>
      <c r="G324" s="2">
        <f>SUMIFS(VI_Debitos!$V:$V,VI_Debitos!$H:$H,$C324,VI_Debitos!$T:$T,$D324,VI_Debitos!$R:$R,LEFT(PAGADO!G$1,4),VI_Debitos!$Q:$Q,RIGHT(G$1,2))</f>
        <v>0</v>
      </c>
      <c r="H324" s="2">
        <f>SUMIFS(VI_Debitos!$V:$V,VI_Debitos!$H:$H,$C324,VI_Debitos!$T:$T,$D324,VI_Debitos!$R:$R,LEFT(PAGADO!H$1,4),VI_Debitos!$Q:$Q,RIGHT(H$1,2))</f>
        <v>0</v>
      </c>
      <c r="I324" s="2">
        <f>SUMIFS(VI_Debitos!$V:$V,VI_Debitos!$H:$H,$C324,VI_Debitos!$T:$T,$D324,VI_Debitos!$R:$R,LEFT(PAGADO!I$1,4),VI_Debitos!$Q:$Q,RIGHT(I$1,2))</f>
        <v>0</v>
      </c>
      <c r="J324" s="2">
        <f>SUMIFS(VI_Debitos!$V:$V,VI_Debitos!$H:$H,$C324,VI_Debitos!$T:$T,$D324,VI_Debitos!$R:$R,LEFT(PAGADO!J$1,4),VI_Debitos!$Q:$Q,RIGHT(J$1,2))</f>
        <v>0</v>
      </c>
      <c r="K324" s="2">
        <f>SUMIFS(VI_Debitos!$V:$V,VI_Debitos!$H:$H,$C324,VI_Debitos!$T:$T,$D324,VI_Debitos!$R:$R,LEFT(PAGADO!K$1,4),VI_Debitos!$Q:$Q,RIGHT(K$1,2))</f>
        <v>0</v>
      </c>
      <c r="L324" s="2">
        <f>SUMIFS(VI_Debitos!$V:$V,VI_Debitos!$H:$H,$C324,VI_Debitos!$T:$T,$D324,VI_Debitos!$R:$R,LEFT(PAGADO!L$1,4),VI_Debitos!$Q:$Q,RIGHT(L$1,2))</f>
        <v>0</v>
      </c>
      <c r="M324" s="2">
        <f>SUMIFS(VI_Debitos!$V:$V,VI_Debitos!$H:$H,$C324,VI_Debitos!$T:$T,$D324,VI_Debitos!$R:$R,LEFT(PAGADO!M$1,4),VI_Debitos!$Q:$Q,RIGHT(M$1,2))</f>
        <v>0</v>
      </c>
      <c r="N324" s="2">
        <f>SUMIFS(VI_Debitos!$V:$V,VI_Debitos!$H:$H,$C324,VI_Debitos!$T:$T,$D324,VI_Debitos!$R:$R,LEFT(PAGADO!N$1,4),VI_Debitos!$Q:$Q,RIGHT(N$1,2))</f>
        <v>0</v>
      </c>
      <c r="O324" s="2">
        <f>SUMIFS(VI_Debitos!$V:$V,VI_Debitos!$H:$H,$C324,VI_Debitos!$T:$T,$D324,VI_Debitos!$R:$R,LEFT(PAGADO!O$1,4),VI_Debitos!$Q:$Q,RIGHT(O$1,2))</f>
        <v>0</v>
      </c>
      <c r="P324" s="2">
        <f>SUMIFS(VI_Debitos!$V:$V,VI_Debitos!$H:$H,$C324,VI_Debitos!$T:$T,$D324,VI_Debitos!$R:$R,LEFT(PAGADO!P$1,4),VI_Debitos!$Q:$Q,RIGHT(P$1,2))</f>
        <v>0</v>
      </c>
      <c r="Q324" s="2">
        <f>SUMIFS(VI_Debitos!$V:$V,VI_Debitos!$H:$H,$C324,VI_Debitos!$T:$T,$D324,VI_Debitos!$R:$R,LEFT(PAGADO!Q$1,4),VI_Debitos!$Q:$Q,RIGHT(Q$1,2))</f>
        <v>0</v>
      </c>
      <c r="R324" s="2">
        <f t="shared" si="5"/>
        <v>0</v>
      </c>
    </row>
    <row r="325" spans="6:18">
      <c r="F325" s="2">
        <f>SUMIFS(VI_Debitos!$V:$V,VI_Debitos!$H:$H,$C325,VI_Debitos!$T:$T,$D325,VI_Debitos!$R:$R,LEFT(PAGADO!F$1,4),VI_Debitos!$Q:$Q,RIGHT(F$1,2))</f>
        <v>0</v>
      </c>
      <c r="G325" s="2">
        <f>SUMIFS(VI_Debitos!$V:$V,VI_Debitos!$H:$H,$C325,VI_Debitos!$T:$T,$D325,VI_Debitos!$R:$R,LEFT(PAGADO!G$1,4),VI_Debitos!$Q:$Q,RIGHT(G$1,2))</f>
        <v>0</v>
      </c>
      <c r="H325" s="2">
        <f>SUMIFS(VI_Debitos!$V:$V,VI_Debitos!$H:$H,$C325,VI_Debitos!$T:$T,$D325,VI_Debitos!$R:$R,LEFT(PAGADO!H$1,4),VI_Debitos!$Q:$Q,RIGHT(H$1,2))</f>
        <v>0</v>
      </c>
      <c r="I325" s="2">
        <f>SUMIFS(VI_Debitos!$V:$V,VI_Debitos!$H:$H,$C325,VI_Debitos!$T:$T,$D325,VI_Debitos!$R:$R,LEFT(PAGADO!I$1,4),VI_Debitos!$Q:$Q,RIGHT(I$1,2))</f>
        <v>0</v>
      </c>
      <c r="J325" s="2">
        <f>SUMIFS(VI_Debitos!$V:$V,VI_Debitos!$H:$H,$C325,VI_Debitos!$T:$T,$D325,VI_Debitos!$R:$R,LEFT(PAGADO!J$1,4),VI_Debitos!$Q:$Q,RIGHT(J$1,2))</f>
        <v>0</v>
      </c>
      <c r="K325" s="2">
        <f>SUMIFS(VI_Debitos!$V:$V,VI_Debitos!$H:$H,$C325,VI_Debitos!$T:$T,$D325,VI_Debitos!$R:$R,LEFT(PAGADO!K$1,4),VI_Debitos!$Q:$Q,RIGHT(K$1,2))</f>
        <v>0</v>
      </c>
      <c r="L325" s="2">
        <f>SUMIFS(VI_Debitos!$V:$V,VI_Debitos!$H:$H,$C325,VI_Debitos!$T:$T,$D325,VI_Debitos!$R:$R,LEFT(PAGADO!L$1,4),VI_Debitos!$Q:$Q,RIGHT(L$1,2))</f>
        <v>0</v>
      </c>
      <c r="M325" s="2">
        <f>SUMIFS(VI_Debitos!$V:$V,VI_Debitos!$H:$H,$C325,VI_Debitos!$T:$T,$D325,VI_Debitos!$R:$R,LEFT(PAGADO!M$1,4),VI_Debitos!$Q:$Q,RIGHT(M$1,2))</f>
        <v>0</v>
      </c>
      <c r="N325" s="2">
        <f>SUMIFS(VI_Debitos!$V:$V,VI_Debitos!$H:$H,$C325,VI_Debitos!$T:$T,$D325,VI_Debitos!$R:$R,LEFT(PAGADO!N$1,4),VI_Debitos!$Q:$Q,RIGHT(N$1,2))</f>
        <v>0</v>
      </c>
      <c r="O325" s="2">
        <f>SUMIFS(VI_Debitos!$V:$V,VI_Debitos!$H:$H,$C325,VI_Debitos!$T:$T,$D325,VI_Debitos!$R:$R,LEFT(PAGADO!O$1,4),VI_Debitos!$Q:$Q,RIGHT(O$1,2))</f>
        <v>0</v>
      </c>
      <c r="P325" s="2">
        <f>SUMIFS(VI_Debitos!$V:$V,VI_Debitos!$H:$H,$C325,VI_Debitos!$T:$T,$D325,VI_Debitos!$R:$R,LEFT(PAGADO!P$1,4),VI_Debitos!$Q:$Q,RIGHT(P$1,2))</f>
        <v>0</v>
      </c>
      <c r="Q325" s="2">
        <f>SUMIFS(VI_Debitos!$V:$V,VI_Debitos!$H:$H,$C325,VI_Debitos!$T:$T,$D325,VI_Debitos!$R:$R,LEFT(PAGADO!Q$1,4),VI_Debitos!$Q:$Q,RIGHT(Q$1,2))</f>
        <v>0</v>
      </c>
      <c r="R325" s="2">
        <f t="shared" si="5"/>
        <v>0</v>
      </c>
    </row>
    <row r="326" spans="6:18">
      <c r="F326" s="2">
        <f>SUMIFS(VI_Debitos!$V:$V,VI_Debitos!$H:$H,$C326,VI_Debitos!$T:$T,$D326,VI_Debitos!$R:$R,LEFT(PAGADO!F$1,4),VI_Debitos!$Q:$Q,RIGHT(F$1,2))</f>
        <v>0</v>
      </c>
      <c r="G326" s="2">
        <f>SUMIFS(VI_Debitos!$V:$V,VI_Debitos!$H:$H,$C326,VI_Debitos!$T:$T,$D326,VI_Debitos!$R:$R,LEFT(PAGADO!G$1,4),VI_Debitos!$Q:$Q,RIGHT(G$1,2))</f>
        <v>0</v>
      </c>
      <c r="H326" s="2">
        <f>SUMIFS(VI_Debitos!$V:$V,VI_Debitos!$H:$H,$C326,VI_Debitos!$T:$T,$D326,VI_Debitos!$R:$R,LEFT(PAGADO!H$1,4),VI_Debitos!$Q:$Q,RIGHT(H$1,2))</f>
        <v>0</v>
      </c>
      <c r="I326" s="2">
        <f>SUMIFS(VI_Debitos!$V:$V,VI_Debitos!$H:$H,$C326,VI_Debitos!$T:$T,$D326,VI_Debitos!$R:$R,LEFT(PAGADO!I$1,4),VI_Debitos!$Q:$Q,RIGHT(I$1,2))</f>
        <v>0</v>
      </c>
      <c r="J326" s="2">
        <f>SUMIFS(VI_Debitos!$V:$V,VI_Debitos!$H:$H,$C326,VI_Debitos!$T:$T,$D326,VI_Debitos!$R:$R,LEFT(PAGADO!J$1,4),VI_Debitos!$Q:$Q,RIGHT(J$1,2))</f>
        <v>0</v>
      </c>
      <c r="K326" s="2">
        <f>SUMIFS(VI_Debitos!$V:$V,VI_Debitos!$H:$H,$C326,VI_Debitos!$T:$T,$D326,VI_Debitos!$R:$R,LEFT(PAGADO!K$1,4),VI_Debitos!$Q:$Q,RIGHT(K$1,2))</f>
        <v>0</v>
      </c>
      <c r="L326" s="2">
        <f>SUMIFS(VI_Debitos!$V:$V,VI_Debitos!$H:$H,$C326,VI_Debitos!$T:$T,$D326,VI_Debitos!$R:$R,LEFT(PAGADO!L$1,4),VI_Debitos!$Q:$Q,RIGHT(L$1,2))</f>
        <v>0</v>
      </c>
      <c r="M326" s="2">
        <f>SUMIFS(VI_Debitos!$V:$V,VI_Debitos!$H:$H,$C326,VI_Debitos!$T:$T,$D326,VI_Debitos!$R:$R,LEFT(PAGADO!M$1,4),VI_Debitos!$Q:$Q,RIGHT(M$1,2))</f>
        <v>0</v>
      </c>
      <c r="N326" s="2">
        <f>SUMIFS(VI_Debitos!$V:$V,VI_Debitos!$H:$H,$C326,VI_Debitos!$T:$T,$D326,VI_Debitos!$R:$R,LEFT(PAGADO!N$1,4),VI_Debitos!$Q:$Q,RIGHT(N$1,2))</f>
        <v>0</v>
      </c>
      <c r="O326" s="2">
        <f>SUMIFS(VI_Debitos!$V:$V,VI_Debitos!$H:$H,$C326,VI_Debitos!$T:$T,$D326,VI_Debitos!$R:$R,LEFT(PAGADO!O$1,4),VI_Debitos!$Q:$Q,RIGHT(O$1,2))</f>
        <v>0</v>
      </c>
      <c r="P326" s="2">
        <f>SUMIFS(VI_Debitos!$V:$V,VI_Debitos!$H:$H,$C326,VI_Debitos!$T:$T,$D326,VI_Debitos!$R:$R,LEFT(PAGADO!P$1,4),VI_Debitos!$Q:$Q,RIGHT(P$1,2))</f>
        <v>0</v>
      </c>
      <c r="Q326" s="2">
        <f>SUMIFS(VI_Debitos!$V:$V,VI_Debitos!$H:$H,$C326,VI_Debitos!$T:$T,$D326,VI_Debitos!$R:$R,LEFT(PAGADO!Q$1,4),VI_Debitos!$Q:$Q,RIGHT(Q$1,2))</f>
        <v>0</v>
      </c>
      <c r="R326" s="2">
        <f t="shared" si="5"/>
        <v>0</v>
      </c>
    </row>
    <row r="327" spans="6:18">
      <c r="F327" s="2">
        <f>SUMIFS(VI_Debitos!$V:$V,VI_Debitos!$H:$H,$C327,VI_Debitos!$T:$T,$D327,VI_Debitos!$R:$R,LEFT(PAGADO!F$1,4),VI_Debitos!$Q:$Q,RIGHT(F$1,2))</f>
        <v>0</v>
      </c>
      <c r="G327" s="2">
        <f>SUMIFS(VI_Debitos!$V:$V,VI_Debitos!$H:$H,$C327,VI_Debitos!$T:$T,$D327,VI_Debitos!$R:$R,LEFT(PAGADO!G$1,4),VI_Debitos!$Q:$Q,RIGHT(G$1,2))</f>
        <v>0</v>
      </c>
      <c r="H327" s="2">
        <f>SUMIFS(VI_Debitos!$V:$V,VI_Debitos!$H:$H,$C327,VI_Debitos!$T:$T,$D327,VI_Debitos!$R:$R,LEFT(PAGADO!H$1,4),VI_Debitos!$Q:$Q,RIGHT(H$1,2))</f>
        <v>0</v>
      </c>
      <c r="I327" s="2">
        <f>SUMIFS(VI_Debitos!$V:$V,VI_Debitos!$H:$H,$C327,VI_Debitos!$T:$T,$D327,VI_Debitos!$R:$R,LEFT(PAGADO!I$1,4),VI_Debitos!$Q:$Q,RIGHT(I$1,2))</f>
        <v>0</v>
      </c>
      <c r="J327" s="2">
        <f>SUMIFS(VI_Debitos!$V:$V,VI_Debitos!$H:$H,$C327,VI_Debitos!$T:$T,$D327,VI_Debitos!$R:$R,LEFT(PAGADO!J$1,4),VI_Debitos!$Q:$Q,RIGHT(J$1,2))</f>
        <v>0</v>
      </c>
      <c r="K327" s="2">
        <f>SUMIFS(VI_Debitos!$V:$V,VI_Debitos!$H:$H,$C327,VI_Debitos!$T:$T,$D327,VI_Debitos!$R:$R,LEFT(PAGADO!K$1,4),VI_Debitos!$Q:$Q,RIGHT(K$1,2))</f>
        <v>0</v>
      </c>
      <c r="L327" s="2">
        <f>SUMIFS(VI_Debitos!$V:$V,VI_Debitos!$H:$H,$C327,VI_Debitos!$T:$T,$D327,VI_Debitos!$R:$R,LEFT(PAGADO!L$1,4),VI_Debitos!$Q:$Q,RIGHT(L$1,2))</f>
        <v>0</v>
      </c>
      <c r="M327" s="2">
        <f>SUMIFS(VI_Debitos!$V:$V,VI_Debitos!$H:$H,$C327,VI_Debitos!$T:$T,$D327,VI_Debitos!$R:$R,LEFT(PAGADO!M$1,4),VI_Debitos!$Q:$Q,RIGHT(M$1,2))</f>
        <v>0</v>
      </c>
      <c r="N327" s="2">
        <f>SUMIFS(VI_Debitos!$V:$V,VI_Debitos!$H:$H,$C327,VI_Debitos!$T:$T,$D327,VI_Debitos!$R:$R,LEFT(PAGADO!N$1,4),VI_Debitos!$Q:$Q,RIGHT(N$1,2))</f>
        <v>0</v>
      </c>
      <c r="O327" s="2">
        <f>SUMIFS(VI_Debitos!$V:$V,VI_Debitos!$H:$H,$C327,VI_Debitos!$T:$T,$D327,VI_Debitos!$R:$R,LEFT(PAGADO!O$1,4),VI_Debitos!$Q:$Q,RIGHT(O$1,2))</f>
        <v>0</v>
      </c>
      <c r="P327" s="2">
        <f>SUMIFS(VI_Debitos!$V:$V,VI_Debitos!$H:$H,$C327,VI_Debitos!$T:$T,$D327,VI_Debitos!$R:$R,LEFT(PAGADO!P$1,4),VI_Debitos!$Q:$Q,RIGHT(P$1,2))</f>
        <v>0</v>
      </c>
      <c r="Q327" s="2">
        <f>SUMIFS(VI_Debitos!$V:$V,VI_Debitos!$H:$H,$C327,VI_Debitos!$T:$T,$D327,VI_Debitos!$R:$R,LEFT(PAGADO!Q$1,4),VI_Debitos!$Q:$Q,RIGHT(Q$1,2))</f>
        <v>0</v>
      </c>
      <c r="R327" s="2">
        <f t="shared" si="5"/>
        <v>0</v>
      </c>
    </row>
    <row r="328" spans="6:18">
      <c r="F328" s="2">
        <f>SUMIFS(VI_Debitos!$V:$V,VI_Debitos!$H:$H,$C328,VI_Debitos!$T:$T,$D328,VI_Debitos!$R:$R,LEFT(PAGADO!F$1,4),VI_Debitos!$Q:$Q,RIGHT(F$1,2))</f>
        <v>0</v>
      </c>
      <c r="G328" s="2">
        <f>SUMIFS(VI_Debitos!$V:$V,VI_Debitos!$H:$H,$C328,VI_Debitos!$T:$T,$D328,VI_Debitos!$R:$R,LEFT(PAGADO!G$1,4),VI_Debitos!$Q:$Q,RIGHT(G$1,2))</f>
        <v>0</v>
      </c>
      <c r="H328" s="2">
        <f>SUMIFS(VI_Debitos!$V:$V,VI_Debitos!$H:$H,$C328,VI_Debitos!$T:$T,$D328,VI_Debitos!$R:$R,LEFT(PAGADO!H$1,4),VI_Debitos!$Q:$Q,RIGHT(H$1,2))</f>
        <v>0</v>
      </c>
      <c r="I328" s="2">
        <f>SUMIFS(VI_Debitos!$V:$V,VI_Debitos!$H:$H,$C328,VI_Debitos!$T:$T,$D328,VI_Debitos!$R:$R,LEFT(PAGADO!I$1,4),VI_Debitos!$Q:$Q,RIGHT(I$1,2))</f>
        <v>0</v>
      </c>
      <c r="J328" s="2">
        <f>SUMIFS(VI_Debitos!$V:$V,VI_Debitos!$H:$H,$C328,VI_Debitos!$T:$T,$D328,VI_Debitos!$R:$R,LEFT(PAGADO!J$1,4),VI_Debitos!$Q:$Q,RIGHT(J$1,2))</f>
        <v>0</v>
      </c>
      <c r="K328" s="2">
        <f>SUMIFS(VI_Debitos!$V:$V,VI_Debitos!$H:$H,$C328,VI_Debitos!$T:$T,$D328,VI_Debitos!$R:$R,LEFT(PAGADO!K$1,4),VI_Debitos!$Q:$Q,RIGHT(K$1,2))</f>
        <v>0</v>
      </c>
      <c r="L328" s="2">
        <f>SUMIFS(VI_Debitos!$V:$V,VI_Debitos!$H:$H,$C328,VI_Debitos!$T:$T,$D328,VI_Debitos!$R:$R,LEFT(PAGADO!L$1,4),VI_Debitos!$Q:$Q,RIGHT(L$1,2))</f>
        <v>0</v>
      </c>
      <c r="M328" s="2">
        <f>SUMIFS(VI_Debitos!$V:$V,VI_Debitos!$H:$H,$C328,VI_Debitos!$T:$T,$D328,VI_Debitos!$R:$R,LEFT(PAGADO!M$1,4),VI_Debitos!$Q:$Q,RIGHT(M$1,2))</f>
        <v>0</v>
      </c>
      <c r="N328" s="2">
        <f>SUMIFS(VI_Debitos!$V:$V,VI_Debitos!$H:$H,$C328,VI_Debitos!$T:$T,$D328,VI_Debitos!$R:$R,LEFT(PAGADO!N$1,4),VI_Debitos!$Q:$Q,RIGHT(N$1,2))</f>
        <v>0</v>
      </c>
      <c r="O328" s="2">
        <f>SUMIFS(VI_Debitos!$V:$V,VI_Debitos!$H:$H,$C328,VI_Debitos!$T:$T,$D328,VI_Debitos!$R:$R,LEFT(PAGADO!O$1,4),VI_Debitos!$Q:$Q,RIGHT(O$1,2))</f>
        <v>0</v>
      </c>
      <c r="P328" s="2">
        <f>SUMIFS(VI_Debitos!$V:$V,VI_Debitos!$H:$H,$C328,VI_Debitos!$T:$T,$D328,VI_Debitos!$R:$R,LEFT(PAGADO!P$1,4),VI_Debitos!$Q:$Q,RIGHT(P$1,2))</f>
        <v>0</v>
      </c>
      <c r="Q328" s="2">
        <f>SUMIFS(VI_Debitos!$V:$V,VI_Debitos!$H:$H,$C328,VI_Debitos!$T:$T,$D328,VI_Debitos!$R:$R,LEFT(PAGADO!Q$1,4),VI_Debitos!$Q:$Q,RIGHT(Q$1,2))</f>
        <v>0</v>
      </c>
      <c r="R328" s="2">
        <f t="shared" si="5"/>
        <v>0</v>
      </c>
    </row>
    <row r="329" spans="6:18">
      <c r="F329" s="2">
        <f>SUMIFS(VI_Debitos!$V:$V,VI_Debitos!$H:$H,$C329,VI_Debitos!$T:$T,$D329,VI_Debitos!$R:$R,LEFT(PAGADO!F$1,4),VI_Debitos!$Q:$Q,RIGHT(F$1,2))</f>
        <v>0</v>
      </c>
      <c r="G329" s="2">
        <f>SUMIFS(VI_Debitos!$V:$V,VI_Debitos!$H:$H,$C329,VI_Debitos!$T:$T,$D329,VI_Debitos!$R:$R,LEFT(PAGADO!G$1,4),VI_Debitos!$Q:$Q,RIGHT(G$1,2))</f>
        <v>0</v>
      </c>
      <c r="H329" s="2">
        <f>SUMIFS(VI_Debitos!$V:$V,VI_Debitos!$H:$H,$C329,VI_Debitos!$T:$T,$D329,VI_Debitos!$R:$R,LEFT(PAGADO!H$1,4),VI_Debitos!$Q:$Q,RIGHT(H$1,2))</f>
        <v>0</v>
      </c>
      <c r="I329" s="2">
        <f>SUMIFS(VI_Debitos!$V:$V,VI_Debitos!$H:$H,$C329,VI_Debitos!$T:$T,$D329,VI_Debitos!$R:$R,LEFT(PAGADO!I$1,4),VI_Debitos!$Q:$Q,RIGHT(I$1,2))</f>
        <v>0</v>
      </c>
      <c r="J329" s="2">
        <f>SUMIFS(VI_Debitos!$V:$V,VI_Debitos!$H:$H,$C329,VI_Debitos!$T:$T,$D329,VI_Debitos!$R:$R,LEFT(PAGADO!J$1,4),VI_Debitos!$Q:$Q,RIGHT(J$1,2))</f>
        <v>0</v>
      </c>
      <c r="K329" s="2">
        <f>SUMIFS(VI_Debitos!$V:$V,VI_Debitos!$H:$H,$C329,VI_Debitos!$T:$T,$D329,VI_Debitos!$R:$R,LEFT(PAGADO!K$1,4),VI_Debitos!$Q:$Q,RIGHT(K$1,2))</f>
        <v>0</v>
      </c>
      <c r="L329" s="2">
        <f>SUMIFS(VI_Debitos!$V:$V,VI_Debitos!$H:$H,$C329,VI_Debitos!$T:$T,$D329,VI_Debitos!$R:$R,LEFT(PAGADO!L$1,4),VI_Debitos!$Q:$Q,RIGHT(L$1,2))</f>
        <v>0</v>
      </c>
      <c r="M329" s="2">
        <f>SUMIFS(VI_Debitos!$V:$V,VI_Debitos!$H:$H,$C329,VI_Debitos!$T:$T,$D329,VI_Debitos!$R:$R,LEFT(PAGADO!M$1,4),VI_Debitos!$Q:$Q,RIGHT(M$1,2))</f>
        <v>0</v>
      </c>
      <c r="N329" s="2">
        <f>SUMIFS(VI_Debitos!$V:$V,VI_Debitos!$H:$H,$C329,VI_Debitos!$T:$T,$D329,VI_Debitos!$R:$R,LEFT(PAGADO!N$1,4),VI_Debitos!$Q:$Q,RIGHT(N$1,2))</f>
        <v>0</v>
      </c>
      <c r="O329" s="2">
        <f>SUMIFS(VI_Debitos!$V:$V,VI_Debitos!$H:$H,$C329,VI_Debitos!$T:$T,$D329,VI_Debitos!$R:$R,LEFT(PAGADO!O$1,4),VI_Debitos!$Q:$Q,RIGHT(O$1,2))</f>
        <v>0</v>
      </c>
      <c r="P329" s="2">
        <f>SUMIFS(VI_Debitos!$V:$V,VI_Debitos!$H:$H,$C329,VI_Debitos!$T:$T,$D329,VI_Debitos!$R:$R,LEFT(PAGADO!P$1,4),VI_Debitos!$Q:$Q,RIGHT(P$1,2))</f>
        <v>0</v>
      </c>
      <c r="Q329" s="2">
        <f>SUMIFS(VI_Debitos!$V:$V,VI_Debitos!$H:$H,$C329,VI_Debitos!$T:$T,$D329,VI_Debitos!$R:$R,LEFT(PAGADO!Q$1,4),VI_Debitos!$Q:$Q,RIGHT(Q$1,2))</f>
        <v>0</v>
      </c>
      <c r="R329" s="2">
        <f t="shared" si="5"/>
        <v>0</v>
      </c>
    </row>
    <row r="330" spans="6:18">
      <c r="F330" s="2">
        <f>SUMIFS(VI_Debitos!$V:$V,VI_Debitos!$H:$H,$C330,VI_Debitos!$T:$T,$D330,VI_Debitos!$R:$R,LEFT(PAGADO!F$1,4),VI_Debitos!$Q:$Q,RIGHT(F$1,2))</f>
        <v>0</v>
      </c>
      <c r="G330" s="2">
        <f>SUMIFS(VI_Debitos!$V:$V,VI_Debitos!$H:$H,$C330,VI_Debitos!$T:$T,$D330,VI_Debitos!$R:$R,LEFT(PAGADO!G$1,4),VI_Debitos!$Q:$Q,RIGHT(G$1,2))</f>
        <v>0</v>
      </c>
      <c r="H330" s="2">
        <f>SUMIFS(VI_Debitos!$V:$V,VI_Debitos!$H:$H,$C330,VI_Debitos!$T:$T,$D330,VI_Debitos!$R:$R,LEFT(PAGADO!H$1,4),VI_Debitos!$Q:$Q,RIGHT(H$1,2))</f>
        <v>0</v>
      </c>
      <c r="I330" s="2">
        <f>SUMIFS(VI_Debitos!$V:$V,VI_Debitos!$H:$H,$C330,VI_Debitos!$T:$T,$D330,VI_Debitos!$R:$R,LEFT(PAGADO!I$1,4),VI_Debitos!$Q:$Q,RIGHT(I$1,2))</f>
        <v>0</v>
      </c>
      <c r="J330" s="2">
        <f>SUMIFS(VI_Debitos!$V:$V,VI_Debitos!$H:$H,$C330,VI_Debitos!$T:$T,$D330,VI_Debitos!$R:$R,LEFT(PAGADO!J$1,4),VI_Debitos!$Q:$Q,RIGHT(J$1,2))</f>
        <v>0</v>
      </c>
      <c r="K330" s="2">
        <f>SUMIFS(VI_Debitos!$V:$V,VI_Debitos!$H:$H,$C330,VI_Debitos!$T:$T,$D330,VI_Debitos!$R:$R,LEFT(PAGADO!K$1,4),VI_Debitos!$Q:$Q,RIGHT(K$1,2))</f>
        <v>0</v>
      </c>
      <c r="L330" s="2">
        <f>SUMIFS(VI_Debitos!$V:$V,VI_Debitos!$H:$H,$C330,VI_Debitos!$T:$T,$D330,VI_Debitos!$R:$R,LEFT(PAGADO!L$1,4),VI_Debitos!$Q:$Q,RIGHT(L$1,2))</f>
        <v>0</v>
      </c>
      <c r="M330" s="2">
        <f>SUMIFS(VI_Debitos!$V:$V,VI_Debitos!$H:$H,$C330,VI_Debitos!$T:$T,$D330,VI_Debitos!$R:$R,LEFT(PAGADO!M$1,4),VI_Debitos!$Q:$Q,RIGHT(M$1,2))</f>
        <v>0</v>
      </c>
      <c r="N330" s="2">
        <f>SUMIFS(VI_Debitos!$V:$V,VI_Debitos!$H:$H,$C330,VI_Debitos!$T:$T,$D330,VI_Debitos!$R:$R,LEFT(PAGADO!N$1,4),VI_Debitos!$Q:$Q,RIGHT(N$1,2))</f>
        <v>0</v>
      </c>
      <c r="O330" s="2">
        <f>SUMIFS(VI_Debitos!$V:$V,VI_Debitos!$H:$H,$C330,VI_Debitos!$T:$T,$D330,VI_Debitos!$R:$R,LEFT(PAGADO!O$1,4),VI_Debitos!$Q:$Q,RIGHT(O$1,2))</f>
        <v>0</v>
      </c>
      <c r="P330" s="2">
        <f>SUMIFS(VI_Debitos!$V:$V,VI_Debitos!$H:$H,$C330,VI_Debitos!$T:$T,$D330,VI_Debitos!$R:$R,LEFT(PAGADO!P$1,4),VI_Debitos!$Q:$Q,RIGHT(P$1,2))</f>
        <v>0</v>
      </c>
      <c r="Q330" s="2">
        <f>SUMIFS(VI_Debitos!$V:$V,VI_Debitos!$H:$H,$C330,VI_Debitos!$T:$T,$D330,VI_Debitos!$R:$R,LEFT(PAGADO!Q$1,4),VI_Debitos!$Q:$Q,RIGHT(Q$1,2))</f>
        <v>0</v>
      </c>
      <c r="R330" s="2">
        <f t="shared" si="5"/>
        <v>0</v>
      </c>
    </row>
    <row r="331" spans="6:18">
      <c r="F331" s="2">
        <f>SUMIFS(VI_Debitos!$V:$V,VI_Debitos!$H:$H,$C331,VI_Debitos!$T:$T,$D331,VI_Debitos!$R:$R,LEFT(PAGADO!F$1,4),VI_Debitos!$Q:$Q,RIGHT(F$1,2))</f>
        <v>0</v>
      </c>
      <c r="G331" s="2">
        <f>SUMIFS(VI_Debitos!$V:$V,VI_Debitos!$H:$H,$C331,VI_Debitos!$T:$T,$D331,VI_Debitos!$R:$R,LEFT(PAGADO!G$1,4),VI_Debitos!$Q:$Q,RIGHT(G$1,2))</f>
        <v>0</v>
      </c>
      <c r="H331" s="2">
        <f>SUMIFS(VI_Debitos!$V:$V,VI_Debitos!$H:$H,$C331,VI_Debitos!$T:$T,$D331,VI_Debitos!$R:$R,LEFT(PAGADO!H$1,4),VI_Debitos!$Q:$Q,RIGHT(H$1,2))</f>
        <v>0</v>
      </c>
      <c r="I331" s="2">
        <f>SUMIFS(VI_Debitos!$V:$V,VI_Debitos!$H:$H,$C331,VI_Debitos!$T:$T,$D331,VI_Debitos!$R:$R,LEFT(PAGADO!I$1,4),VI_Debitos!$Q:$Q,RIGHT(I$1,2))</f>
        <v>0</v>
      </c>
      <c r="J331" s="2">
        <f>SUMIFS(VI_Debitos!$V:$V,VI_Debitos!$H:$H,$C331,VI_Debitos!$T:$T,$D331,VI_Debitos!$R:$R,LEFT(PAGADO!J$1,4),VI_Debitos!$Q:$Q,RIGHT(J$1,2))</f>
        <v>0</v>
      </c>
      <c r="K331" s="2">
        <f>SUMIFS(VI_Debitos!$V:$V,VI_Debitos!$H:$H,$C331,VI_Debitos!$T:$T,$D331,VI_Debitos!$R:$R,LEFT(PAGADO!K$1,4),VI_Debitos!$Q:$Q,RIGHT(K$1,2))</f>
        <v>0</v>
      </c>
      <c r="L331" s="2">
        <f>SUMIFS(VI_Debitos!$V:$V,VI_Debitos!$H:$H,$C331,VI_Debitos!$T:$T,$D331,VI_Debitos!$R:$R,LEFT(PAGADO!L$1,4),VI_Debitos!$Q:$Q,RIGHT(L$1,2))</f>
        <v>0</v>
      </c>
      <c r="M331" s="2">
        <f>SUMIFS(VI_Debitos!$V:$V,VI_Debitos!$H:$H,$C331,VI_Debitos!$T:$T,$D331,VI_Debitos!$R:$R,LEFT(PAGADO!M$1,4),VI_Debitos!$Q:$Q,RIGHT(M$1,2))</f>
        <v>0</v>
      </c>
      <c r="N331" s="2">
        <f>SUMIFS(VI_Debitos!$V:$V,VI_Debitos!$H:$H,$C331,VI_Debitos!$T:$T,$D331,VI_Debitos!$R:$R,LEFT(PAGADO!N$1,4),VI_Debitos!$Q:$Q,RIGHT(N$1,2))</f>
        <v>0</v>
      </c>
      <c r="O331" s="2">
        <f>SUMIFS(VI_Debitos!$V:$V,VI_Debitos!$H:$H,$C331,VI_Debitos!$T:$T,$D331,VI_Debitos!$R:$R,LEFT(PAGADO!O$1,4),VI_Debitos!$Q:$Q,RIGHT(O$1,2))</f>
        <v>0</v>
      </c>
      <c r="P331" s="2">
        <f>SUMIFS(VI_Debitos!$V:$V,VI_Debitos!$H:$H,$C331,VI_Debitos!$T:$T,$D331,VI_Debitos!$R:$R,LEFT(PAGADO!P$1,4),VI_Debitos!$Q:$Q,RIGHT(P$1,2))</f>
        <v>0</v>
      </c>
      <c r="Q331" s="2">
        <f>SUMIFS(VI_Debitos!$V:$V,VI_Debitos!$H:$H,$C331,VI_Debitos!$T:$T,$D331,VI_Debitos!$R:$R,LEFT(PAGADO!Q$1,4),VI_Debitos!$Q:$Q,RIGHT(Q$1,2))</f>
        <v>0</v>
      </c>
      <c r="R331" s="2">
        <f t="shared" si="5"/>
        <v>0</v>
      </c>
    </row>
    <row r="332" spans="6:18">
      <c r="F332" s="2">
        <f>SUMIFS(VI_Debitos!$V:$V,VI_Debitos!$H:$H,$C332,VI_Debitos!$T:$T,$D332,VI_Debitos!$R:$R,LEFT(PAGADO!F$1,4),VI_Debitos!$Q:$Q,RIGHT(F$1,2))</f>
        <v>0</v>
      </c>
      <c r="G332" s="2">
        <f>SUMIFS(VI_Debitos!$V:$V,VI_Debitos!$H:$H,$C332,VI_Debitos!$T:$T,$D332,VI_Debitos!$R:$R,LEFT(PAGADO!G$1,4),VI_Debitos!$Q:$Q,RIGHT(G$1,2))</f>
        <v>0</v>
      </c>
      <c r="H332" s="2">
        <f>SUMIFS(VI_Debitos!$V:$V,VI_Debitos!$H:$H,$C332,VI_Debitos!$T:$T,$D332,VI_Debitos!$R:$R,LEFT(PAGADO!H$1,4),VI_Debitos!$Q:$Q,RIGHT(H$1,2))</f>
        <v>0</v>
      </c>
      <c r="I332" s="2">
        <f>SUMIFS(VI_Debitos!$V:$V,VI_Debitos!$H:$H,$C332,VI_Debitos!$T:$T,$D332,VI_Debitos!$R:$R,LEFT(PAGADO!I$1,4),VI_Debitos!$Q:$Q,RIGHT(I$1,2))</f>
        <v>0</v>
      </c>
      <c r="J332" s="2">
        <f>SUMIFS(VI_Debitos!$V:$V,VI_Debitos!$H:$H,$C332,VI_Debitos!$T:$T,$D332,VI_Debitos!$R:$R,LEFT(PAGADO!J$1,4),VI_Debitos!$Q:$Q,RIGHT(J$1,2))</f>
        <v>0</v>
      </c>
      <c r="K332" s="2">
        <f>SUMIFS(VI_Debitos!$V:$V,VI_Debitos!$H:$H,$C332,VI_Debitos!$T:$T,$D332,VI_Debitos!$R:$R,LEFT(PAGADO!K$1,4),VI_Debitos!$Q:$Q,RIGHT(K$1,2))</f>
        <v>0</v>
      </c>
      <c r="L332" s="2">
        <f>SUMIFS(VI_Debitos!$V:$V,VI_Debitos!$H:$H,$C332,VI_Debitos!$T:$T,$D332,VI_Debitos!$R:$R,LEFT(PAGADO!L$1,4),VI_Debitos!$Q:$Q,RIGHT(L$1,2))</f>
        <v>0</v>
      </c>
      <c r="M332" s="2">
        <f>SUMIFS(VI_Debitos!$V:$V,VI_Debitos!$H:$H,$C332,VI_Debitos!$T:$T,$D332,VI_Debitos!$R:$R,LEFT(PAGADO!M$1,4),VI_Debitos!$Q:$Q,RIGHT(M$1,2))</f>
        <v>0</v>
      </c>
      <c r="N332" s="2">
        <f>SUMIFS(VI_Debitos!$V:$V,VI_Debitos!$H:$H,$C332,VI_Debitos!$T:$T,$D332,VI_Debitos!$R:$R,LEFT(PAGADO!N$1,4),VI_Debitos!$Q:$Q,RIGHT(N$1,2))</f>
        <v>0</v>
      </c>
      <c r="O332" s="2">
        <f>SUMIFS(VI_Debitos!$V:$V,VI_Debitos!$H:$H,$C332,VI_Debitos!$T:$T,$D332,VI_Debitos!$R:$R,LEFT(PAGADO!O$1,4),VI_Debitos!$Q:$Q,RIGHT(O$1,2))</f>
        <v>0</v>
      </c>
      <c r="P332" s="2">
        <f>SUMIFS(VI_Debitos!$V:$V,VI_Debitos!$H:$H,$C332,VI_Debitos!$T:$T,$D332,VI_Debitos!$R:$R,LEFT(PAGADO!P$1,4),VI_Debitos!$Q:$Q,RIGHT(P$1,2))</f>
        <v>0</v>
      </c>
      <c r="Q332" s="2">
        <f>SUMIFS(VI_Debitos!$V:$V,VI_Debitos!$H:$H,$C332,VI_Debitos!$T:$T,$D332,VI_Debitos!$R:$R,LEFT(PAGADO!Q$1,4),VI_Debitos!$Q:$Q,RIGHT(Q$1,2))</f>
        <v>0</v>
      </c>
      <c r="R332" s="2">
        <f t="shared" si="5"/>
        <v>0</v>
      </c>
    </row>
    <row r="333" spans="6:18">
      <c r="F333" s="2">
        <f>SUMIFS(VI_Debitos!$V:$V,VI_Debitos!$H:$H,$C333,VI_Debitos!$T:$T,$D333,VI_Debitos!$R:$R,LEFT(PAGADO!F$1,4),VI_Debitos!$Q:$Q,RIGHT(F$1,2))</f>
        <v>0</v>
      </c>
      <c r="G333" s="2">
        <f>SUMIFS(VI_Debitos!$V:$V,VI_Debitos!$H:$H,$C333,VI_Debitos!$T:$T,$D333,VI_Debitos!$R:$R,LEFT(PAGADO!G$1,4),VI_Debitos!$Q:$Q,RIGHT(G$1,2))</f>
        <v>0</v>
      </c>
      <c r="H333" s="2">
        <f>SUMIFS(VI_Debitos!$V:$V,VI_Debitos!$H:$H,$C333,VI_Debitos!$T:$T,$D333,VI_Debitos!$R:$R,LEFT(PAGADO!H$1,4),VI_Debitos!$Q:$Q,RIGHT(H$1,2))</f>
        <v>0</v>
      </c>
      <c r="I333" s="2">
        <f>SUMIFS(VI_Debitos!$V:$V,VI_Debitos!$H:$H,$C333,VI_Debitos!$T:$T,$D333,VI_Debitos!$R:$R,LEFT(PAGADO!I$1,4),VI_Debitos!$Q:$Q,RIGHT(I$1,2))</f>
        <v>0</v>
      </c>
      <c r="J333" s="2">
        <f>SUMIFS(VI_Debitos!$V:$V,VI_Debitos!$H:$H,$C333,VI_Debitos!$T:$T,$D333,VI_Debitos!$R:$R,LEFT(PAGADO!J$1,4),VI_Debitos!$Q:$Q,RIGHT(J$1,2))</f>
        <v>0</v>
      </c>
      <c r="K333" s="2">
        <f>SUMIFS(VI_Debitos!$V:$V,VI_Debitos!$H:$H,$C333,VI_Debitos!$T:$T,$D333,VI_Debitos!$R:$R,LEFT(PAGADO!K$1,4),VI_Debitos!$Q:$Q,RIGHT(K$1,2))</f>
        <v>0</v>
      </c>
      <c r="L333" s="2">
        <f>SUMIFS(VI_Debitos!$V:$V,VI_Debitos!$H:$H,$C333,VI_Debitos!$T:$T,$D333,VI_Debitos!$R:$R,LEFT(PAGADO!L$1,4),VI_Debitos!$Q:$Q,RIGHT(L$1,2))</f>
        <v>0</v>
      </c>
      <c r="M333" s="2">
        <f>SUMIFS(VI_Debitos!$V:$V,VI_Debitos!$H:$H,$C333,VI_Debitos!$T:$T,$D333,VI_Debitos!$R:$R,LEFT(PAGADO!M$1,4),VI_Debitos!$Q:$Q,RIGHT(M$1,2))</f>
        <v>0</v>
      </c>
      <c r="N333" s="2">
        <f>SUMIFS(VI_Debitos!$V:$V,VI_Debitos!$H:$H,$C333,VI_Debitos!$T:$T,$D333,VI_Debitos!$R:$R,LEFT(PAGADO!N$1,4),VI_Debitos!$Q:$Q,RIGHT(N$1,2))</f>
        <v>0</v>
      </c>
      <c r="O333" s="2">
        <f>SUMIFS(VI_Debitos!$V:$V,VI_Debitos!$H:$H,$C333,VI_Debitos!$T:$T,$D333,VI_Debitos!$R:$R,LEFT(PAGADO!O$1,4),VI_Debitos!$Q:$Q,RIGHT(O$1,2))</f>
        <v>0</v>
      </c>
      <c r="P333" s="2">
        <f>SUMIFS(VI_Debitos!$V:$V,VI_Debitos!$H:$H,$C333,VI_Debitos!$T:$T,$D333,VI_Debitos!$R:$R,LEFT(PAGADO!P$1,4),VI_Debitos!$Q:$Q,RIGHT(P$1,2))</f>
        <v>0</v>
      </c>
      <c r="Q333" s="2">
        <f>SUMIFS(VI_Debitos!$V:$V,VI_Debitos!$H:$H,$C333,VI_Debitos!$T:$T,$D333,VI_Debitos!$R:$R,LEFT(PAGADO!Q$1,4),VI_Debitos!$Q:$Q,RIGHT(Q$1,2))</f>
        <v>0</v>
      </c>
      <c r="R333" s="2">
        <f t="shared" si="5"/>
        <v>0</v>
      </c>
    </row>
    <row r="334" spans="6:18">
      <c r="F334" s="2">
        <f>SUMIFS(VI_Debitos!$V:$V,VI_Debitos!$H:$H,$C334,VI_Debitos!$T:$T,$D334,VI_Debitos!$R:$R,LEFT(PAGADO!F$1,4),VI_Debitos!$Q:$Q,RIGHT(F$1,2))</f>
        <v>0</v>
      </c>
      <c r="G334" s="2">
        <f>SUMIFS(VI_Debitos!$V:$V,VI_Debitos!$H:$H,$C334,VI_Debitos!$T:$T,$D334,VI_Debitos!$R:$R,LEFT(PAGADO!G$1,4),VI_Debitos!$Q:$Q,RIGHT(G$1,2))</f>
        <v>0</v>
      </c>
      <c r="H334" s="2">
        <f>SUMIFS(VI_Debitos!$V:$V,VI_Debitos!$H:$H,$C334,VI_Debitos!$T:$T,$D334,VI_Debitos!$R:$R,LEFT(PAGADO!H$1,4),VI_Debitos!$Q:$Q,RIGHT(H$1,2))</f>
        <v>0</v>
      </c>
      <c r="I334" s="2">
        <f>SUMIFS(VI_Debitos!$V:$V,VI_Debitos!$H:$H,$C334,VI_Debitos!$T:$T,$D334,VI_Debitos!$R:$R,LEFT(PAGADO!I$1,4),VI_Debitos!$Q:$Q,RIGHT(I$1,2))</f>
        <v>0</v>
      </c>
      <c r="J334" s="2">
        <f>SUMIFS(VI_Debitos!$V:$V,VI_Debitos!$H:$H,$C334,VI_Debitos!$T:$T,$D334,VI_Debitos!$R:$R,LEFT(PAGADO!J$1,4),VI_Debitos!$Q:$Q,RIGHT(J$1,2))</f>
        <v>0</v>
      </c>
      <c r="K334" s="2">
        <f>SUMIFS(VI_Debitos!$V:$V,VI_Debitos!$H:$H,$C334,VI_Debitos!$T:$T,$D334,VI_Debitos!$R:$R,LEFT(PAGADO!K$1,4),VI_Debitos!$Q:$Q,RIGHT(K$1,2))</f>
        <v>0</v>
      </c>
      <c r="L334" s="2">
        <f>SUMIFS(VI_Debitos!$V:$V,VI_Debitos!$H:$H,$C334,VI_Debitos!$T:$T,$D334,VI_Debitos!$R:$R,LEFT(PAGADO!L$1,4),VI_Debitos!$Q:$Q,RIGHT(L$1,2))</f>
        <v>0</v>
      </c>
      <c r="M334" s="2">
        <f>SUMIFS(VI_Debitos!$V:$V,VI_Debitos!$H:$H,$C334,VI_Debitos!$T:$T,$D334,VI_Debitos!$R:$R,LEFT(PAGADO!M$1,4),VI_Debitos!$Q:$Q,RIGHT(M$1,2))</f>
        <v>0</v>
      </c>
      <c r="N334" s="2">
        <f>SUMIFS(VI_Debitos!$V:$V,VI_Debitos!$H:$H,$C334,VI_Debitos!$T:$T,$D334,VI_Debitos!$R:$R,LEFT(PAGADO!N$1,4),VI_Debitos!$Q:$Q,RIGHT(N$1,2))</f>
        <v>0</v>
      </c>
      <c r="O334" s="2">
        <f>SUMIFS(VI_Debitos!$V:$V,VI_Debitos!$H:$H,$C334,VI_Debitos!$T:$T,$D334,VI_Debitos!$R:$R,LEFT(PAGADO!O$1,4),VI_Debitos!$Q:$Q,RIGHT(O$1,2))</f>
        <v>0</v>
      </c>
      <c r="P334" s="2">
        <f>SUMIFS(VI_Debitos!$V:$V,VI_Debitos!$H:$H,$C334,VI_Debitos!$T:$T,$D334,VI_Debitos!$R:$R,LEFT(PAGADO!P$1,4),VI_Debitos!$Q:$Q,RIGHT(P$1,2))</f>
        <v>0</v>
      </c>
      <c r="Q334" s="2">
        <f>SUMIFS(VI_Debitos!$V:$V,VI_Debitos!$H:$H,$C334,VI_Debitos!$T:$T,$D334,VI_Debitos!$R:$R,LEFT(PAGADO!Q$1,4),VI_Debitos!$Q:$Q,RIGHT(Q$1,2))</f>
        <v>0</v>
      </c>
      <c r="R334" s="2">
        <f t="shared" si="5"/>
        <v>0</v>
      </c>
    </row>
    <row r="335" spans="6:18">
      <c r="F335" s="2">
        <f>SUMIFS(VI_Debitos!$V:$V,VI_Debitos!$H:$H,$C335,VI_Debitos!$T:$T,$D335,VI_Debitos!$R:$R,LEFT(PAGADO!F$1,4),VI_Debitos!$Q:$Q,RIGHT(F$1,2))</f>
        <v>0</v>
      </c>
      <c r="G335" s="2">
        <f>SUMIFS(VI_Debitos!$V:$V,VI_Debitos!$H:$H,$C335,VI_Debitos!$T:$T,$D335,VI_Debitos!$R:$R,LEFT(PAGADO!G$1,4),VI_Debitos!$Q:$Q,RIGHT(G$1,2))</f>
        <v>0</v>
      </c>
      <c r="H335" s="2">
        <f>SUMIFS(VI_Debitos!$V:$V,VI_Debitos!$H:$H,$C335,VI_Debitos!$T:$T,$D335,VI_Debitos!$R:$R,LEFT(PAGADO!H$1,4),VI_Debitos!$Q:$Q,RIGHT(H$1,2))</f>
        <v>0</v>
      </c>
      <c r="I335" s="2">
        <f>SUMIFS(VI_Debitos!$V:$V,VI_Debitos!$H:$H,$C335,VI_Debitos!$T:$T,$D335,VI_Debitos!$R:$R,LEFT(PAGADO!I$1,4),VI_Debitos!$Q:$Q,RIGHT(I$1,2))</f>
        <v>0</v>
      </c>
      <c r="J335" s="2">
        <f>SUMIFS(VI_Debitos!$V:$V,VI_Debitos!$H:$H,$C335,VI_Debitos!$T:$T,$D335,VI_Debitos!$R:$R,LEFT(PAGADO!J$1,4),VI_Debitos!$Q:$Q,RIGHT(J$1,2))</f>
        <v>0</v>
      </c>
      <c r="K335" s="2">
        <f>SUMIFS(VI_Debitos!$V:$V,VI_Debitos!$H:$H,$C335,VI_Debitos!$T:$T,$D335,VI_Debitos!$R:$R,LEFT(PAGADO!K$1,4),VI_Debitos!$Q:$Q,RIGHT(K$1,2))</f>
        <v>0</v>
      </c>
      <c r="L335" s="2">
        <f>SUMIFS(VI_Debitos!$V:$V,VI_Debitos!$H:$H,$C335,VI_Debitos!$T:$T,$D335,VI_Debitos!$R:$R,LEFT(PAGADO!L$1,4),VI_Debitos!$Q:$Q,RIGHT(L$1,2))</f>
        <v>0</v>
      </c>
      <c r="M335" s="2">
        <f>SUMIFS(VI_Debitos!$V:$V,VI_Debitos!$H:$H,$C335,VI_Debitos!$T:$T,$D335,VI_Debitos!$R:$R,LEFT(PAGADO!M$1,4),VI_Debitos!$Q:$Q,RIGHT(M$1,2))</f>
        <v>0</v>
      </c>
      <c r="N335" s="2">
        <f>SUMIFS(VI_Debitos!$V:$V,VI_Debitos!$H:$H,$C335,VI_Debitos!$T:$T,$D335,VI_Debitos!$R:$R,LEFT(PAGADO!N$1,4),VI_Debitos!$Q:$Q,RIGHT(N$1,2))</f>
        <v>0</v>
      </c>
      <c r="O335" s="2">
        <f>SUMIFS(VI_Debitos!$V:$V,VI_Debitos!$H:$H,$C335,VI_Debitos!$T:$T,$D335,VI_Debitos!$R:$R,LEFT(PAGADO!O$1,4),VI_Debitos!$Q:$Q,RIGHT(O$1,2))</f>
        <v>0</v>
      </c>
      <c r="P335" s="2">
        <f>SUMIFS(VI_Debitos!$V:$V,VI_Debitos!$H:$H,$C335,VI_Debitos!$T:$T,$D335,VI_Debitos!$R:$R,LEFT(PAGADO!P$1,4),VI_Debitos!$Q:$Q,RIGHT(P$1,2))</f>
        <v>0</v>
      </c>
      <c r="Q335" s="2">
        <f>SUMIFS(VI_Debitos!$V:$V,VI_Debitos!$H:$H,$C335,VI_Debitos!$T:$T,$D335,VI_Debitos!$R:$R,LEFT(PAGADO!Q$1,4),VI_Debitos!$Q:$Q,RIGHT(Q$1,2))</f>
        <v>0</v>
      </c>
      <c r="R335" s="2">
        <f t="shared" si="5"/>
        <v>0</v>
      </c>
    </row>
    <row r="336" spans="6:18">
      <c r="F336" s="2">
        <f>SUMIFS(VI_Debitos!$V:$V,VI_Debitos!$H:$H,$C336,VI_Debitos!$T:$T,$D336,VI_Debitos!$R:$R,LEFT(PAGADO!F$1,4),VI_Debitos!$Q:$Q,RIGHT(F$1,2))</f>
        <v>0</v>
      </c>
      <c r="G336" s="2">
        <f>SUMIFS(VI_Debitos!$V:$V,VI_Debitos!$H:$H,$C336,VI_Debitos!$T:$T,$D336,VI_Debitos!$R:$R,LEFT(PAGADO!G$1,4),VI_Debitos!$Q:$Q,RIGHT(G$1,2))</f>
        <v>0</v>
      </c>
      <c r="H336" s="2">
        <f>SUMIFS(VI_Debitos!$V:$V,VI_Debitos!$H:$H,$C336,VI_Debitos!$T:$T,$D336,VI_Debitos!$R:$R,LEFT(PAGADO!H$1,4),VI_Debitos!$Q:$Q,RIGHT(H$1,2))</f>
        <v>0</v>
      </c>
      <c r="I336" s="2">
        <f>SUMIFS(VI_Debitos!$V:$V,VI_Debitos!$H:$H,$C336,VI_Debitos!$T:$T,$D336,VI_Debitos!$R:$R,LEFT(PAGADO!I$1,4),VI_Debitos!$Q:$Q,RIGHT(I$1,2))</f>
        <v>0</v>
      </c>
      <c r="J336" s="2">
        <f>SUMIFS(VI_Debitos!$V:$V,VI_Debitos!$H:$H,$C336,VI_Debitos!$T:$T,$D336,VI_Debitos!$R:$R,LEFT(PAGADO!J$1,4),VI_Debitos!$Q:$Q,RIGHT(J$1,2))</f>
        <v>0</v>
      </c>
      <c r="K336" s="2">
        <f>SUMIFS(VI_Debitos!$V:$V,VI_Debitos!$H:$H,$C336,VI_Debitos!$T:$T,$D336,VI_Debitos!$R:$R,LEFT(PAGADO!K$1,4),VI_Debitos!$Q:$Q,RIGHT(K$1,2))</f>
        <v>0</v>
      </c>
      <c r="L336" s="2">
        <f>SUMIFS(VI_Debitos!$V:$V,VI_Debitos!$H:$H,$C336,VI_Debitos!$T:$T,$D336,VI_Debitos!$R:$R,LEFT(PAGADO!L$1,4),VI_Debitos!$Q:$Q,RIGHT(L$1,2))</f>
        <v>0</v>
      </c>
      <c r="M336" s="2">
        <f>SUMIFS(VI_Debitos!$V:$V,VI_Debitos!$H:$H,$C336,VI_Debitos!$T:$T,$D336,VI_Debitos!$R:$R,LEFT(PAGADO!M$1,4),VI_Debitos!$Q:$Q,RIGHT(M$1,2))</f>
        <v>0</v>
      </c>
      <c r="N336" s="2">
        <f>SUMIFS(VI_Debitos!$V:$V,VI_Debitos!$H:$H,$C336,VI_Debitos!$T:$T,$D336,VI_Debitos!$R:$R,LEFT(PAGADO!N$1,4),VI_Debitos!$Q:$Q,RIGHT(N$1,2))</f>
        <v>0</v>
      </c>
      <c r="O336" s="2">
        <f>SUMIFS(VI_Debitos!$V:$V,VI_Debitos!$H:$H,$C336,VI_Debitos!$T:$T,$D336,VI_Debitos!$R:$R,LEFT(PAGADO!O$1,4),VI_Debitos!$Q:$Q,RIGHT(O$1,2))</f>
        <v>0</v>
      </c>
      <c r="P336" s="2">
        <f>SUMIFS(VI_Debitos!$V:$V,VI_Debitos!$H:$H,$C336,VI_Debitos!$T:$T,$D336,VI_Debitos!$R:$R,LEFT(PAGADO!P$1,4),VI_Debitos!$Q:$Q,RIGHT(P$1,2))</f>
        <v>0</v>
      </c>
      <c r="Q336" s="2">
        <f>SUMIFS(VI_Debitos!$V:$V,VI_Debitos!$H:$H,$C336,VI_Debitos!$T:$T,$D336,VI_Debitos!$R:$R,LEFT(PAGADO!Q$1,4),VI_Debitos!$Q:$Q,RIGHT(Q$1,2))</f>
        <v>0</v>
      </c>
      <c r="R336" s="2">
        <f t="shared" si="5"/>
        <v>0</v>
      </c>
    </row>
    <row r="337" spans="6:18">
      <c r="F337" s="2">
        <f>SUMIFS(VI_Debitos!$V:$V,VI_Debitos!$H:$H,$C337,VI_Debitos!$T:$T,$D337,VI_Debitos!$R:$R,LEFT(PAGADO!F$1,4),VI_Debitos!$Q:$Q,RIGHT(F$1,2))</f>
        <v>0</v>
      </c>
      <c r="G337" s="2">
        <f>SUMIFS(VI_Debitos!$V:$V,VI_Debitos!$H:$H,$C337,VI_Debitos!$T:$T,$D337,VI_Debitos!$R:$R,LEFT(PAGADO!G$1,4),VI_Debitos!$Q:$Q,RIGHT(G$1,2))</f>
        <v>0</v>
      </c>
      <c r="H337" s="2">
        <f>SUMIFS(VI_Debitos!$V:$V,VI_Debitos!$H:$H,$C337,VI_Debitos!$T:$T,$D337,VI_Debitos!$R:$R,LEFT(PAGADO!H$1,4),VI_Debitos!$Q:$Q,RIGHT(H$1,2))</f>
        <v>0</v>
      </c>
      <c r="I337" s="2">
        <f>SUMIFS(VI_Debitos!$V:$V,VI_Debitos!$H:$H,$C337,VI_Debitos!$T:$T,$D337,VI_Debitos!$R:$R,LEFT(PAGADO!I$1,4),VI_Debitos!$Q:$Q,RIGHT(I$1,2))</f>
        <v>0</v>
      </c>
      <c r="J337" s="2">
        <f>SUMIFS(VI_Debitos!$V:$V,VI_Debitos!$H:$H,$C337,VI_Debitos!$T:$T,$D337,VI_Debitos!$R:$R,LEFT(PAGADO!J$1,4),VI_Debitos!$Q:$Q,RIGHT(J$1,2))</f>
        <v>0</v>
      </c>
      <c r="K337" s="2">
        <f>SUMIFS(VI_Debitos!$V:$V,VI_Debitos!$H:$H,$C337,VI_Debitos!$T:$T,$D337,VI_Debitos!$R:$R,LEFT(PAGADO!K$1,4),VI_Debitos!$Q:$Q,RIGHT(K$1,2))</f>
        <v>0</v>
      </c>
      <c r="L337" s="2">
        <f>SUMIFS(VI_Debitos!$V:$V,VI_Debitos!$H:$H,$C337,VI_Debitos!$T:$T,$D337,VI_Debitos!$R:$R,LEFT(PAGADO!L$1,4),VI_Debitos!$Q:$Q,RIGHT(L$1,2))</f>
        <v>0</v>
      </c>
      <c r="M337" s="2">
        <f>SUMIFS(VI_Debitos!$V:$V,VI_Debitos!$H:$H,$C337,VI_Debitos!$T:$T,$D337,VI_Debitos!$R:$R,LEFT(PAGADO!M$1,4),VI_Debitos!$Q:$Q,RIGHT(M$1,2))</f>
        <v>0</v>
      </c>
      <c r="N337" s="2">
        <f>SUMIFS(VI_Debitos!$V:$V,VI_Debitos!$H:$H,$C337,VI_Debitos!$T:$T,$D337,VI_Debitos!$R:$R,LEFT(PAGADO!N$1,4),VI_Debitos!$Q:$Q,RIGHT(N$1,2))</f>
        <v>0</v>
      </c>
      <c r="O337" s="2">
        <f>SUMIFS(VI_Debitos!$V:$V,VI_Debitos!$H:$H,$C337,VI_Debitos!$T:$T,$D337,VI_Debitos!$R:$R,LEFT(PAGADO!O$1,4),VI_Debitos!$Q:$Q,RIGHT(O$1,2))</f>
        <v>0</v>
      </c>
      <c r="P337" s="2">
        <f>SUMIFS(VI_Debitos!$V:$V,VI_Debitos!$H:$H,$C337,VI_Debitos!$T:$T,$D337,VI_Debitos!$R:$R,LEFT(PAGADO!P$1,4),VI_Debitos!$Q:$Q,RIGHT(P$1,2))</f>
        <v>0</v>
      </c>
      <c r="Q337" s="2">
        <f>SUMIFS(VI_Debitos!$V:$V,VI_Debitos!$H:$H,$C337,VI_Debitos!$T:$T,$D337,VI_Debitos!$R:$R,LEFT(PAGADO!Q$1,4),VI_Debitos!$Q:$Q,RIGHT(Q$1,2))</f>
        <v>0</v>
      </c>
      <c r="R337" s="2">
        <f t="shared" si="5"/>
        <v>0</v>
      </c>
    </row>
    <row r="338" spans="6:18">
      <c r="F338" s="2">
        <f>SUMIFS(VI_Debitos!$V:$V,VI_Debitos!$H:$H,$C338,VI_Debitos!$T:$T,$D338,VI_Debitos!$R:$R,LEFT(PAGADO!F$1,4),VI_Debitos!$Q:$Q,RIGHT(F$1,2))</f>
        <v>0</v>
      </c>
      <c r="G338" s="2">
        <f>SUMIFS(VI_Debitos!$V:$V,VI_Debitos!$H:$H,$C338,VI_Debitos!$T:$T,$D338,VI_Debitos!$R:$R,LEFT(PAGADO!G$1,4),VI_Debitos!$Q:$Q,RIGHT(G$1,2))</f>
        <v>0</v>
      </c>
      <c r="H338" s="2">
        <f>SUMIFS(VI_Debitos!$V:$V,VI_Debitos!$H:$H,$C338,VI_Debitos!$T:$T,$D338,VI_Debitos!$R:$R,LEFT(PAGADO!H$1,4),VI_Debitos!$Q:$Q,RIGHT(H$1,2))</f>
        <v>0</v>
      </c>
      <c r="I338" s="2">
        <f>SUMIFS(VI_Debitos!$V:$V,VI_Debitos!$H:$H,$C338,VI_Debitos!$T:$T,$D338,VI_Debitos!$R:$R,LEFT(PAGADO!I$1,4),VI_Debitos!$Q:$Q,RIGHT(I$1,2))</f>
        <v>0</v>
      </c>
      <c r="J338" s="2">
        <f>SUMIFS(VI_Debitos!$V:$V,VI_Debitos!$H:$H,$C338,VI_Debitos!$T:$T,$D338,VI_Debitos!$R:$R,LEFT(PAGADO!J$1,4),VI_Debitos!$Q:$Q,RIGHT(J$1,2))</f>
        <v>0</v>
      </c>
      <c r="K338" s="2">
        <f>SUMIFS(VI_Debitos!$V:$V,VI_Debitos!$H:$H,$C338,VI_Debitos!$T:$T,$D338,VI_Debitos!$R:$R,LEFT(PAGADO!K$1,4),VI_Debitos!$Q:$Q,RIGHT(K$1,2))</f>
        <v>0</v>
      </c>
      <c r="L338" s="2">
        <f>SUMIFS(VI_Debitos!$V:$V,VI_Debitos!$H:$H,$C338,VI_Debitos!$T:$T,$D338,VI_Debitos!$R:$R,LEFT(PAGADO!L$1,4),VI_Debitos!$Q:$Q,RIGHT(L$1,2))</f>
        <v>0</v>
      </c>
      <c r="M338" s="2">
        <f>SUMIFS(VI_Debitos!$V:$V,VI_Debitos!$H:$H,$C338,VI_Debitos!$T:$T,$D338,VI_Debitos!$R:$R,LEFT(PAGADO!M$1,4),VI_Debitos!$Q:$Q,RIGHT(M$1,2))</f>
        <v>0</v>
      </c>
      <c r="N338" s="2">
        <f>SUMIFS(VI_Debitos!$V:$V,VI_Debitos!$H:$H,$C338,VI_Debitos!$T:$T,$D338,VI_Debitos!$R:$R,LEFT(PAGADO!N$1,4),VI_Debitos!$Q:$Q,RIGHT(N$1,2))</f>
        <v>0</v>
      </c>
      <c r="O338" s="2">
        <f>SUMIFS(VI_Debitos!$V:$V,VI_Debitos!$H:$H,$C338,VI_Debitos!$T:$T,$D338,VI_Debitos!$R:$R,LEFT(PAGADO!O$1,4),VI_Debitos!$Q:$Q,RIGHT(O$1,2))</f>
        <v>0</v>
      </c>
      <c r="P338" s="2">
        <f>SUMIFS(VI_Debitos!$V:$V,VI_Debitos!$H:$H,$C338,VI_Debitos!$T:$T,$D338,VI_Debitos!$R:$R,LEFT(PAGADO!P$1,4),VI_Debitos!$Q:$Q,RIGHT(P$1,2))</f>
        <v>0</v>
      </c>
      <c r="Q338" s="2">
        <f>SUMIFS(VI_Debitos!$V:$V,VI_Debitos!$H:$H,$C338,VI_Debitos!$T:$T,$D338,VI_Debitos!$R:$R,LEFT(PAGADO!Q$1,4),VI_Debitos!$Q:$Q,RIGHT(Q$1,2))</f>
        <v>0</v>
      </c>
      <c r="R338" s="2">
        <f t="shared" si="5"/>
        <v>0</v>
      </c>
    </row>
    <row r="339" spans="6:18">
      <c r="F339" s="2">
        <f>SUMIFS(VI_Debitos!$V:$V,VI_Debitos!$H:$H,$C339,VI_Debitos!$T:$T,$D339,VI_Debitos!$R:$R,LEFT(PAGADO!F$1,4),VI_Debitos!$Q:$Q,RIGHT(F$1,2))</f>
        <v>0</v>
      </c>
      <c r="G339" s="2">
        <f>SUMIFS(VI_Debitos!$V:$V,VI_Debitos!$H:$H,$C339,VI_Debitos!$T:$T,$D339,VI_Debitos!$R:$R,LEFT(PAGADO!G$1,4),VI_Debitos!$Q:$Q,RIGHT(G$1,2))</f>
        <v>0</v>
      </c>
      <c r="H339" s="2">
        <f>SUMIFS(VI_Debitos!$V:$V,VI_Debitos!$H:$H,$C339,VI_Debitos!$T:$T,$D339,VI_Debitos!$R:$R,LEFT(PAGADO!H$1,4),VI_Debitos!$Q:$Q,RIGHT(H$1,2))</f>
        <v>0</v>
      </c>
      <c r="I339" s="2">
        <f>SUMIFS(VI_Debitos!$V:$V,VI_Debitos!$H:$H,$C339,VI_Debitos!$T:$T,$D339,VI_Debitos!$R:$R,LEFT(PAGADO!I$1,4),VI_Debitos!$Q:$Q,RIGHT(I$1,2))</f>
        <v>0</v>
      </c>
      <c r="J339" s="2">
        <f>SUMIFS(VI_Debitos!$V:$V,VI_Debitos!$H:$H,$C339,VI_Debitos!$T:$T,$D339,VI_Debitos!$R:$R,LEFT(PAGADO!J$1,4),VI_Debitos!$Q:$Q,RIGHT(J$1,2))</f>
        <v>0</v>
      </c>
      <c r="K339" s="2">
        <f>SUMIFS(VI_Debitos!$V:$V,VI_Debitos!$H:$H,$C339,VI_Debitos!$T:$T,$D339,VI_Debitos!$R:$R,LEFT(PAGADO!K$1,4),VI_Debitos!$Q:$Q,RIGHT(K$1,2))</f>
        <v>0</v>
      </c>
      <c r="L339" s="2">
        <f>SUMIFS(VI_Debitos!$V:$V,VI_Debitos!$H:$H,$C339,VI_Debitos!$T:$T,$D339,VI_Debitos!$R:$R,LEFT(PAGADO!L$1,4),VI_Debitos!$Q:$Q,RIGHT(L$1,2))</f>
        <v>0</v>
      </c>
      <c r="M339" s="2">
        <f>SUMIFS(VI_Debitos!$V:$V,VI_Debitos!$H:$H,$C339,VI_Debitos!$T:$T,$D339,VI_Debitos!$R:$R,LEFT(PAGADO!M$1,4),VI_Debitos!$Q:$Q,RIGHT(M$1,2))</f>
        <v>0</v>
      </c>
      <c r="N339" s="2">
        <f>SUMIFS(VI_Debitos!$V:$V,VI_Debitos!$H:$H,$C339,VI_Debitos!$T:$T,$D339,VI_Debitos!$R:$R,LEFT(PAGADO!N$1,4),VI_Debitos!$Q:$Q,RIGHT(N$1,2))</f>
        <v>0</v>
      </c>
      <c r="O339" s="2">
        <f>SUMIFS(VI_Debitos!$V:$V,VI_Debitos!$H:$H,$C339,VI_Debitos!$T:$T,$D339,VI_Debitos!$R:$R,LEFT(PAGADO!O$1,4),VI_Debitos!$Q:$Q,RIGHT(O$1,2))</f>
        <v>0</v>
      </c>
      <c r="P339" s="2">
        <f>SUMIFS(VI_Debitos!$V:$V,VI_Debitos!$H:$H,$C339,VI_Debitos!$T:$T,$D339,VI_Debitos!$R:$R,LEFT(PAGADO!P$1,4),VI_Debitos!$Q:$Q,RIGHT(P$1,2))</f>
        <v>0</v>
      </c>
      <c r="Q339" s="2">
        <f>SUMIFS(VI_Debitos!$V:$V,VI_Debitos!$H:$H,$C339,VI_Debitos!$T:$T,$D339,VI_Debitos!$R:$R,LEFT(PAGADO!Q$1,4),VI_Debitos!$Q:$Q,RIGHT(Q$1,2))</f>
        <v>0</v>
      </c>
      <c r="R339" s="2">
        <f t="shared" si="5"/>
        <v>0</v>
      </c>
    </row>
    <row r="340" spans="6:18">
      <c r="F340" s="2">
        <f>SUMIFS(VI_Debitos!$V:$V,VI_Debitos!$H:$H,$C340,VI_Debitos!$T:$T,$D340,VI_Debitos!$R:$R,LEFT(PAGADO!F$1,4),VI_Debitos!$Q:$Q,RIGHT(F$1,2))</f>
        <v>0</v>
      </c>
      <c r="G340" s="2">
        <f>SUMIFS(VI_Debitos!$V:$V,VI_Debitos!$H:$H,$C340,VI_Debitos!$T:$T,$D340,VI_Debitos!$R:$R,LEFT(PAGADO!G$1,4),VI_Debitos!$Q:$Q,RIGHT(G$1,2))</f>
        <v>0</v>
      </c>
      <c r="H340" s="2">
        <f>SUMIFS(VI_Debitos!$V:$V,VI_Debitos!$H:$H,$C340,VI_Debitos!$T:$T,$D340,VI_Debitos!$R:$R,LEFT(PAGADO!H$1,4),VI_Debitos!$Q:$Q,RIGHT(H$1,2))</f>
        <v>0</v>
      </c>
      <c r="I340" s="2">
        <f>SUMIFS(VI_Debitos!$V:$V,VI_Debitos!$H:$H,$C340,VI_Debitos!$T:$T,$D340,VI_Debitos!$R:$R,LEFT(PAGADO!I$1,4),VI_Debitos!$Q:$Q,RIGHT(I$1,2))</f>
        <v>0</v>
      </c>
      <c r="J340" s="2">
        <f>SUMIFS(VI_Debitos!$V:$V,VI_Debitos!$H:$H,$C340,VI_Debitos!$T:$T,$D340,VI_Debitos!$R:$R,LEFT(PAGADO!J$1,4),VI_Debitos!$Q:$Q,RIGHT(J$1,2))</f>
        <v>0</v>
      </c>
      <c r="K340" s="2">
        <f>SUMIFS(VI_Debitos!$V:$V,VI_Debitos!$H:$H,$C340,VI_Debitos!$T:$T,$D340,VI_Debitos!$R:$R,LEFT(PAGADO!K$1,4),VI_Debitos!$Q:$Q,RIGHT(K$1,2))</f>
        <v>0</v>
      </c>
      <c r="L340" s="2">
        <f>SUMIFS(VI_Debitos!$V:$V,VI_Debitos!$H:$H,$C340,VI_Debitos!$T:$T,$D340,VI_Debitos!$R:$R,LEFT(PAGADO!L$1,4),VI_Debitos!$Q:$Q,RIGHT(L$1,2))</f>
        <v>0</v>
      </c>
      <c r="M340" s="2">
        <f>SUMIFS(VI_Debitos!$V:$V,VI_Debitos!$H:$H,$C340,VI_Debitos!$T:$T,$D340,VI_Debitos!$R:$R,LEFT(PAGADO!M$1,4),VI_Debitos!$Q:$Q,RIGHT(M$1,2))</f>
        <v>0</v>
      </c>
      <c r="N340" s="2">
        <f>SUMIFS(VI_Debitos!$V:$V,VI_Debitos!$H:$H,$C340,VI_Debitos!$T:$T,$D340,VI_Debitos!$R:$R,LEFT(PAGADO!N$1,4),VI_Debitos!$Q:$Q,RIGHT(N$1,2))</f>
        <v>0</v>
      </c>
      <c r="O340" s="2">
        <f>SUMIFS(VI_Debitos!$V:$V,VI_Debitos!$H:$H,$C340,VI_Debitos!$T:$T,$D340,VI_Debitos!$R:$R,LEFT(PAGADO!O$1,4),VI_Debitos!$Q:$Q,RIGHT(O$1,2))</f>
        <v>0</v>
      </c>
      <c r="P340" s="2">
        <f>SUMIFS(VI_Debitos!$V:$V,VI_Debitos!$H:$H,$C340,VI_Debitos!$T:$T,$D340,VI_Debitos!$R:$R,LEFT(PAGADO!P$1,4),VI_Debitos!$Q:$Q,RIGHT(P$1,2))</f>
        <v>0</v>
      </c>
      <c r="Q340" s="2">
        <f>SUMIFS(VI_Debitos!$V:$V,VI_Debitos!$H:$H,$C340,VI_Debitos!$T:$T,$D340,VI_Debitos!$R:$R,LEFT(PAGADO!Q$1,4),VI_Debitos!$Q:$Q,RIGHT(Q$1,2))</f>
        <v>0</v>
      </c>
      <c r="R340" s="2">
        <f t="shared" si="5"/>
        <v>0</v>
      </c>
    </row>
    <row r="341" spans="6:18">
      <c r="F341" s="2">
        <f>SUMIFS(VI_Debitos!$V:$V,VI_Debitos!$H:$H,$C341,VI_Debitos!$T:$T,$D341,VI_Debitos!$R:$R,LEFT(PAGADO!F$1,4),VI_Debitos!$Q:$Q,RIGHT(F$1,2))</f>
        <v>0</v>
      </c>
      <c r="G341" s="2">
        <f>SUMIFS(VI_Debitos!$V:$V,VI_Debitos!$H:$H,$C341,VI_Debitos!$T:$T,$D341,VI_Debitos!$R:$R,LEFT(PAGADO!G$1,4),VI_Debitos!$Q:$Q,RIGHT(G$1,2))</f>
        <v>0</v>
      </c>
      <c r="H341" s="2">
        <f>SUMIFS(VI_Debitos!$V:$V,VI_Debitos!$H:$H,$C341,VI_Debitos!$T:$T,$D341,VI_Debitos!$R:$R,LEFT(PAGADO!H$1,4),VI_Debitos!$Q:$Q,RIGHT(H$1,2))</f>
        <v>0</v>
      </c>
      <c r="I341" s="2">
        <f>SUMIFS(VI_Debitos!$V:$V,VI_Debitos!$H:$H,$C341,VI_Debitos!$T:$T,$D341,VI_Debitos!$R:$R,LEFT(PAGADO!I$1,4),VI_Debitos!$Q:$Q,RIGHT(I$1,2))</f>
        <v>0</v>
      </c>
      <c r="J341" s="2">
        <f>SUMIFS(VI_Debitos!$V:$V,VI_Debitos!$H:$H,$C341,VI_Debitos!$T:$T,$D341,VI_Debitos!$R:$R,LEFT(PAGADO!J$1,4),VI_Debitos!$Q:$Q,RIGHT(J$1,2))</f>
        <v>0</v>
      </c>
      <c r="K341" s="2">
        <f>SUMIFS(VI_Debitos!$V:$V,VI_Debitos!$H:$H,$C341,VI_Debitos!$T:$T,$D341,VI_Debitos!$R:$R,LEFT(PAGADO!K$1,4),VI_Debitos!$Q:$Q,RIGHT(K$1,2))</f>
        <v>0</v>
      </c>
      <c r="L341" s="2">
        <f>SUMIFS(VI_Debitos!$V:$V,VI_Debitos!$H:$H,$C341,VI_Debitos!$T:$T,$D341,VI_Debitos!$R:$R,LEFT(PAGADO!L$1,4),VI_Debitos!$Q:$Q,RIGHT(L$1,2))</f>
        <v>0</v>
      </c>
      <c r="M341" s="2">
        <f>SUMIFS(VI_Debitos!$V:$V,VI_Debitos!$H:$H,$C341,VI_Debitos!$T:$T,$D341,VI_Debitos!$R:$R,LEFT(PAGADO!M$1,4),VI_Debitos!$Q:$Q,RIGHT(M$1,2))</f>
        <v>0</v>
      </c>
      <c r="N341" s="2">
        <f>SUMIFS(VI_Debitos!$V:$V,VI_Debitos!$H:$H,$C341,VI_Debitos!$T:$T,$D341,VI_Debitos!$R:$R,LEFT(PAGADO!N$1,4),VI_Debitos!$Q:$Q,RIGHT(N$1,2))</f>
        <v>0</v>
      </c>
      <c r="O341" s="2">
        <f>SUMIFS(VI_Debitos!$V:$V,VI_Debitos!$H:$H,$C341,VI_Debitos!$T:$T,$D341,VI_Debitos!$R:$R,LEFT(PAGADO!O$1,4),VI_Debitos!$Q:$Q,RIGHT(O$1,2))</f>
        <v>0</v>
      </c>
      <c r="P341" s="2">
        <f>SUMIFS(VI_Debitos!$V:$V,VI_Debitos!$H:$H,$C341,VI_Debitos!$T:$T,$D341,VI_Debitos!$R:$R,LEFT(PAGADO!P$1,4),VI_Debitos!$Q:$Q,RIGHT(P$1,2))</f>
        <v>0</v>
      </c>
      <c r="Q341" s="2">
        <f>SUMIFS(VI_Debitos!$V:$V,VI_Debitos!$H:$H,$C341,VI_Debitos!$T:$T,$D341,VI_Debitos!$R:$R,LEFT(PAGADO!Q$1,4),VI_Debitos!$Q:$Q,RIGHT(Q$1,2))</f>
        <v>0</v>
      </c>
      <c r="R341" s="2">
        <f t="shared" si="5"/>
        <v>0</v>
      </c>
    </row>
    <row r="342" spans="6:18">
      <c r="F342" s="2">
        <f>SUMIFS(VI_Debitos!$V:$V,VI_Debitos!$H:$H,$C342,VI_Debitos!$T:$T,$D342,VI_Debitos!$R:$R,LEFT(PAGADO!F$1,4),VI_Debitos!$Q:$Q,RIGHT(F$1,2))</f>
        <v>0</v>
      </c>
      <c r="G342" s="2">
        <f>SUMIFS(VI_Debitos!$V:$V,VI_Debitos!$H:$H,$C342,VI_Debitos!$T:$T,$D342,VI_Debitos!$R:$R,LEFT(PAGADO!G$1,4),VI_Debitos!$Q:$Q,RIGHT(G$1,2))</f>
        <v>0</v>
      </c>
      <c r="H342" s="2">
        <f>SUMIFS(VI_Debitos!$V:$V,VI_Debitos!$H:$H,$C342,VI_Debitos!$T:$T,$D342,VI_Debitos!$R:$R,LEFT(PAGADO!H$1,4),VI_Debitos!$Q:$Q,RIGHT(H$1,2))</f>
        <v>0</v>
      </c>
      <c r="I342" s="2">
        <f>SUMIFS(VI_Debitos!$V:$V,VI_Debitos!$H:$H,$C342,VI_Debitos!$T:$T,$D342,VI_Debitos!$R:$R,LEFT(PAGADO!I$1,4),VI_Debitos!$Q:$Q,RIGHT(I$1,2))</f>
        <v>0</v>
      </c>
      <c r="J342" s="2">
        <f>SUMIFS(VI_Debitos!$V:$V,VI_Debitos!$H:$H,$C342,VI_Debitos!$T:$T,$D342,VI_Debitos!$R:$R,LEFT(PAGADO!J$1,4),VI_Debitos!$Q:$Q,RIGHT(J$1,2))</f>
        <v>0</v>
      </c>
      <c r="K342" s="2">
        <f>SUMIFS(VI_Debitos!$V:$V,VI_Debitos!$H:$H,$C342,VI_Debitos!$T:$T,$D342,VI_Debitos!$R:$R,LEFT(PAGADO!K$1,4),VI_Debitos!$Q:$Q,RIGHT(K$1,2))</f>
        <v>0</v>
      </c>
      <c r="L342" s="2">
        <f>SUMIFS(VI_Debitos!$V:$V,VI_Debitos!$H:$H,$C342,VI_Debitos!$T:$T,$D342,VI_Debitos!$R:$R,LEFT(PAGADO!L$1,4),VI_Debitos!$Q:$Q,RIGHT(L$1,2))</f>
        <v>0</v>
      </c>
      <c r="M342" s="2">
        <f>SUMIFS(VI_Debitos!$V:$V,VI_Debitos!$H:$H,$C342,VI_Debitos!$T:$T,$D342,VI_Debitos!$R:$R,LEFT(PAGADO!M$1,4),VI_Debitos!$Q:$Q,RIGHT(M$1,2))</f>
        <v>0</v>
      </c>
      <c r="N342" s="2">
        <f>SUMIFS(VI_Debitos!$V:$V,VI_Debitos!$H:$H,$C342,VI_Debitos!$T:$T,$D342,VI_Debitos!$R:$R,LEFT(PAGADO!N$1,4),VI_Debitos!$Q:$Q,RIGHT(N$1,2))</f>
        <v>0</v>
      </c>
      <c r="O342" s="2">
        <f>SUMIFS(VI_Debitos!$V:$V,VI_Debitos!$H:$H,$C342,VI_Debitos!$T:$T,$D342,VI_Debitos!$R:$R,LEFT(PAGADO!O$1,4),VI_Debitos!$Q:$Q,RIGHT(O$1,2))</f>
        <v>0</v>
      </c>
      <c r="P342" s="2">
        <f>SUMIFS(VI_Debitos!$V:$V,VI_Debitos!$H:$H,$C342,VI_Debitos!$T:$T,$D342,VI_Debitos!$R:$R,LEFT(PAGADO!P$1,4),VI_Debitos!$Q:$Q,RIGHT(P$1,2))</f>
        <v>0</v>
      </c>
      <c r="Q342" s="2">
        <f>SUMIFS(VI_Debitos!$V:$V,VI_Debitos!$H:$H,$C342,VI_Debitos!$T:$T,$D342,VI_Debitos!$R:$R,LEFT(PAGADO!Q$1,4),VI_Debitos!$Q:$Q,RIGHT(Q$1,2))</f>
        <v>0</v>
      </c>
      <c r="R342" s="2">
        <f t="shared" si="5"/>
        <v>0</v>
      </c>
    </row>
    <row r="343" spans="6:18">
      <c r="F343" s="2">
        <f>SUMIFS(VI_Debitos!$V:$V,VI_Debitos!$H:$H,$C343,VI_Debitos!$T:$T,$D343,VI_Debitos!$R:$R,LEFT(PAGADO!F$1,4),VI_Debitos!$Q:$Q,RIGHT(F$1,2))</f>
        <v>0</v>
      </c>
      <c r="G343" s="2">
        <f>SUMIFS(VI_Debitos!$V:$V,VI_Debitos!$H:$H,$C343,VI_Debitos!$T:$T,$D343,VI_Debitos!$R:$R,LEFT(PAGADO!G$1,4),VI_Debitos!$Q:$Q,RIGHT(G$1,2))</f>
        <v>0</v>
      </c>
      <c r="H343" s="2">
        <f>SUMIFS(VI_Debitos!$V:$V,VI_Debitos!$H:$H,$C343,VI_Debitos!$T:$T,$D343,VI_Debitos!$R:$R,LEFT(PAGADO!H$1,4),VI_Debitos!$Q:$Q,RIGHT(H$1,2))</f>
        <v>0</v>
      </c>
      <c r="I343" s="2">
        <f>SUMIFS(VI_Debitos!$V:$V,VI_Debitos!$H:$H,$C343,VI_Debitos!$T:$T,$D343,VI_Debitos!$R:$R,LEFT(PAGADO!I$1,4),VI_Debitos!$Q:$Q,RIGHT(I$1,2))</f>
        <v>0</v>
      </c>
      <c r="J343" s="2">
        <f>SUMIFS(VI_Debitos!$V:$V,VI_Debitos!$H:$H,$C343,VI_Debitos!$T:$T,$D343,VI_Debitos!$R:$R,LEFT(PAGADO!J$1,4),VI_Debitos!$Q:$Q,RIGHT(J$1,2))</f>
        <v>0</v>
      </c>
      <c r="K343" s="2">
        <f>SUMIFS(VI_Debitos!$V:$V,VI_Debitos!$H:$H,$C343,VI_Debitos!$T:$T,$D343,VI_Debitos!$R:$R,LEFT(PAGADO!K$1,4),VI_Debitos!$Q:$Q,RIGHT(K$1,2))</f>
        <v>0</v>
      </c>
      <c r="L343" s="2">
        <f>SUMIFS(VI_Debitos!$V:$V,VI_Debitos!$H:$H,$C343,VI_Debitos!$T:$T,$D343,VI_Debitos!$R:$R,LEFT(PAGADO!L$1,4),VI_Debitos!$Q:$Q,RIGHT(L$1,2))</f>
        <v>0</v>
      </c>
      <c r="M343" s="2">
        <f>SUMIFS(VI_Debitos!$V:$V,VI_Debitos!$H:$H,$C343,VI_Debitos!$T:$T,$D343,VI_Debitos!$R:$R,LEFT(PAGADO!M$1,4),VI_Debitos!$Q:$Q,RIGHT(M$1,2))</f>
        <v>0</v>
      </c>
      <c r="N343" s="2">
        <f>SUMIFS(VI_Debitos!$V:$V,VI_Debitos!$H:$H,$C343,VI_Debitos!$T:$T,$D343,VI_Debitos!$R:$R,LEFT(PAGADO!N$1,4),VI_Debitos!$Q:$Q,RIGHT(N$1,2))</f>
        <v>0</v>
      </c>
      <c r="O343" s="2">
        <f>SUMIFS(VI_Debitos!$V:$V,VI_Debitos!$H:$H,$C343,VI_Debitos!$T:$T,$D343,VI_Debitos!$R:$R,LEFT(PAGADO!O$1,4),VI_Debitos!$Q:$Q,RIGHT(O$1,2))</f>
        <v>0</v>
      </c>
      <c r="P343" s="2">
        <f>SUMIFS(VI_Debitos!$V:$V,VI_Debitos!$H:$H,$C343,VI_Debitos!$T:$T,$D343,VI_Debitos!$R:$R,LEFT(PAGADO!P$1,4),VI_Debitos!$Q:$Q,RIGHT(P$1,2))</f>
        <v>0</v>
      </c>
      <c r="Q343" s="2">
        <f>SUMIFS(VI_Debitos!$V:$V,VI_Debitos!$H:$H,$C343,VI_Debitos!$T:$T,$D343,VI_Debitos!$R:$R,LEFT(PAGADO!Q$1,4),VI_Debitos!$Q:$Q,RIGHT(Q$1,2))</f>
        <v>0</v>
      </c>
      <c r="R343" s="2">
        <f t="shared" si="5"/>
        <v>0</v>
      </c>
    </row>
    <row r="344" spans="6:18">
      <c r="F344" s="2">
        <f>SUMIFS(VI_Debitos!$V:$V,VI_Debitos!$H:$H,$C344,VI_Debitos!$T:$T,$D344,VI_Debitos!$R:$R,LEFT(PAGADO!F$1,4),VI_Debitos!$Q:$Q,RIGHT(F$1,2))</f>
        <v>0</v>
      </c>
      <c r="G344" s="2">
        <f>SUMIFS(VI_Debitos!$V:$V,VI_Debitos!$H:$H,$C344,VI_Debitos!$T:$T,$D344,VI_Debitos!$R:$R,LEFT(PAGADO!G$1,4),VI_Debitos!$Q:$Q,RIGHT(G$1,2))</f>
        <v>0</v>
      </c>
      <c r="H344" s="2">
        <f>SUMIFS(VI_Debitos!$V:$V,VI_Debitos!$H:$H,$C344,VI_Debitos!$T:$T,$D344,VI_Debitos!$R:$R,LEFT(PAGADO!H$1,4),VI_Debitos!$Q:$Q,RIGHT(H$1,2))</f>
        <v>0</v>
      </c>
      <c r="I344" s="2">
        <f>SUMIFS(VI_Debitos!$V:$V,VI_Debitos!$H:$H,$C344,VI_Debitos!$T:$T,$D344,VI_Debitos!$R:$R,LEFT(PAGADO!I$1,4),VI_Debitos!$Q:$Q,RIGHT(I$1,2))</f>
        <v>0</v>
      </c>
      <c r="J344" s="2">
        <f>SUMIFS(VI_Debitos!$V:$V,VI_Debitos!$H:$H,$C344,VI_Debitos!$T:$T,$D344,VI_Debitos!$R:$R,LEFT(PAGADO!J$1,4),VI_Debitos!$Q:$Q,RIGHT(J$1,2))</f>
        <v>0</v>
      </c>
      <c r="K344" s="2">
        <f>SUMIFS(VI_Debitos!$V:$V,VI_Debitos!$H:$H,$C344,VI_Debitos!$T:$T,$D344,VI_Debitos!$R:$R,LEFT(PAGADO!K$1,4),VI_Debitos!$Q:$Q,RIGHT(K$1,2))</f>
        <v>0</v>
      </c>
      <c r="L344" s="2">
        <f>SUMIFS(VI_Debitos!$V:$V,VI_Debitos!$H:$H,$C344,VI_Debitos!$T:$T,$D344,VI_Debitos!$R:$R,LEFT(PAGADO!L$1,4),VI_Debitos!$Q:$Q,RIGHT(L$1,2))</f>
        <v>0</v>
      </c>
      <c r="M344" s="2">
        <f>SUMIFS(VI_Debitos!$V:$V,VI_Debitos!$H:$H,$C344,VI_Debitos!$T:$T,$D344,VI_Debitos!$R:$R,LEFT(PAGADO!M$1,4),VI_Debitos!$Q:$Q,RIGHT(M$1,2))</f>
        <v>0</v>
      </c>
      <c r="N344" s="2">
        <f>SUMIFS(VI_Debitos!$V:$V,VI_Debitos!$H:$H,$C344,VI_Debitos!$T:$T,$D344,VI_Debitos!$R:$R,LEFT(PAGADO!N$1,4),VI_Debitos!$Q:$Q,RIGHT(N$1,2))</f>
        <v>0</v>
      </c>
      <c r="O344" s="2">
        <f>SUMIFS(VI_Debitos!$V:$V,VI_Debitos!$H:$H,$C344,VI_Debitos!$T:$T,$D344,VI_Debitos!$R:$R,LEFT(PAGADO!O$1,4),VI_Debitos!$Q:$Q,RIGHT(O$1,2))</f>
        <v>0</v>
      </c>
      <c r="P344" s="2">
        <f>SUMIFS(VI_Debitos!$V:$V,VI_Debitos!$H:$H,$C344,VI_Debitos!$T:$T,$D344,VI_Debitos!$R:$R,LEFT(PAGADO!P$1,4),VI_Debitos!$Q:$Q,RIGHT(P$1,2))</f>
        <v>0</v>
      </c>
      <c r="Q344" s="2">
        <f>SUMIFS(VI_Debitos!$V:$V,VI_Debitos!$H:$H,$C344,VI_Debitos!$T:$T,$D344,VI_Debitos!$R:$R,LEFT(PAGADO!Q$1,4),VI_Debitos!$Q:$Q,RIGHT(Q$1,2))</f>
        <v>0</v>
      </c>
      <c r="R344" s="2">
        <f t="shared" si="5"/>
        <v>0</v>
      </c>
    </row>
    <row r="345" spans="6:18">
      <c r="F345" s="2">
        <f>SUMIFS(VI_Debitos!$V:$V,VI_Debitos!$H:$H,$C345,VI_Debitos!$T:$T,$D345,VI_Debitos!$R:$R,LEFT(PAGADO!F$1,4),VI_Debitos!$Q:$Q,RIGHT(F$1,2))</f>
        <v>0</v>
      </c>
      <c r="G345" s="2">
        <f>SUMIFS(VI_Debitos!$V:$V,VI_Debitos!$H:$H,$C345,VI_Debitos!$T:$T,$D345,VI_Debitos!$R:$R,LEFT(PAGADO!G$1,4),VI_Debitos!$Q:$Q,RIGHT(G$1,2))</f>
        <v>0</v>
      </c>
      <c r="H345" s="2">
        <f>SUMIFS(VI_Debitos!$V:$V,VI_Debitos!$H:$H,$C345,VI_Debitos!$T:$T,$D345,VI_Debitos!$R:$R,LEFT(PAGADO!H$1,4),VI_Debitos!$Q:$Q,RIGHT(H$1,2))</f>
        <v>0</v>
      </c>
      <c r="I345" s="2">
        <f>SUMIFS(VI_Debitos!$V:$V,VI_Debitos!$H:$H,$C345,VI_Debitos!$T:$T,$D345,VI_Debitos!$R:$R,LEFT(PAGADO!I$1,4),VI_Debitos!$Q:$Q,RIGHT(I$1,2))</f>
        <v>0</v>
      </c>
      <c r="J345" s="2">
        <f>SUMIFS(VI_Debitos!$V:$V,VI_Debitos!$H:$H,$C345,VI_Debitos!$T:$T,$D345,VI_Debitos!$R:$R,LEFT(PAGADO!J$1,4),VI_Debitos!$Q:$Q,RIGHT(J$1,2))</f>
        <v>0</v>
      </c>
      <c r="K345" s="2">
        <f>SUMIFS(VI_Debitos!$V:$V,VI_Debitos!$H:$H,$C345,VI_Debitos!$T:$T,$D345,VI_Debitos!$R:$R,LEFT(PAGADO!K$1,4),VI_Debitos!$Q:$Q,RIGHT(K$1,2))</f>
        <v>0</v>
      </c>
      <c r="L345" s="2">
        <f>SUMIFS(VI_Debitos!$V:$V,VI_Debitos!$H:$H,$C345,VI_Debitos!$T:$T,$D345,VI_Debitos!$R:$R,LEFT(PAGADO!L$1,4),VI_Debitos!$Q:$Q,RIGHT(L$1,2))</f>
        <v>0</v>
      </c>
      <c r="M345" s="2">
        <f>SUMIFS(VI_Debitos!$V:$V,VI_Debitos!$H:$H,$C345,VI_Debitos!$T:$T,$D345,VI_Debitos!$R:$R,LEFT(PAGADO!M$1,4),VI_Debitos!$Q:$Q,RIGHT(M$1,2))</f>
        <v>0</v>
      </c>
      <c r="N345" s="2">
        <f>SUMIFS(VI_Debitos!$V:$V,VI_Debitos!$H:$H,$C345,VI_Debitos!$T:$T,$D345,VI_Debitos!$R:$R,LEFT(PAGADO!N$1,4),VI_Debitos!$Q:$Q,RIGHT(N$1,2))</f>
        <v>0</v>
      </c>
      <c r="O345" s="2">
        <f>SUMIFS(VI_Debitos!$V:$V,VI_Debitos!$H:$H,$C345,VI_Debitos!$T:$T,$D345,VI_Debitos!$R:$R,LEFT(PAGADO!O$1,4),VI_Debitos!$Q:$Q,RIGHT(O$1,2))</f>
        <v>0</v>
      </c>
      <c r="P345" s="2">
        <f>SUMIFS(VI_Debitos!$V:$V,VI_Debitos!$H:$H,$C345,VI_Debitos!$T:$T,$D345,VI_Debitos!$R:$R,LEFT(PAGADO!P$1,4),VI_Debitos!$Q:$Q,RIGHT(P$1,2))</f>
        <v>0</v>
      </c>
      <c r="Q345" s="2">
        <f>SUMIFS(VI_Debitos!$V:$V,VI_Debitos!$H:$H,$C345,VI_Debitos!$T:$T,$D345,VI_Debitos!$R:$R,LEFT(PAGADO!Q$1,4),VI_Debitos!$Q:$Q,RIGHT(Q$1,2))</f>
        <v>0</v>
      </c>
      <c r="R345" s="2">
        <f t="shared" si="5"/>
        <v>0</v>
      </c>
    </row>
    <row r="346" spans="6:18">
      <c r="F346" s="2">
        <f>SUMIFS(VI_Debitos!$V:$V,VI_Debitos!$H:$H,$C346,VI_Debitos!$T:$T,$D346,VI_Debitos!$R:$R,LEFT(PAGADO!F$1,4),VI_Debitos!$Q:$Q,RIGHT(F$1,2))</f>
        <v>0</v>
      </c>
      <c r="G346" s="2">
        <f>SUMIFS(VI_Debitos!$V:$V,VI_Debitos!$H:$H,$C346,VI_Debitos!$T:$T,$D346,VI_Debitos!$R:$R,LEFT(PAGADO!G$1,4),VI_Debitos!$Q:$Q,RIGHT(G$1,2))</f>
        <v>0</v>
      </c>
      <c r="H346" s="2">
        <f>SUMIFS(VI_Debitos!$V:$V,VI_Debitos!$H:$H,$C346,VI_Debitos!$T:$T,$D346,VI_Debitos!$R:$R,LEFT(PAGADO!H$1,4),VI_Debitos!$Q:$Q,RIGHT(H$1,2))</f>
        <v>0</v>
      </c>
      <c r="I346" s="2">
        <f>SUMIFS(VI_Debitos!$V:$V,VI_Debitos!$H:$H,$C346,VI_Debitos!$T:$T,$D346,VI_Debitos!$R:$R,LEFT(PAGADO!I$1,4),VI_Debitos!$Q:$Q,RIGHT(I$1,2))</f>
        <v>0</v>
      </c>
      <c r="J346" s="2">
        <f>SUMIFS(VI_Debitos!$V:$V,VI_Debitos!$H:$H,$C346,VI_Debitos!$T:$T,$D346,VI_Debitos!$R:$R,LEFT(PAGADO!J$1,4),VI_Debitos!$Q:$Q,RIGHT(J$1,2))</f>
        <v>0</v>
      </c>
      <c r="K346" s="2">
        <f>SUMIFS(VI_Debitos!$V:$V,VI_Debitos!$H:$H,$C346,VI_Debitos!$T:$T,$D346,VI_Debitos!$R:$R,LEFT(PAGADO!K$1,4),VI_Debitos!$Q:$Q,RIGHT(K$1,2))</f>
        <v>0</v>
      </c>
      <c r="L346" s="2">
        <f>SUMIFS(VI_Debitos!$V:$V,VI_Debitos!$H:$H,$C346,VI_Debitos!$T:$T,$D346,VI_Debitos!$R:$R,LEFT(PAGADO!L$1,4),VI_Debitos!$Q:$Q,RIGHT(L$1,2))</f>
        <v>0</v>
      </c>
      <c r="M346" s="2">
        <f>SUMIFS(VI_Debitos!$V:$V,VI_Debitos!$H:$H,$C346,VI_Debitos!$T:$T,$D346,VI_Debitos!$R:$R,LEFT(PAGADO!M$1,4),VI_Debitos!$Q:$Q,RIGHT(M$1,2))</f>
        <v>0</v>
      </c>
      <c r="N346" s="2">
        <f>SUMIFS(VI_Debitos!$V:$V,VI_Debitos!$H:$H,$C346,VI_Debitos!$T:$T,$D346,VI_Debitos!$R:$R,LEFT(PAGADO!N$1,4),VI_Debitos!$Q:$Q,RIGHT(N$1,2))</f>
        <v>0</v>
      </c>
      <c r="O346" s="2">
        <f>SUMIFS(VI_Debitos!$V:$V,VI_Debitos!$H:$H,$C346,VI_Debitos!$T:$T,$D346,VI_Debitos!$R:$R,LEFT(PAGADO!O$1,4),VI_Debitos!$Q:$Q,RIGHT(O$1,2))</f>
        <v>0</v>
      </c>
      <c r="P346" s="2">
        <f>SUMIFS(VI_Debitos!$V:$V,VI_Debitos!$H:$H,$C346,VI_Debitos!$T:$T,$D346,VI_Debitos!$R:$R,LEFT(PAGADO!P$1,4),VI_Debitos!$Q:$Q,RIGHT(P$1,2))</f>
        <v>0</v>
      </c>
      <c r="Q346" s="2">
        <f>SUMIFS(VI_Debitos!$V:$V,VI_Debitos!$H:$H,$C346,VI_Debitos!$T:$T,$D346,VI_Debitos!$R:$R,LEFT(PAGADO!Q$1,4),VI_Debitos!$Q:$Q,RIGHT(Q$1,2))</f>
        <v>0</v>
      </c>
      <c r="R346" s="2">
        <f t="shared" si="5"/>
        <v>0</v>
      </c>
    </row>
    <row r="347" spans="6:18">
      <c r="F347" s="2">
        <f>SUMIFS(VI_Debitos!$V:$V,VI_Debitos!$H:$H,$C347,VI_Debitos!$T:$T,$D347,VI_Debitos!$R:$R,LEFT(PAGADO!F$1,4),VI_Debitos!$Q:$Q,RIGHT(F$1,2))</f>
        <v>0</v>
      </c>
      <c r="G347" s="2">
        <f>SUMIFS(VI_Debitos!$V:$V,VI_Debitos!$H:$H,$C347,VI_Debitos!$T:$T,$D347,VI_Debitos!$R:$R,LEFT(PAGADO!G$1,4),VI_Debitos!$Q:$Q,RIGHT(G$1,2))</f>
        <v>0</v>
      </c>
      <c r="H347" s="2">
        <f>SUMIFS(VI_Debitos!$V:$V,VI_Debitos!$H:$H,$C347,VI_Debitos!$T:$T,$D347,VI_Debitos!$R:$R,LEFT(PAGADO!H$1,4),VI_Debitos!$Q:$Q,RIGHT(H$1,2))</f>
        <v>0</v>
      </c>
      <c r="I347" s="2">
        <f>SUMIFS(VI_Debitos!$V:$V,VI_Debitos!$H:$H,$C347,VI_Debitos!$T:$T,$D347,VI_Debitos!$R:$R,LEFT(PAGADO!I$1,4),VI_Debitos!$Q:$Q,RIGHT(I$1,2))</f>
        <v>0</v>
      </c>
      <c r="J347" s="2">
        <f>SUMIFS(VI_Debitos!$V:$V,VI_Debitos!$H:$H,$C347,VI_Debitos!$T:$T,$D347,VI_Debitos!$R:$R,LEFT(PAGADO!J$1,4),VI_Debitos!$Q:$Q,RIGHT(J$1,2))</f>
        <v>0</v>
      </c>
      <c r="K347" s="2">
        <f>SUMIFS(VI_Debitos!$V:$V,VI_Debitos!$H:$H,$C347,VI_Debitos!$T:$T,$D347,VI_Debitos!$R:$R,LEFT(PAGADO!K$1,4),VI_Debitos!$Q:$Q,RIGHT(K$1,2))</f>
        <v>0</v>
      </c>
      <c r="L347" s="2">
        <f>SUMIFS(VI_Debitos!$V:$V,VI_Debitos!$H:$H,$C347,VI_Debitos!$T:$T,$D347,VI_Debitos!$R:$R,LEFT(PAGADO!L$1,4),VI_Debitos!$Q:$Q,RIGHT(L$1,2))</f>
        <v>0</v>
      </c>
      <c r="M347" s="2">
        <f>SUMIFS(VI_Debitos!$V:$V,VI_Debitos!$H:$H,$C347,VI_Debitos!$T:$T,$D347,VI_Debitos!$R:$R,LEFT(PAGADO!M$1,4),VI_Debitos!$Q:$Q,RIGHT(M$1,2))</f>
        <v>0</v>
      </c>
      <c r="N347" s="2">
        <f>SUMIFS(VI_Debitos!$V:$V,VI_Debitos!$H:$H,$C347,VI_Debitos!$T:$T,$D347,VI_Debitos!$R:$R,LEFT(PAGADO!N$1,4),VI_Debitos!$Q:$Q,RIGHT(N$1,2))</f>
        <v>0</v>
      </c>
      <c r="O347" s="2">
        <f>SUMIFS(VI_Debitos!$V:$V,VI_Debitos!$H:$H,$C347,VI_Debitos!$T:$T,$D347,VI_Debitos!$R:$R,LEFT(PAGADO!O$1,4),VI_Debitos!$Q:$Q,RIGHT(O$1,2))</f>
        <v>0</v>
      </c>
      <c r="P347" s="2">
        <f>SUMIFS(VI_Debitos!$V:$V,VI_Debitos!$H:$H,$C347,VI_Debitos!$T:$T,$D347,VI_Debitos!$R:$R,LEFT(PAGADO!P$1,4),VI_Debitos!$Q:$Q,RIGHT(P$1,2))</f>
        <v>0</v>
      </c>
      <c r="Q347" s="2">
        <f>SUMIFS(VI_Debitos!$V:$V,VI_Debitos!$H:$H,$C347,VI_Debitos!$T:$T,$D347,VI_Debitos!$R:$R,LEFT(PAGADO!Q$1,4),VI_Debitos!$Q:$Q,RIGHT(Q$1,2))</f>
        <v>0</v>
      </c>
      <c r="R347" s="2">
        <f t="shared" si="5"/>
        <v>0</v>
      </c>
    </row>
    <row r="348" spans="6:18">
      <c r="F348" s="2">
        <f>SUMIFS(VI_Debitos!$V:$V,VI_Debitos!$H:$H,$C348,VI_Debitos!$T:$T,$D348,VI_Debitos!$R:$R,LEFT(PAGADO!F$1,4),VI_Debitos!$Q:$Q,RIGHT(F$1,2))</f>
        <v>0</v>
      </c>
      <c r="G348" s="2">
        <f>SUMIFS(VI_Debitos!$V:$V,VI_Debitos!$H:$H,$C348,VI_Debitos!$T:$T,$D348,VI_Debitos!$R:$R,LEFT(PAGADO!G$1,4),VI_Debitos!$Q:$Q,RIGHT(G$1,2))</f>
        <v>0</v>
      </c>
      <c r="H348" s="2">
        <f>SUMIFS(VI_Debitos!$V:$V,VI_Debitos!$H:$H,$C348,VI_Debitos!$T:$T,$D348,VI_Debitos!$R:$R,LEFT(PAGADO!H$1,4),VI_Debitos!$Q:$Q,RIGHT(H$1,2))</f>
        <v>0</v>
      </c>
      <c r="I348" s="2">
        <f>SUMIFS(VI_Debitos!$V:$V,VI_Debitos!$H:$H,$C348,VI_Debitos!$T:$T,$D348,VI_Debitos!$R:$R,LEFT(PAGADO!I$1,4),VI_Debitos!$Q:$Q,RIGHT(I$1,2))</f>
        <v>0</v>
      </c>
      <c r="J348" s="2">
        <f>SUMIFS(VI_Debitos!$V:$V,VI_Debitos!$H:$H,$C348,VI_Debitos!$T:$T,$D348,VI_Debitos!$R:$R,LEFT(PAGADO!J$1,4),VI_Debitos!$Q:$Q,RIGHT(J$1,2))</f>
        <v>0</v>
      </c>
      <c r="K348" s="2">
        <f>SUMIFS(VI_Debitos!$V:$V,VI_Debitos!$H:$H,$C348,VI_Debitos!$T:$T,$D348,VI_Debitos!$R:$R,LEFT(PAGADO!K$1,4),VI_Debitos!$Q:$Q,RIGHT(K$1,2))</f>
        <v>0</v>
      </c>
      <c r="L348" s="2">
        <f>SUMIFS(VI_Debitos!$V:$V,VI_Debitos!$H:$H,$C348,VI_Debitos!$T:$T,$D348,VI_Debitos!$R:$R,LEFT(PAGADO!L$1,4),VI_Debitos!$Q:$Q,RIGHT(L$1,2))</f>
        <v>0</v>
      </c>
      <c r="M348" s="2">
        <f>SUMIFS(VI_Debitos!$V:$V,VI_Debitos!$H:$H,$C348,VI_Debitos!$T:$T,$D348,VI_Debitos!$R:$R,LEFT(PAGADO!M$1,4),VI_Debitos!$Q:$Q,RIGHT(M$1,2))</f>
        <v>0</v>
      </c>
      <c r="N348" s="2">
        <f>SUMIFS(VI_Debitos!$V:$V,VI_Debitos!$H:$H,$C348,VI_Debitos!$T:$T,$D348,VI_Debitos!$R:$R,LEFT(PAGADO!N$1,4),VI_Debitos!$Q:$Q,RIGHT(N$1,2))</f>
        <v>0</v>
      </c>
      <c r="O348" s="2">
        <f>SUMIFS(VI_Debitos!$V:$V,VI_Debitos!$H:$H,$C348,VI_Debitos!$T:$T,$D348,VI_Debitos!$R:$R,LEFT(PAGADO!O$1,4),VI_Debitos!$Q:$Q,RIGHT(O$1,2))</f>
        <v>0</v>
      </c>
      <c r="P348" s="2">
        <f>SUMIFS(VI_Debitos!$V:$V,VI_Debitos!$H:$H,$C348,VI_Debitos!$T:$T,$D348,VI_Debitos!$R:$R,LEFT(PAGADO!P$1,4),VI_Debitos!$Q:$Q,RIGHT(P$1,2))</f>
        <v>0</v>
      </c>
      <c r="Q348" s="2">
        <f>SUMIFS(VI_Debitos!$V:$V,VI_Debitos!$H:$H,$C348,VI_Debitos!$T:$T,$D348,VI_Debitos!$R:$R,LEFT(PAGADO!Q$1,4),VI_Debitos!$Q:$Q,RIGHT(Q$1,2))</f>
        <v>0</v>
      </c>
      <c r="R348" s="2">
        <f t="shared" si="5"/>
        <v>0</v>
      </c>
    </row>
    <row r="349" spans="6:18">
      <c r="F349" s="2">
        <f>SUMIFS(VI_Debitos!$V:$V,VI_Debitos!$H:$H,$C349,VI_Debitos!$T:$T,$D349,VI_Debitos!$R:$R,LEFT(PAGADO!F$1,4),VI_Debitos!$Q:$Q,RIGHT(F$1,2))</f>
        <v>0</v>
      </c>
      <c r="G349" s="2">
        <f>SUMIFS(VI_Debitos!$V:$V,VI_Debitos!$H:$H,$C349,VI_Debitos!$T:$T,$D349,VI_Debitos!$R:$R,LEFT(PAGADO!G$1,4),VI_Debitos!$Q:$Q,RIGHT(G$1,2))</f>
        <v>0</v>
      </c>
      <c r="H349" s="2">
        <f>SUMIFS(VI_Debitos!$V:$V,VI_Debitos!$H:$H,$C349,VI_Debitos!$T:$T,$D349,VI_Debitos!$R:$R,LEFT(PAGADO!H$1,4),VI_Debitos!$Q:$Q,RIGHT(H$1,2))</f>
        <v>0</v>
      </c>
      <c r="I349" s="2">
        <f>SUMIFS(VI_Debitos!$V:$V,VI_Debitos!$H:$H,$C349,VI_Debitos!$T:$T,$D349,VI_Debitos!$R:$R,LEFT(PAGADO!I$1,4),VI_Debitos!$Q:$Q,RIGHT(I$1,2))</f>
        <v>0</v>
      </c>
      <c r="J349" s="2">
        <f>SUMIFS(VI_Debitos!$V:$V,VI_Debitos!$H:$H,$C349,VI_Debitos!$T:$T,$D349,VI_Debitos!$R:$R,LEFT(PAGADO!J$1,4),VI_Debitos!$Q:$Q,RIGHT(J$1,2))</f>
        <v>0</v>
      </c>
      <c r="K349" s="2">
        <f>SUMIFS(VI_Debitos!$V:$V,VI_Debitos!$H:$H,$C349,VI_Debitos!$T:$T,$D349,VI_Debitos!$R:$R,LEFT(PAGADO!K$1,4),VI_Debitos!$Q:$Q,RIGHT(K$1,2))</f>
        <v>0</v>
      </c>
      <c r="L349" s="2">
        <f>SUMIFS(VI_Debitos!$V:$V,VI_Debitos!$H:$H,$C349,VI_Debitos!$T:$T,$D349,VI_Debitos!$R:$R,LEFT(PAGADO!L$1,4),VI_Debitos!$Q:$Q,RIGHT(L$1,2))</f>
        <v>0</v>
      </c>
      <c r="M349" s="2">
        <f>SUMIFS(VI_Debitos!$V:$V,VI_Debitos!$H:$H,$C349,VI_Debitos!$T:$T,$D349,VI_Debitos!$R:$R,LEFT(PAGADO!M$1,4),VI_Debitos!$Q:$Q,RIGHT(M$1,2))</f>
        <v>0</v>
      </c>
      <c r="N349" s="2">
        <f>SUMIFS(VI_Debitos!$V:$V,VI_Debitos!$H:$H,$C349,VI_Debitos!$T:$T,$D349,VI_Debitos!$R:$R,LEFT(PAGADO!N$1,4),VI_Debitos!$Q:$Q,RIGHT(N$1,2))</f>
        <v>0</v>
      </c>
      <c r="O349" s="2">
        <f>SUMIFS(VI_Debitos!$V:$V,VI_Debitos!$H:$H,$C349,VI_Debitos!$T:$T,$D349,VI_Debitos!$R:$R,LEFT(PAGADO!O$1,4),VI_Debitos!$Q:$Q,RIGHT(O$1,2))</f>
        <v>0</v>
      </c>
      <c r="P349" s="2">
        <f>SUMIFS(VI_Debitos!$V:$V,VI_Debitos!$H:$H,$C349,VI_Debitos!$T:$T,$D349,VI_Debitos!$R:$R,LEFT(PAGADO!P$1,4),VI_Debitos!$Q:$Q,RIGHT(P$1,2))</f>
        <v>0</v>
      </c>
      <c r="Q349" s="2">
        <f>SUMIFS(VI_Debitos!$V:$V,VI_Debitos!$H:$H,$C349,VI_Debitos!$T:$T,$D349,VI_Debitos!$R:$R,LEFT(PAGADO!Q$1,4),VI_Debitos!$Q:$Q,RIGHT(Q$1,2))</f>
        <v>0</v>
      </c>
      <c r="R349" s="2">
        <f t="shared" si="5"/>
        <v>0</v>
      </c>
    </row>
    <row r="350" spans="6:18">
      <c r="F350" s="2">
        <f>SUMIFS(VI_Debitos!$V:$V,VI_Debitos!$H:$H,$C350,VI_Debitos!$T:$T,$D350,VI_Debitos!$R:$R,LEFT(PAGADO!F$1,4),VI_Debitos!$Q:$Q,RIGHT(F$1,2))</f>
        <v>0</v>
      </c>
      <c r="G350" s="2">
        <f>SUMIFS(VI_Debitos!$V:$V,VI_Debitos!$H:$H,$C350,VI_Debitos!$T:$T,$D350,VI_Debitos!$R:$R,LEFT(PAGADO!G$1,4),VI_Debitos!$Q:$Q,RIGHT(G$1,2))</f>
        <v>0</v>
      </c>
      <c r="H350" s="2">
        <f>SUMIFS(VI_Debitos!$V:$V,VI_Debitos!$H:$H,$C350,VI_Debitos!$T:$T,$D350,VI_Debitos!$R:$R,LEFT(PAGADO!H$1,4),VI_Debitos!$Q:$Q,RIGHT(H$1,2))</f>
        <v>0</v>
      </c>
      <c r="I350" s="2">
        <f>SUMIFS(VI_Debitos!$V:$V,VI_Debitos!$H:$H,$C350,VI_Debitos!$T:$T,$D350,VI_Debitos!$R:$R,LEFT(PAGADO!I$1,4),VI_Debitos!$Q:$Q,RIGHT(I$1,2))</f>
        <v>0</v>
      </c>
      <c r="J350" s="2">
        <f>SUMIFS(VI_Debitos!$V:$V,VI_Debitos!$H:$H,$C350,VI_Debitos!$T:$T,$D350,VI_Debitos!$R:$R,LEFT(PAGADO!J$1,4),VI_Debitos!$Q:$Q,RIGHT(J$1,2))</f>
        <v>0</v>
      </c>
      <c r="K350" s="2">
        <f>SUMIFS(VI_Debitos!$V:$V,VI_Debitos!$H:$H,$C350,VI_Debitos!$T:$T,$D350,VI_Debitos!$R:$R,LEFT(PAGADO!K$1,4),VI_Debitos!$Q:$Q,RIGHT(K$1,2))</f>
        <v>0</v>
      </c>
      <c r="L350" s="2">
        <f>SUMIFS(VI_Debitos!$V:$V,VI_Debitos!$H:$H,$C350,VI_Debitos!$T:$T,$D350,VI_Debitos!$R:$R,LEFT(PAGADO!L$1,4),VI_Debitos!$Q:$Q,RIGHT(L$1,2))</f>
        <v>0</v>
      </c>
      <c r="M350" s="2">
        <f>SUMIFS(VI_Debitos!$V:$V,VI_Debitos!$H:$H,$C350,VI_Debitos!$T:$T,$D350,VI_Debitos!$R:$R,LEFT(PAGADO!M$1,4),VI_Debitos!$Q:$Q,RIGHT(M$1,2))</f>
        <v>0</v>
      </c>
      <c r="N350" s="2">
        <f>SUMIFS(VI_Debitos!$V:$V,VI_Debitos!$H:$H,$C350,VI_Debitos!$T:$T,$D350,VI_Debitos!$R:$R,LEFT(PAGADO!N$1,4),VI_Debitos!$Q:$Q,RIGHT(N$1,2))</f>
        <v>0</v>
      </c>
      <c r="O350" s="2">
        <f>SUMIFS(VI_Debitos!$V:$V,VI_Debitos!$H:$H,$C350,VI_Debitos!$T:$T,$D350,VI_Debitos!$R:$R,LEFT(PAGADO!O$1,4),VI_Debitos!$Q:$Q,RIGHT(O$1,2))</f>
        <v>0</v>
      </c>
      <c r="P350" s="2">
        <f>SUMIFS(VI_Debitos!$V:$V,VI_Debitos!$H:$H,$C350,VI_Debitos!$T:$T,$D350,VI_Debitos!$R:$R,LEFT(PAGADO!P$1,4),VI_Debitos!$Q:$Q,RIGHT(P$1,2))</f>
        <v>0</v>
      </c>
      <c r="Q350" s="2">
        <f>SUMIFS(VI_Debitos!$V:$V,VI_Debitos!$H:$H,$C350,VI_Debitos!$T:$T,$D350,VI_Debitos!$R:$R,LEFT(PAGADO!Q$1,4),VI_Debitos!$Q:$Q,RIGHT(Q$1,2))</f>
        <v>0</v>
      </c>
      <c r="R350" s="2">
        <f t="shared" si="5"/>
        <v>0</v>
      </c>
    </row>
    <row r="351" spans="6:18">
      <c r="F351" s="2">
        <f>SUMIFS(VI_Debitos!$V:$V,VI_Debitos!$H:$H,$C351,VI_Debitos!$T:$T,$D351,VI_Debitos!$R:$R,LEFT(PAGADO!F$1,4),VI_Debitos!$Q:$Q,RIGHT(F$1,2))</f>
        <v>0</v>
      </c>
      <c r="G351" s="2">
        <f>SUMIFS(VI_Debitos!$V:$V,VI_Debitos!$H:$H,$C351,VI_Debitos!$T:$T,$D351,VI_Debitos!$R:$R,LEFT(PAGADO!G$1,4),VI_Debitos!$Q:$Q,RIGHT(G$1,2))</f>
        <v>0</v>
      </c>
      <c r="H351" s="2">
        <f>SUMIFS(VI_Debitos!$V:$V,VI_Debitos!$H:$H,$C351,VI_Debitos!$T:$T,$D351,VI_Debitos!$R:$R,LEFT(PAGADO!H$1,4),VI_Debitos!$Q:$Q,RIGHT(H$1,2))</f>
        <v>0</v>
      </c>
      <c r="I351" s="2">
        <f>SUMIFS(VI_Debitos!$V:$V,VI_Debitos!$H:$H,$C351,VI_Debitos!$T:$T,$D351,VI_Debitos!$R:$R,LEFT(PAGADO!I$1,4),VI_Debitos!$Q:$Q,RIGHT(I$1,2))</f>
        <v>0</v>
      </c>
      <c r="J351" s="2">
        <f>SUMIFS(VI_Debitos!$V:$V,VI_Debitos!$H:$H,$C351,VI_Debitos!$T:$T,$D351,VI_Debitos!$R:$R,LEFT(PAGADO!J$1,4),VI_Debitos!$Q:$Q,RIGHT(J$1,2))</f>
        <v>0</v>
      </c>
      <c r="K351" s="2">
        <f>SUMIFS(VI_Debitos!$V:$V,VI_Debitos!$H:$H,$C351,VI_Debitos!$T:$T,$D351,VI_Debitos!$R:$R,LEFT(PAGADO!K$1,4),VI_Debitos!$Q:$Q,RIGHT(K$1,2))</f>
        <v>0</v>
      </c>
      <c r="L351" s="2">
        <f>SUMIFS(VI_Debitos!$V:$V,VI_Debitos!$H:$H,$C351,VI_Debitos!$T:$T,$D351,VI_Debitos!$R:$R,LEFT(PAGADO!L$1,4),VI_Debitos!$Q:$Q,RIGHT(L$1,2))</f>
        <v>0</v>
      </c>
      <c r="M351" s="2">
        <f>SUMIFS(VI_Debitos!$V:$V,VI_Debitos!$H:$H,$C351,VI_Debitos!$T:$T,$D351,VI_Debitos!$R:$R,LEFT(PAGADO!M$1,4),VI_Debitos!$Q:$Q,RIGHT(M$1,2))</f>
        <v>0</v>
      </c>
      <c r="N351" s="2">
        <f>SUMIFS(VI_Debitos!$V:$V,VI_Debitos!$H:$H,$C351,VI_Debitos!$T:$T,$D351,VI_Debitos!$R:$R,LEFT(PAGADO!N$1,4),VI_Debitos!$Q:$Q,RIGHT(N$1,2))</f>
        <v>0</v>
      </c>
      <c r="O351" s="2">
        <f>SUMIFS(VI_Debitos!$V:$V,VI_Debitos!$H:$H,$C351,VI_Debitos!$T:$T,$D351,VI_Debitos!$R:$R,LEFT(PAGADO!O$1,4),VI_Debitos!$Q:$Q,RIGHT(O$1,2))</f>
        <v>0</v>
      </c>
      <c r="P351" s="2">
        <f>SUMIFS(VI_Debitos!$V:$V,VI_Debitos!$H:$H,$C351,VI_Debitos!$T:$T,$D351,VI_Debitos!$R:$R,LEFT(PAGADO!P$1,4),VI_Debitos!$Q:$Q,RIGHT(P$1,2))</f>
        <v>0</v>
      </c>
      <c r="Q351" s="2">
        <f>SUMIFS(VI_Debitos!$V:$V,VI_Debitos!$H:$H,$C351,VI_Debitos!$T:$T,$D351,VI_Debitos!$R:$R,LEFT(PAGADO!Q$1,4),VI_Debitos!$Q:$Q,RIGHT(Q$1,2))</f>
        <v>0</v>
      </c>
      <c r="R351" s="2">
        <f t="shared" si="5"/>
        <v>0</v>
      </c>
    </row>
    <row r="352" spans="6:18">
      <c r="F352" s="2">
        <f>SUMIFS(VI_Debitos!$V:$V,VI_Debitos!$H:$H,$C352,VI_Debitos!$T:$T,$D352,VI_Debitos!$R:$R,LEFT(PAGADO!F$1,4),VI_Debitos!$Q:$Q,RIGHT(F$1,2))</f>
        <v>0</v>
      </c>
      <c r="G352" s="2">
        <f>SUMIFS(VI_Debitos!$V:$V,VI_Debitos!$H:$H,$C352,VI_Debitos!$T:$T,$D352,VI_Debitos!$R:$R,LEFT(PAGADO!G$1,4),VI_Debitos!$Q:$Q,RIGHT(G$1,2))</f>
        <v>0</v>
      </c>
      <c r="H352" s="2">
        <f>SUMIFS(VI_Debitos!$V:$V,VI_Debitos!$H:$H,$C352,VI_Debitos!$T:$T,$D352,VI_Debitos!$R:$R,LEFT(PAGADO!H$1,4),VI_Debitos!$Q:$Q,RIGHT(H$1,2))</f>
        <v>0</v>
      </c>
      <c r="I352" s="2">
        <f>SUMIFS(VI_Debitos!$V:$V,VI_Debitos!$H:$H,$C352,VI_Debitos!$T:$T,$D352,VI_Debitos!$R:$R,LEFT(PAGADO!I$1,4),VI_Debitos!$Q:$Q,RIGHT(I$1,2))</f>
        <v>0</v>
      </c>
      <c r="J352" s="2">
        <f>SUMIFS(VI_Debitos!$V:$V,VI_Debitos!$H:$H,$C352,VI_Debitos!$T:$T,$D352,VI_Debitos!$R:$R,LEFT(PAGADO!J$1,4),VI_Debitos!$Q:$Q,RIGHT(J$1,2))</f>
        <v>0</v>
      </c>
      <c r="K352" s="2">
        <f>SUMIFS(VI_Debitos!$V:$V,VI_Debitos!$H:$H,$C352,VI_Debitos!$T:$T,$D352,VI_Debitos!$R:$R,LEFT(PAGADO!K$1,4),VI_Debitos!$Q:$Q,RIGHT(K$1,2))</f>
        <v>0</v>
      </c>
      <c r="L352" s="2">
        <f>SUMIFS(VI_Debitos!$V:$V,VI_Debitos!$H:$H,$C352,VI_Debitos!$T:$T,$D352,VI_Debitos!$R:$R,LEFT(PAGADO!L$1,4),VI_Debitos!$Q:$Q,RIGHT(L$1,2))</f>
        <v>0</v>
      </c>
      <c r="M352" s="2">
        <f>SUMIFS(VI_Debitos!$V:$V,VI_Debitos!$H:$H,$C352,VI_Debitos!$T:$T,$D352,VI_Debitos!$R:$R,LEFT(PAGADO!M$1,4),VI_Debitos!$Q:$Q,RIGHT(M$1,2))</f>
        <v>0</v>
      </c>
      <c r="N352" s="2">
        <f>SUMIFS(VI_Debitos!$V:$V,VI_Debitos!$H:$H,$C352,VI_Debitos!$T:$T,$D352,VI_Debitos!$R:$R,LEFT(PAGADO!N$1,4),VI_Debitos!$Q:$Q,RIGHT(N$1,2))</f>
        <v>0</v>
      </c>
      <c r="O352" s="2">
        <f>SUMIFS(VI_Debitos!$V:$V,VI_Debitos!$H:$H,$C352,VI_Debitos!$T:$T,$D352,VI_Debitos!$R:$R,LEFT(PAGADO!O$1,4),VI_Debitos!$Q:$Q,RIGHT(O$1,2))</f>
        <v>0</v>
      </c>
      <c r="P352" s="2">
        <f>SUMIFS(VI_Debitos!$V:$V,VI_Debitos!$H:$H,$C352,VI_Debitos!$T:$T,$D352,VI_Debitos!$R:$R,LEFT(PAGADO!P$1,4),VI_Debitos!$Q:$Q,RIGHT(P$1,2))</f>
        <v>0</v>
      </c>
      <c r="Q352" s="2">
        <f>SUMIFS(VI_Debitos!$V:$V,VI_Debitos!$H:$H,$C352,VI_Debitos!$T:$T,$D352,VI_Debitos!$R:$R,LEFT(PAGADO!Q$1,4),VI_Debitos!$Q:$Q,RIGHT(Q$1,2))</f>
        <v>0</v>
      </c>
      <c r="R352" s="2">
        <f t="shared" si="5"/>
        <v>0</v>
      </c>
    </row>
    <row r="353" spans="6:18">
      <c r="F353" s="2">
        <f>SUMIFS(VI_Debitos!$V:$V,VI_Debitos!$H:$H,$C353,VI_Debitos!$T:$T,$D353,VI_Debitos!$R:$R,LEFT(PAGADO!F$1,4),VI_Debitos!$Q:$Q,RIGHT(F$1,2))</f>
        <v>0</v>
      </c>
      <c r="G353" s="2">
        <f>SUMIFS(VI_Debitos!$V:$V,VI_Debitos!$H:$H,$C353,VI_Debitos!$T:$T,$D353,VI_Debitos!$R:$R,LEFT(PAGADO!G$1,4),VI_Debitos!$Q:$Q,RIGHT(G$1,2))</f>
        <v>0</v>
      </c>
      <c r="H353" s="2">
        <f>SUMIFS(VI_Debitos!$V:$V,VI_Debitos!$H:$H,$C353,VI_Debitos!$T:$T,$D353,VI_Debitos!$R:$R,LEFT(PAGADO!H$1,4),VI_Debitos!$Q:$Q,RIGHT(H$1,2))</f>
        <v>0</v>
      </c>
      <c r="I353" s="2">
        <f>SUMIFS(VI_Debitos!$V:$V,VI_Debitos!$H:$H,$C353,VI_Debitos!$T:$T,$D353,VI_Debitos!$R:$R,LEFT(PAGADO!I$1,4),VI_Debitos!$Q:$Q,RIGHT(I$1,2))</f>
        <v>0</v>
      </c>
      <c r="J353" s="2">
        <f>SUMIFS(VI_Debitos!$V:$V,VI_Debitos!$H:$H,$C353,VI_Debitos!$T:$T,$D353,VI_Debitos!$R:$R,LEFT(PAGADO!J$1,4),VI_Debitos!$Q:$Q,RIGHT(J$1,2))</f>
        <v>0</v>
      </c>
      <c r="K353" s="2">
        <f>SUMIFS(VI_Debitos!$V:$V,VI_Debitos!$H:$H,$C353,VI_Debitos!$T:$T,$D353,VI_Debitos!$R:$R,LEFT(PAGADO!K$1,4),VI_Debitos!$Q:$Q,RIGHT(K$1,2))</f>
        <v>0</v>
      </c>
      <c r="L353" s="2">
        <f>SUMIFS(VI_Debitos!$V:$V,VI_Debitos!$H:$H,$C353,VI_Debitos!$T:$T,$D353,VI_Debitos!$R:$R,LEFT(PAGADO!L$1,4),VI_Debitos!$Q:$Q,RIGHT(L$1,2))</f>
        <v>0</v>
      </c>
      <c r="M353" s="2">
        <f>SUMIFS(VI_Debitos!$V:$V,VI_Debitos!$H:$H,$C353,VI_Debitos!$T:$T,$D353,VI_Debitos!$R:$R,LEFT(PAGADO!M$1,4),VI_Debitos!$Q:$Q,RIGHT(M$1,2))</f>
        <v>0</v>
      </c>
      <c r="N353" s="2">
        <f>SUMIFS(VI_Debitos!$V:$V,VI_Debitos!$H:$H,$C353,VI_Debitos!$T:$T,$D353,VI_Debitos!$R:$R,LEFT(PAGADO!N$1,4),VI_Debitos!$Q:$Q,RIGHT(N$1,2))</f>
        <v>0</v>
      </c>
      <c r="O353" s="2">
        <f>SUMIFS(VI_Debitos!$V:$V,VI_Debitos!$H:$H,$C353,VI_Debitos!$T:$T,$D353,VI_Debitos!$R:$R,LEFT(PAGADO!O$1,4),VI_Debitos!$Q:$Q,RIGHT(O$1,2))</f>
        <v>0</v>
      </c>
      <c r="P353" s="2">
        <f>SUMIFS(VI_Debitos!$V:$V,VI_Debitos!$H:$H,$C353,VI_Debitos!$T:$T,$D353,VI_Debitos!$R:$R,LEFT(PAGADO!P$1,4),VI_Debitos!$Q:$Q,RIGHT(P$1,2))</f>
        <v>0</v>
      </c>
      <c r="Q353" s="2">
        <f>SUMIFS(VI_Debitos!$V:$V,VI_Debitos!$H:$H,$C353,VI_Debitos!$T:$T,$D353,VI_Debitos!$R:$R,LEFT(PAGADO!Q$1,4),VI_Debitos!$Q:$Q,RIGHT(Q$1,2))</f>
        <v>0</v>
      </c>
      <c r="R353" s="2">
        <f t="shared" si="5"/>
        <v>0</v>
      </c>
    </row>
    <row r="354" spans="6:18">
      <c r="F354" s="2">
        <f>SUMIFS(VI_Debitos!$V:$V,VI_Debitos!$H:$H,$C354,VI_Debitos!$T:$T,$D354,VI_Debitos!$R:$R,LEFT(PAGADO!F$1,4),VI_Debitos!$Q:$Q,RIGHT(F$1,2))</f>
        <v>0</v>
      </c>
      <c r="G354" s="2">
        <f>SUMIFS(VI_Debitos!$V:$V,VI_Debitos!$H:$H,$C354,VI_Debitos!$T:$T,$D354,VI_Debitos!$R:$R,LEFT(PAGADO!G$1,4),VI_Debitos!$Q:$Q,RIGHT(G$1,2))</f>
        <v>0</v>
      </c>
      <c r="H354" s="2">
        <f>SUMIFS(VI_Debitos!$V:$V,VI_Debitos!$H:$H,$C354,VI_Debitos!$T:$T,$D354,VI_Debitos!$R:$R,LEFT(PAGADO!H$1,4),VI_Debitos!$Q:$Q,RIGHT(H$1,2))</f>
        <v>0</v>
      </c>
      <c r="I354" s="2">
        <f>SUMIFS(VI_Debitos!$V:$V,VI_Debitos!$H:$H,$C354,VI_Debitos!$T:$T,$D354,VI_Debitos!$R:$R,LEFT(PAGADO!I$1,4),VI_Debitos!$Q:$Q,RIGHT(I$1,2))</f>
        <v>0</v>
      </c>
      <c r="J354" s="2">
        <f>SUMIFS(VI_Debitos!$V:$V,VI_Debitos!$H:$H,$C354,VI_Debitos!$T:$T,$D354,VI_Debitos!$R:$R,LEFT(PAGADO!J$1,4),VI_Debitos!$Q:$Q,RIGHT(J$1,2))</f>
        <v>0</v>
      </c>
      <c r="K354" s="2">
        <f>SUMIFS(VI_Debitos!$V:$V,VI_Debitos!$H:$H,$C354,VI_Debitos!$T:$T,$D354,VI_Debitos!$R:$R,LEFT(PAGADO!K$1,4),VI_Debitos!$Q:$Q,RIGHT(K$1,2))</f>
        <v>0</v>
      </c>
      <c r="L354" s="2">
        <f>SUMIFS(VI_Debitos!$V:$V,VI_Debitos!$H:$H,$C354,VI_Debitos!$T:$T,$D354,VI_Debitos!$R:$R,LEFT(PAGADO!L$1,4),VI_Debitos!$Q:$Q,RIGHT(L$1,2))</f>
        <v>0</v>
      </c>
      <c r="M354" s="2">
        <f>SUMIFS(VI_Debitos!$V:$V,VI_Debitos!$H:$H,$C354,VI_Debitos!$T:$T,$D354,VI_Debitos!$R:$R,LEFT(PAGADO!M$1,4),VI_Debitos!$Q:$Q,RIGHT(M$1,2))</f>
        <v>0</v>
      </c>
      <c r="N354" s="2">
        <f>SUMIFS(VI_Debitos!$V:$V,VI_Debitos!$H:$H,$C354,VI_Debitos!$T:$T,$D354,VI_Debitos!$R:$R,LEFT(PAGADO!N$1,4),VI_Debitos!$Q:$Q,RIGHT(N$1,2))</f>
        <v>0</v>
      </c>
      <c r="O354" s="2">
        <f>SUMIFS(VI_Debitos!$V:$V,VI_Debitos!$H:$H,$C354,VI_Debitos!$T:$T,$D354,VI_Debitos!$R:$R,LEFT(PAGADO!O$1,4),VI_Debitos!$Q:$Q,RIGHT(O$1,2))</f>
        <v>0</v>
      </c>
      <c r="P354" s="2">
        <f>SUMIFS(VI_Debitos!$V:$V,VI_Debitos!$H:$H,$C354,VI_Debitos!$T:$T,$D354,VI_Debitos!$R:$R,LEFT(PAGADO!P$1,4),VI_Debitos!$Q:$Q,RIGHT(P$1,2))</f>
        <v>0</v>
      </c>
      <c r="Q354" s="2">
        <f>SUMIFS(VI_Debitos!$V:$V,VI_Debitos!$H:$H,$C354,VI_Debitos!$T:$T,$D354,VI_Debitos!$R:$R,LEFT(PAGADO!Q$1,4),VI_Debitos!$Q:$Q,RIGHT(Q$1,2))</f>
        <v>0</v>
      </c>
      <c r="R354" s="2">
        <f t="shared" si="5"/>
        <v>0</v>
      </c>
    </row>
    <row r="355" spans="6:18">
      <c r="F355" s="2">
        <f>SUMIFS(VI_Debitos!$V:$V,VI_Debitos!$H:$H,$C355,VI_Debitos!$T:$T,$D355,VI_Debitos!$R:$R,LEFT(PAGADO!F$1,4),VI_Debitos!$Q:$Q,RIGHT(F$1,2))</f>
        <v>0</v>
      </c>
      <c r="G355" s="2">
        <f>SUMIFS(VI_Debitos!$V:$V,VI_Debitos!$H:$H,$C355,VI_Debitos!$T:$T,$D355,VI_Debitos!$R:$R,LEFT(PAGADO!G$1,4),VI_Debitos!$Q:$Q,RIGHT(G$1,2))</f>
        <v>0</v>
      </c>
      <c r="H355" s="2">
        <f>SUMIFS(VI_Debitos!$V:$V,VI_Debitos!$H:$H,$C355,VI_Debitos!$T:$T,$D355,VI_Debitos!$R:$R,LEFT(PAGADO!H$1,4),VI_Debitos!$Q:$Q,RIGHT(H$1,2))</f>
        <v>0</v>
      </c>
      <c r="I355" s="2">
        <f>SUMIFS(VI_Debitos!$V:$V,VI_Debitos!$H:$H,$C355,VI_Debitos!$T:$T,$D355,VI_Debitos!$R:$R,LEFT(PAGADO!I$1,4),VI_Debitos!$Q:$Q,RIGHT(I$1,2))</f>
        <v>0</v>
      </c>
      <c r="J355" s="2">
        <f>SUMIFS(VI_Debitos!$V:$V,VI_Debitos!$H:$H,$C355,VI_Debitos!$T:$T,$D355,VI_Debitos!$R:$R,LEFT(PAGADO!J$1,4),VI_Debitos!$Q:$Q,RIGHT(J$1,2))</f>
        <v>0</v>
      </c>
      <c r="K355" s="2">
        <f>SUMIFS(VI_Debitos!$V:$V,VI_Debitos!$H:$H,$C355,VI_Debitos!$T:$T,$D355,VI_Debitos!$R:$R,LEFT(PAGADO!K$1,4),VI_Debitos!$Q:$Q,RIGHT(K$1,2))</f>
        <v>0</v>
      </c>
      <c r="L355" s="2">
        <f>SUMIFS(VI_Debitos!$V:$V,VI_Debitos!$H:$H,$C355,VI_Debitos!$T:$T,$D355,VI_Debitos!$R:$R,LEFT(PAGADO!L$1,4),VI_Debitos!$Q:$Q,RIGHT(L$1,2))</f>
        <v>0</v>
      </c>
      <c r="M355" s="2">
        <f>SUMIFS(VI_Debitos!$V:$V,VI_Debitos!$H:$H,$C355,VI_Debitos!$T:$T,$D355,VI_Debitos!$R:$R,LEFT(PAGADO!M$1,4),VI_Debitos!$Q:$Q,RIGHT(M$1,2))</f>
        <v>0</v>
      </c>
      <c r="N355" s="2">
        <f>SUMIFS(VI_Debitos!$V:$V,VI_Debitos!$H:$H,$C355,VI_Debitos!$T:$T,$D355,VI_Debitos!$R:$R,LEFT(PAGADO!N$1,4),VI_Debitos!$Q:$Q,RIGHT(N$1,2))</f>
        <v>0</v>
      </c>
      <c r="O355" s="2">
        <f>SUMIFS(VI_Debitos!$V:$V,VI_Debitos!$H:$H,$C355,VI_Debitos!$T:$T,$D355,VI_Debitos!$R:$R,LEFT(PAGADO!O$1,4),VI_Debitos!$Q:$Q,RIGHT(O$1,2))</f>
        <v>0</v>
      </c>
      <c r="P355" s="2">
        <f>SUMIFS(VI_Debitos!$V:$V,VI_Debitos!$H:$H,$C355,VI_Debitos!$T:$T,$D355,VI_Debitos!$R:$R,LEFT(PAGADO!P$1,4),VI_Debitos!$Q:$Q,RIGHT(P$1,2))</f>
        <v>0</v>
      </c>
      <c r="Q355" s="2">
        <f>SUMIFS(VI_Debitos!$V:$V,VI_Debitos!$H:$H,$C355,VI_Debitos!$T:$T,$D355,VI_Debitos!$R:$R,LEFT(PAGADO!Q$1,4),VI_Debitos!$Q:$Q,RIGHT(Q$1,2))</f>
        <v>0</v>
      </c>
      <c r="R355" s="2">
        <f t="shared" si="5"/>
        <v>0</v>
      </c>
    </row>
    <row r="356" spans="6:18">
      <c r="F356" s="2">
        <f>SUMIFS(VI_Debitos!$V:$V,VI_Debitos!$H:$H,$C356,VI_Debitos!$T:$T,$D356,VI_Debitos!$R:$R,LEFT(PAGADO!F$1,4),VI_Debitos!$Q:$Q,RIGHT(F$1,2))</f>
        <v>0</v>
      </c>
      <c r="G356" s="2">
        <f>SUMIFS(VI_Debitos!$V:$V,VI_Debitos!$H:$H,$C356,VI_Debitos!$T:$T,$D356,VI_Debitos!$R:$R,LEFT(PAGADO!G$1,4),VI_Debitos!$Q:$Q,RIGHT(G$1,2))</f>
        <v>0</v>
      </c>
      <c r="H356" s="2">
        <f>SUMIFS(VI_Debitos!$V:$V,VI_Debitos!$H:$H,$C356,VI_Debitos!$T:$T,$D356,VI_Debitos!$R:$R,LEFT(PAGADO!H$1,4),VI_Debitos!$Q:$Q,RIGHT(H$1,2))</f>
        <v>0</v>
      </c>
      <c r="I356" s="2">
        <f>SUMIFS(VI_Debitos!$V:$V,VI_Debitos!$H:$H,$C356,VI_Debitos!$T:$T,$D356,VI_Debitos!$R:$R,LEFT(PAGADO!I$1,4),VI_Debitos!$Q:$Q,RIGHT(I$1,2))</f>
        <v>0</v>
      </c>
      <c r="J356" s="2">
        <f>SUMIFS(VI_Debitos!$V:$V,VI_Debitos!$H:$H,$C356,VI_Debitos!$T:$T,$D356,VI_Debitos!$R:$R,LEFT(PAGADO!J$1,4),VI_Debitos!$Q:$Q,RIGHT(J$1,2))</f>
        <v>0</v>
      </c>
      <c r="K356" s="2">
        <f>SUMIFS(VI_Debitos!$V:$V,VI_Debitos!$H:$H,$C356,VI_Debitos!$T:$T,$D356,VI_Debitos!$R:$R,LEFT(PAGADO!K$1,4),VI_Debitos!$Q:$Q,RIGHT(K$1,2))</f>
        <v>0</v>
      </c>
      <c r="L356" s="2">
        <f>SUMIFS(VI_Debitos!$V:$V,VI_Debitos!$H:$H,$C356,VI_Debitos!$T:$T,$D356,VI_Debitos!$R:$R,LEFT(PAGADO!L$1,4),VI_Debitos!$Q:$Q,RIGHT(L$1,2))</f>
        <v>0</v>
      </c>
      <c r="M356" s="2">
        <f>SUMIFS(VI_Debitos!$V:$V,VI_Debitos!$H:$H,$C356,VI_Debitos!$T:$T,$D356,VI_Debitos!$R:$R,LEFT(PAGADO!M$1,4),VI_Debitos!$Q:$Q,RIGHT(M$1,2))</f>
        <v>0</v>
      </c>
      <c r="N356" s="2">
        <f>SUMIFS(VI_Debitos!$V:$V,VI_Debitos!$H:$H,$C356,VI_Debitos!$T:$T,$D356,VI_Debitos!$R:$R,LEFT(PAGADO!N$1,4),VI_Debitos!$Q:$Q,RIGHT(N$1,2))</f>
        <v>0</v>
      </c>
      <c r="O356" s="2">
        <f>SUMIFS(VI_Debitos!$V:$V,VI_Debitos!$H:$H,$C356,VI_Debitos!$T:$T,$D356,VI_Debitos!$R:$R,LEFT(PAGADO!O$1,4),VI_Debitos!$Q:$Q,RIGHT(O$1,2))</f>
        <v>0</v>
      </c>
      <c r="P356" s="2">
        <f>SUMIFS(VI_Debitos!$V:$V,VI_Debitos!$H:$H,$C356,VI_Debitos!$T:$T,$D356,VI_Debitos!$R:$R,LEFT(PAGADO!P$1,4),VI_Debitos!$Q:$Q,RIGHT(P$1,2))</f>
        <v>0</v>
      </c>
      <c r="Q356" s="2">
        <f>SUMIFS(VI_Debitos!$V:$V,VI_Debitos!$H:$H,$C356,VI_Debitos!$T:$T,$D356,VI_Debitos!$R:$R,LEFT(PAGADO!Q$1,4),VI_Debitos!$Q:$Q,RIGHT(Q$1,2))</f>
        <v>0</v>
      </c>
      <c r="R356" s="2">
        <f t="shared" si="5"/>
        <v>0</v>
      </c>
    </row>
    <row r="357" spans="6:18">
      <c r="F357" s="2">
        <f>SUMIFS(VI_Debitos!$V:$V,VI_Debitos!$H:$H,$C357,VI_Debitos!$T:$T,$D357,VI_Debitos!$R:$R,LEFT(PAGADO!F$1,4),VI_Debitos!$Q:$Q,RIGHT(F$1,2))</f>
        <v>0</v>
      </c>
      <c r="G357" s="2">
        <f>SUMIFS(VI_Debitos!$V:$V,VI_Debitos!$H:$H,$C357,VI_Debitos!$T:$T,$D357,VI_Debitos!$R:$R,LEFT(PAGADO!G$1,4),VI_Debitos!$Q:$Q,RIGHT(G$1,2))</f>
        <v>0</v>
      </c>
      <c r="H357" s="2">
        <f>SUMIFS(VI_Debitos!$V:$V,VI_Debitos!$H:$H,$C357,VI_Debitos!$T:$T,$D357,VI_Debitos!$R:$R,LEFT(PAGADO!H$1,4),VI_Debitos!$Q:$Q,RIGHT(H$1,2))</f>
        <v>0</v>
      </c>
      <c r="I357" s="2">
        <f>SUMIFS(VI_Debitos!$V:$V,VI_Debitos!$H:$H,$C357,VI_Debitos!$T:$T,$D357,VI_Debitos!$R:$R,LEFT(PAGADO!I$1,4),VI_Debitos!$Q:$Q,RIGHT(I$1,2))</f>
        <v>0</v>
      </c>
      <c r="J357" s="2">
        <f>SUMIFS(VI_Debitos!$V:$V,VI_Debitos!$H:$H,$C357,VI_Debitos!$T:$T,$D357,VI_Debitos!$R:$R,LEFT(PAGADO!J$1,4),VI_Debitos!$Q:$Q,RIGHT(J$1,2))</f>
        <v>0</v>
      </c>
      <c r="K357" s="2">
        <f>SUMIFS(VI_Debitos!$V:$V,VI_Debitos!$H:$H,$C357,VI_Debitos!$T:$T,$D357,VI_Debitos!$R:$R,LEFT(PAGADO!K$1,4),VI_Debitos!$Q:$Q,RIGHT(K$1,2))</f>
        <v>0</v>
      </c>
      <c r="L357" s="2">
        <f>SUMIFS(VI_Debitos!$V:$V,VI_Debitos!$H:$H,$C357,VI_Debitos!$T:$T,$D357,VI_Debitos!$R:$R,LEFT(PAGADO!L$1,4),VI_Debitos!$Q:$Q,RIGHT(L$1,2))</f>
        <v>0</v>
      </c>
      <c r="M357" s="2">
        <f>SUMIFS(VI_Debitos!$V:$V,VI_Debitos!$H:$H,$C357,VI_Debitos!$T:$T,$D357,VI_Debitos!$R:$R,LEFT(PAGADO!M$1,4),VI_Debitos!$Q:$Q,RIGHT(M$1,2))</f>
        <v>0</v>
      </c>
      <c r="N357" s="2">
        <f>SUMIFS(VI_Debitos!$V:$V,VI_Debitos!$H:$H,$C357,VI_Debitos!$T:$T,$D357,VI_Debitos!$R:$R,LEFT(PAGADO!N$1,4),VI_Debitos!$Q:$Q,RIGHT(N$1,2))</f>
        <v>0</v>
      </c>
      <c r="O357" s="2">
        <f>SUMIFS(VI_Debitos!$V:$V,VI_Debitos!$H:$H,$C357,VI_Debitos!$T:$T,$D357,VI_Debitos!$R:$R,LEFT(PAGADO!O$1,4),VI_Debitos!$Q:$Q,RIGHT(O$1,2))</f>
        <v>0</v>
      </c>
      <c r="P357" s="2">
        <f>SUMIFS(VI_Debitos!$V:$V,VI_Debitos!$H:$H,$C357,VI_Debitos!$T:$T,$D357,VI_Debitos!$R:$R,LEFT(PAGADO!P$1,4),VI_Debitos!$Q:$Q,RIGHT(P$1,2))</f>
        <v>0</v>
      </c>
      <c r="Q357" s="2">
        <f>SUMIFS(VI_Debitos!$V:$V,VI_Debitos!$H:$H,$C357,VI_Debitos!$T:$T,$D357,VI_Debitos!$R:$R,LEFT(PAGADO!Q$1,4),VI_Debitos!$Q:$Q,RIGHT(Q$1,2))</f>
        <v>0</v>
      </c>
      <c r="R357" s="2">
        <f t="shared" si="5"/>
        <v>0</v>
      </c>
    </row>
    <row r="358" spans="6:18">
      <c r="F358" s="2">
        <f>SUMIFS(VI_Debitos!$V:$V,VI_Debitos!$H:$H,$C358,VI_Debitos!$T:$T,$D358,VI_Debitos!$R:$R,LEFT(PAGADO!F$1,4),VI_Debitos!$Q:$Q,RIGHT(F$1,2))</f>
        <v>0</v>
      </c>
      <c r="G358" s="2">
        <f>SUMIFS(VI_Debitos!$V:$V,VI_Debitos!$H:$H,$C358,VI_Debitos!$T:$T,$D358,VI_Debitos!$R:$R,LEFT(PAGADO!G$1,4),VI_Debitos!$Q:$Q,RIGHT(G$1,2))</f>
        <v>0</v>
      </c>
      <c r="H358" s="2">
        <f>SUMIFS(VI_Debitos!$V:$V,VI_Debitos!$H:$H,$C358,VI_Debitos!$T:$T,$D358,VI_Debitos!$R:$R,LEFT(PAGADO!H$1,4),VI_Debitos!$Q:$Q,RIGHT(H$1,2))</f>
        <v>0</v>
      </c>
      <c r="I358" s="2">
        <f>SUMIFS(VI_Debitos!$V:$V,VI_Debitos!$H:$H,$C358,VI_Debitos!$T:$T,$D358,VI_Debitos!$R:$R,LEFT(PAGADO!I$1,4),VI_Debitos!$Q:$Q,RIGHT(I$1,2))</f>
        <v>0</v>
      </c>
      <c r="J358" s="2">
        <f>SUMIFS(VI_Debitos!$V:$V,VI_Debitos!$H:$H,$C358,VI_Debitos!$T:$T,$D358,VI_Debitos!$R:$R,LEFT(PAGADO!J$1,4),VI_Debitos!$Q:$Q,RIGHT(J$1,2))</f>
        <v>0</v>
      </c>
      <c r="K358" s="2">
        <f>SUMIFS(VI_Debitos!$V:$V,VI_Debitos!$H:$H,$C358,VI_Debitos!$T:$T,$D358,VI_Debitos!$R:$R,LEFT(PAGADO!K$1,4),VI_Debitos!$Q:$Q,RIGHT(K$1,2))</f>
        <v>0</v>
      </c>
      <c r="L358" s="2">
        <f>SUMIFS(VI_Debitos!$V:$V,VI_Debitos!$H:$H,$C358,VI_Debitos!$T:$T,$D358,VI_Debitos!$R:$R,LEFT(PAGADO!L$1,4),VI_Debitos!$Q:$Q,RIGHT(L$1,2))</f>
        <v>0</v>
      </c>
      <c r="M358" s="2">
        <f>SUMIFS(VI_Debitos!$V:$V,VI_Debitos!$H:$H,$C358,VI_Debitos!$T:$T,$D358,VI_Debitos!$R:$R,LEFT(PAGADO!M$1,4),VI_Debitos!$Q:$Q,RIGHT(M$1,2))</f>
        <v>0</v>
      </c>
      <c r="N358" s="2">
        <f>SUMIFS(VI_Debitos!$V:$V,VI_Debitos!$H:$H,$C358,VI_Debitos!$T:$T,$D358,VI_Debitos!$R:$R,LEFT(PAGADO!N$1,4),VI_Debitos!$Q:$Q,RIGHT(N$1,2))</f>
        <v>0</v>
      </c>
      <c r="O358" s="2">
        <f>SUMIFS(VI_Debitos!$V:$V,VI_Debitos!$H:$H,$C358,VI_Debitos!$T:$T,$D358,VI_Debitos!$R:$R,LEFT(PAGADO!O$1,4),VI_Debitos!$Q:$Q,RIGHT(O$1,2))</f>
        <v>0</v>
      </c>
      <c r="P358" s="2">
        <f>SUMIFS(VI_Debitos!$V:$V,VI_Debitos!$H:$H,$C358,VI_Debitos!$T:$T,$D358,VI_Debitos!$R:$R,LEFT(PAGADO!P$1,4),VI_Debitos!$Q:$Q,RIGHT(P$1,2))</f>
        <v>0</v>
      </c>
      <c r="Q358" s="2">
        <f>SUMIFS(VI_Debitos!$V:$V,VI_Debitos!$H:$H,$C358,VI_Debitos!$T:$T,$D358,VI_Debitos!$R:$R,LEFT(PAGADO!Q$1,4),VI_Debitos!$Q:$Q,RIGHT(Q$1,2))</f>
        <v>0</v>
      </c>
      <c r="R358" s="2">
        <f t="shared" si="5"/>
        <v>0</v>
      </c>
    </row>
    <row r="359" spans="6:18">
      <c r="F359" s="2">
        <f>SUMIFS(VI_Debitos!$V:$V,VI_Debitos!$H:$H,$C359,VI_Debitos!$T:$T,$D359,VI_Debitos!$R:$R,LEFT(PAGADO!F$1,4),VI_Debitos!$Q:$Q,RIGHT(F$1,2))</f>
        <v>0</v>
      </c>
      <c r="G359" s="2">
        <f>SUMIFS(VI_Debitos!$V:$V,VI_Debitos!$H:$H,$C359,VI_Debitos!$T:$T,$D359,VI_Debitos!$R:$R,LEFT(PAGADO!G$1,4),VI_Debitos!$Q:$Q,RIGHT(G$1,2))</f>
        <v>0</v>
      </c>
      <c r="H359" s="2">
        <f>SUMIFS(VI_Debitos!$V:$V,VI_Debitos!$H:$H,$C359,VI_Debitos!$T:$T,$D359,VI_Debitos!$R:$R,LEFT(PAGADO!H$1,4),VI_Debitos!$Q:$Q,RIGHT(H$1,2))</f>
        <v>0</v>
      </c>
      <c r="I359" s="2">
        <f>SUMIFS(VI_Debitos!$V:$V,VI_Debitos!$H:$H,$C359,VI_Debitos!$T:$T,$D359,VI_Debitos!$R:$R,LEFT(PAGADO!I$1,4),VI_Debitos!$Q:$Q,RIGHT(I$1,2))</f>
        <v>0</v>
      </c>
      <c r="J359" s="2">
        <f>SUMIFS(VI_Debitos!$V:$V,VI_Debitos!$H:$H,$C359,VI_Debitos!$T:$T,$D359,VI_Debitos!$R:$R,LEFT(PAGADO!J$1,4),VI_Debitos!$Q:$Q,RIGHT(J$1,2))</f>
        <v>0</v>
      </c>
      <c r="K359" s="2">
        <f>SUMIFS(VI_Debitos!$V:$V,VI_Debitos!$H:$H,$C359,VI_Debitos!$T:$T,$D359,VI_Debitos!$R:$R,LEFT(PAGADO!K$1,4),VI_Debitos!$Q:$Q,RIGHT(K$1,2))</f>
        <v>0</v>
      </c>
      <c r="L359" s="2">
        <f>SUMIFS(VI_Debitos!$V:$V,VI_Debitos!$H:$H,$C359,VI_Debitos!$T:$T,$D359,VI_Debitos!$R:$R,LEFT(PAGADO!L$1,4),VI_Debitos!$Q:$Q,RIGHT(L$1,2))</f>
        <v>0</v>
      </c>
      <c r="M359" s="2">
        <f>SUMIFS(VI_Debitos!$V:$V,VI_Debitos!$H:$H,$C359,VI_Debitos!$T:$T,$D359,VI_Debitos!$R:$R,LEFT(PAGADO!M$1,4),VI_Debitos!$Q:$Q,RIGHT(M$1,2))</f>
        <v>0</v>
      </c>
      <c r="N359" s="2">
        <f>SUMIFS(VI_Debitos!$V:$V,VI_Debitos!$H:$H,$C359,VI_Debitos!$T:$T,$D359,VI_Debitos!$R:$R,LEFT(PAGADO!N$1,4),VI_Debitos!$Q:$Q,RIGHT(N$1,2))</f>
        <v>0</v>
      </c>
      <c r="O359" s="2">
        <f>SUMIFS(VI_Debitos!$V:$V,VI_Debitos!$H:$H,$C359,VI_Debitos!$T:$T,$D359,VI_Debitos!$R:$R,LEFT(PAGADO!O$1,4),VI_Debitos!$Q:$Q,RIGHT(O$1,2))</f>
        <v>0</v>
      </c>
      <c r="P359" s="2">
        <f>SUMIFS(VI_Debitos!$V:$V,VI_Debitos!$H:$H,$C359,VI_Debitos!$T:$T,$D359,VI_Debitos!$R:$R,LEFT(PAGADO!P$1,4),VI_Debitos!$Q:$Q,RIGHT(P$1,2))</f>
        <v>0</v>
      </c>
      <c r="Q359" s="2">
        <f>SUMIFS(VI_Debitos!$V:$V,VI_Debitos!$H:$H,$C359,VI_Debitos!$T:$T,$D359,VI_Debitos!$R:$R,LEFT(PAGADO!Q$1,4),VI_Debitos!$Q:$Q,RIGHT(Q$1,2))</f>
        <v>0</v>
      </c>
      <c r="R359" s="2">
        <f t="shared" si="5"/>
        <v>0</v>
      </c>
    </row>
    <row r="360" spans="6:18">
      <c r="F360" s="2">
        <f>SUMIFS(VI_Debitos!$V:$V,VI_Debitos!$H:$H,$C360,VI_Debitos!$T:$T,$D360,VI_Debitos!$R:$R,LEFT(PAGADO!F$1,4),VI_Debitos!$Q:$Q,RIGHT(F$1,2))</f>
        <v>0</v>
      </c>
      <c r="G360" s="2">
        <f>SUMIFS(VI_Debitos!$V:$V,VI_Debitos!$H:$H,$C360,VI_Debitos!$T:$T,$D360,VI_Debitos!$R:$R,LEFT(PAGADO!G$1,4),VI_Debitos!$Q:$Q,RIGHT(G$1,2))</f>
        <v>0</v>
      </c>
      <c r="H360" s="2">
        <f>SUMIFS(VI_Debitos!$V:$V,VI_Debitos!$H:$H,$C360,VI_Debitos!$T:$T,$D360,VI_Debitos!$R:$R,LEFT(PAGADO!H$1,4),VI_Debitos!$Q:$Q,RIGHT(H$1,2))</f>
        <v>0</v>
      </c>
      <c r="I360" s="2">
        <f>SUMIFS(VI_Debitos!$V:$V,VI_Debitos!$H:$H,$C360,VI_Debitos!$T:$T,$D360,VI_Debitos!$R:$R,LEFT(PAGADO!I$1,4),VI_Debitos!$Q:$Q,RIGHT(I$1,2))</f>
        <v>0</v>
      </c>
      <c r="J360" s="2">
        <f>SUMIFS(VI_Debitos!$V:$V,VI_Debitos!$H:$H,$C360,VI_Debitos!$T:$T,$D360,VI_Debitos!$R:$R,LEFT(PAGADO!J$1,4),VI_Debitos!$Q:$Q,RIGHT(J$1,2))</f>
        <v>0</v>
      </c>
      <c r="K360" s="2">
        <f>SUMIFS(VI_Debitos!$V:$V,VI_Debitos!$H:$H,$C360,VI_Debitos!$T:$T,$D360,VI_Debitos!$R:$R,LEFT(PAGADO!K$1,4),VI_Debitos!$Q:$Q,RIGHT(K$1,2))</f>
        <v>0</v>
      </c>
      <c r="L360" s="2">
        <f>SUMIFS(VI_Debitos!$V:$V,VI_Debitos!$H:$H,$C360,VI_Debitos!$T:$T,$D360,VI_Debitos!$R:$R,LEFT(PAGADO!L$1,4),VI_Debitos!$Q:$Q,RIGHT(L$1,2))</f>
        <v>0</v>
      </c>
      <c r="M360" s="2">
        <f>SUMIFS(VI_Debitos!$V:$V,VI_Debitos!$H:$H,$C360,VI_Debitos!$T:$T,$D360,VI_Debitos!$R:$R,LEFT(PAGADO!M$1,4),VI_Debitos!$Q:$Q,RIGHT(M$1,2))</f>
        <v>0</v>
      </c>
      <c r="N360" s="2">
        <f>SUMIFS(VI_Debitos!$V:$V,VI_Debitos!$H:$H,$C360,VI_Debitos!$T:$T,$D360,VI_Debitos!$R:$R,LEFT(PAGADO!N$1,4),VI_Debitos!$Q:$Q,RIGHT(N$1,2))</f>
        <v>0</v>
      </c>
      <c r="O360" s="2">
        <f>SUMIFS(VI_Debitos!$V:$V,VI_Debitos!$H:$H,$C360,VI_Debitos!$T:$T,$D360,VI_Debitos!$R:$R,LEFT(PAGADO!O$1,4),VI_Debitos!$Q:$Q,RIGHT(O$1,2))</f>
        <v>0</v>
      </c>
      <c r="P360" s="2">
        <f>SUMIFS(VI_Debitos!$V:$V,VI_Debitos!$H:$H,$C360,VI_Debitos!$T:$T,$D360,VI_Debitos!$R:$R,LEFT(PAGADO!P$1,4),VI_Debitos!$Q:$Q,RIGHT(P$1,2))</f>
        <v>0</v>
      </c>
      <c r="Q360" s="2">
        <f>SUMIFS(VI_Debitos!$V:$V,VI_Debitos!$H:$H,$C360,VI_Debitos!$T:$T,$D360,VI_Debitos!$R:$R,LEFT(PAGADO!Q$1,4),VI_Debitos!$Q:$Q,RIGHT(Q$1,2))</f>
        <v>0</v>
      </c>
      <c r="R360" s="2">
        <f t="shared" si="5"/>
        <v>0</v>
      </c>
    </row>
    <row r="361" spans="6:18">
      <c r="F361" s="2">
        <f>SUMIFS(VI_Debitos!$V:$V,VI_Debitos!$H:$H,$C361,VI_Debitos!$T:$T,$D361,VI_Debitos!$R:$R,LEFT(PAGADO!F$1,4),VI_Debitos!$Q:$Q,RIGHT(F$1,2))</f>
        <v>0</v>
      </c>
      <c r="G361" s="2">
        <f>SUMIFS(VI_Debitos!$V:$V,VI_Debitos!$H:$H,$C361,VI_Debitos!$T:$T,$D361,VI_Debitos!$R:$R,LEFT(PAGADO!G$1,4),VI_Debitos!$Q:$Q,RIGHT(G$1,2))</f>
        <v>0</v>
      </c>
      <c r="H361" s="2">
        <f>SUMIFS(VI_Debitos!$V:$V,VI_Debitos!$H:$H,$C361,VI_Debitos!$T:$T,$D361,VI_Debitos!$R:$R,LEFT(PAGADO!H$1,4),VI_Debitos!$Q:$Q,RIGHT(H$1,2))</f>
        <v>0</v>
      </c>
      <c r="I361" s="2">
        <f>SUMIFS(VI_Debitos!$V:$V,VI_Debitos!$H:$H,$C361,VI_Debitos!$T:$T,$D361,VI_Debitos!$R:$R,LEFT(PAGADO!I$1,4),VI_Debitos!$Q:$Q,RIGHT(I$1,2))</f>
        <v>0</v>
      </c>
      <c r="J361" s="2">
        <f>SUMIFS(VI_Debitos!$V:$V,VI_Debitos!$H:$H,$C361,VI_Debitos!$T:$T,$D361,VI_Debitos!$R:$R,LEFT(PAGADO!J$1,4),VI_Debitos!$Q:$Q,RIGHT(J$1,2))</f>
        <v>0</v>
      </c>
      <c r="K361" s="2">
        <f>SUMIFS(VI_Debitos!$V:$V,VI_Debitos!$H:$H,$C361,VI_Debitos!$T:$T,$D361,VI_Debitos!$R:$R,LEFT(PAGADO!K$1,4),VI_Debitos!$Q:$Q,RIGHT(K$1,2))</f>
        <v>0</v>
      </c>
      <c r="L361" s="2">
        <f>SUMIFS(VI_Debitos!$V:$V,VI_Debitos!$H:$H,$C361,VI_Debitos!$T:$T,$D361,VI_Debitos!$R:$R,LEFT(PAGADO!L$1,4),VI_Debitos!$Q:$Q,RIGHT(L$1,2))</f>
        <v>0</v>
      </c>
      <c r="M361" s="2">
        <f>SUMIFS(VI_Debitos!$V:$V,VI_Debitos!$H:$H,$C361,VI_Debitos!$T:$T,$D361,VI_Debitos!$R:$R,LEFT(PAGADO!M$1,4),VI_Debitos!$Q:$Q,RIGHT(M$1,2))</f>
        <v>0</v>
      </c>
      <c r="N361" s="2">
        <f>SUMIFS(VI_Debitos!$V:$V,VI_Debitos!$H:$H,$C361,VI_Debitos!$T:$T,$D361,VI_Debitos!$R:$R,LEFT(PAGADO!N$1,4),VI_Debitos!$Q:$Q,RIGHT(N$1,2))</f>
        <v>0</v>
      </c>
      <c r="O361" s="2">
        <f>SUMIFS(VI_Debitos!$V:$V,VI_Debitos!$H:$H,$C361,VI_Debitos!$T:$T,$D361,VI_Debitos!$R:$R,LEFT(PAGADO!O$1,4),VI_Debitos!$Q:$Q,RIGHT(O$1,2))</f>
        <v>0</v>
      </c>
      <c r="P361" s="2">
        <f>SUMIFS(VI_Debitos!$V:$V,VI_Debitos!$H:$H,$C361,VI_Debitos!$T:$T,$D361,VI_Debitos!$R:$R,LEFT(PAGADO!P$1,4),VI_Debitos!$Q:$Q,RIGHT(P$1,2))</f>
        <v>0</v>
      </c>
      <c r="Q361" s="2">
        <f>SUMIFS(VI_Debitos!$V:$V,VI_Debitos!$H:$H,$C361,VI_Debitos!$T:$T,$D361,VI_Debitos!$R:$R,LEFT(PAGADO!Q$1,4),VI_Debitos!$Q:$Q,RIGHT(Q$1,2))</f>
        <v>0</v>
      </c>
      <c r="R361" s="2">
        <f t="shared" si="5"/>
        <v>0</v>
      </c>
    </row>
    <row r="362" spans="6:18">
      <c r="F362" s="2">
        <f>SUMIFS(VI_Debitos!$V:$V,VI_Debitos!$H:$H,$C362,VI_Debitos!$T:$T,$D362,VI_Debitos!$R:$R,LEFT(PAGADO!F$1,4),VI_Debitos!$Q:$Q,RIGHT(F$1,2))</f>
        <v>0</v>
      </c>
      <c r="G362" s="2">
        <f>SUMIFS(VI_Debitos!$V:$V,VI_Debitos!$H:$H,$C362,VI_Debitos!$T:$T,$D362,VI_Debitos!$R:$R,LEFT(PAGADO!G$1,4),VI_Debitos!$Q:$Q,RIGHT(G$1,2))</f>
        <v>0</v>
      </c>
      <c r="H362" s="2">
        <f>SUMIFS(VI_Debitos!$V:$V,VI_Debitos!$H:$H,$C362,VI_Debitos!$T:$T,$D362,VI_Debitos!$R:$R,LEFT(PAGADO!H$1,4),VI_Debitos!$Q:$Q,RIGHT(H$1,2))</f>
        <v>0</v>
      </c>
      <c r="I362" s="2">
        <f>SUMIFS(VI_Debitos!$V:$V,VI_Debitos!$H:$H,$C362,VI_Debitos!$T:$T,$D362,VI_Debitos!$R:$R,LEFT(PAGADO!I$1,4),VI_Debitos!$Q:$Q,RIGHT(I$1,2))</f>
        <v>0</v>
      </c>
      <c r="J362" s="2">
        <f>SUMIFS(VI_Debitos!$V:$V,VI_Debitos!$H:$H,$C362,VI_Debitos!$T:$T,$D362,VI_Debitos!$R:$R,LEFT(PAGADO!J$1,4),VI_Debitos!$Q:$Q,RIGHT(J$1,2))</f>
        <v>0</v>
      </c>
      <c r="K362" s="2">
        <f>SUMIFS(VI_Debitos!$V:$V,VI_Debitos!$H:$H,$C362,VI_Debitos!$T:$T,$D362,VI_Debitos!$R:$R,LEFT(PAGADO!K$1,4),VI_Debitos!$Q:$Q,RIGHT(K$1,2))</f>
        <v>0</v>
      </c>
      <c r="L362" s="2">
        <f>SUMIFS(VI_Debitos!$V:$V,VI_Debitos!$H:$H,$C362,VI_Debitos!$T:$T,$D362,VI_Debitos!$R:$R,LEFT(PAGADO!L$1,4),VI_Debitos!$Q:$Q,RIGHT(L$1,2))</f>
        <v>0</v>
      </c>
      <c r="M362" s="2">
        <f>SUMIFS(VI_Debitos!$V:$V,VI_Debitos!$H:$H,$C362,VI_Debitos!$T:$T,$D362,VI_Debitos!$R:$R,LEFT(PAGADO!M$1,4),VI_Debitos!$Q:$Q,RIGHT(M$1,2))</f>
        <v>0</v>
      </c>
      <c r="N362" s="2">
        <f>SUMIFS(VI_Debitos!$V:$V,VI_Debitos!$H:$H,$C362,VI_Debitos!$T:$T,$D362,VI_Debitos!$R:$R,LEFT(PAGADO!N$1,4),VI_Debitos!$Q:$Q,RIGHT(N$1,2))</f>
        <v>0</v>
      </c>
      <c r="O362" s="2">
        <f>SUMIFS(VI_Debitos!$V:$V,VI_Debitos!$H:$H,$C362,VI_Debitos!$T:$T,$D362,VI_Debitos!$R:$R,LEFT(PAGADO!O$1,4),VI_Debitos!$Q:$Q,RIGHT(O$1,2))</f>
        <v>0</v>
      </c>
      <c r="P362" s="2">
        <f>SUMIFS(VI_Debitos!$V:$V,VI_Debitos!$H:$H,$C362,VI_Debitos!$T:$T,$D362,VI_Debitos!$R:$R,LEFT(PAGADO!P$1,4),VI_Debitos!$Q:$Q,RIGHT(P$1,2))</f>
        <v>0</v>
      </c>
      <c r="Q362" s="2">
        <f>SUMIFS(VI_Debitos!$V:$V,VI_Debitos!$H:$H,$C362,VI_Debitos!$T:$T,$D362,VI_Debitos!$R:$R,LEFT(PAGADO!Q$1,4),VI_Debitos!$Q:$Q,RIGHT(Q$1,2))</f>
        <v>0</v>
      </c>
      <c r="R362" s="2">
        <f t="shared" si="5"/>
        <v>0</v>
      </c>
    </row>
    <row r="363" spans="6:18">
      <c r="F363" s="2">
        <f>SUMIFS(VI_Debitos!$V:$V,VI_Debitos!$H:$H,$C363,VI_Debitos!$T:$T,$D363,VI_Debitos!$R:$R,LEFT(PAGADO!F$1,4),VI_Debitos!$Q:$Q,RIGHT(F$1,2))</f>
        <v>0</v>
      </c>
      <c r="G363" s="2">
        <f>SUMIFS(VI_Debitos!$V:$V,VI_Debitos!$H:$H,$C363,VI_Debitos!$T:$T,$D363,VI_Debitos!$R:$R,LEFT(PAGADO!G$1,4),VI_Debitos!$Q:$Q,RIGHT(G$1,2))</f>
        <v>0</v>
      </c>
      <c r="H363" s="2">
        <f>SUMIFS(VI_Debitos!$V:$V,VI_Debitos!$H:$H,$C363,VI_Debitos!$T:$T,$D363,VI_Debitos!$R:$R,LEFT(PAGADO!H$1,4),VI_Debitos!$Q:$Q,RIGHT(H$1,2))</f>
        <v>0</v>
      </c>
      <c r="I363" s="2">
        <f>SUMIFS(VI_Debitos!$V:$V,VI_Debitos!$H:$H,$C363,VI_Debitos!$T:$T,$D363,VI_Debitos!$R:$R,LEFT(PAGADO!I$1,4),VI_Debitos!$Q:$Q,RIGHT(I$1,2))</f>
        <v>0</v>
      </c>
      <c r="J363" s="2">
        <f>SUMIFS(VI_Debitos!$V:$V,VI_Debitos!$H:$H,$C363,VI_Debitos!$T:$T,$D363,VI_Debitos!$R:$R,LEFT(PAGADO!J$1,4),VI_Debitos!$Q:$Q,RIGHT(J$1,2))</f>
        <v>0</v>
      </c>
      <c r="K363" s="2">
        <f>SUMIFS(VI_Debitos!$V:$V,VI_Debitos!$H:$H,$C363,VI_Debitos!$T:$T,$D363,VI_Debitos!$R:$R,LEFT(PAGADO!K$1,4),VI_Debitos!$Q:$Q,RIGHT(K$1,2))</f>
        <v>0</v>
      </c>
      <c r="L363" s="2">
        <f>SUMIFS(VI_Debitos!$V:$V,VI_Debitos!$H:$H,$C363,VI_Debitos!$T:$T,$D363,VI_Debitos!$R:$R,LEFT(PAGADO!L$1,4),VI_Debitos!$Q:$Q,RIGHT(L$1,2))</f>
        <v>0</v>
      </c>
      <c r="M363" s="2">
        <f>SUMIFS(VI_Debitos!$V:$V,VI_Debitos!$H:$H,$C363,VI_Debitos!$T:$T,$D363,VI_Debitos!$R:$R,LEFT(PAGADO!M$1,4),VI_Debitos!$Q:$Q,RIGHT(M$1,2))</f>
        <v>0</v>
      </c>
      <c r="N363" s="2">
        <f>SUMIFS(VI_Debitos!$V:$V,VI_Debitos!$H:$H,$C363,VI_Debitos!$T:$T,$D363,VI_Debitos!$R:$R,LEFT(PAGADO!N$1,4),VI_Debitos!$Q:$Q,RIGHT(N$1,2))</f>
        <v>0</v>
      </c>
      <c r="O363" s="2">
        <f>SUMIFS(VI_Debitos!$V:$V,VI_Debitos!$H:$H,$C363,VI_Debitos!$T:$T,$D363,VI_Debitos!$R:$R,LEFT(PAGADO!O$1,4),VI_Debitos!$Q:$Q,RIGHT(O$1,2))</f>
        <v>0</v>
      </c>
      <c r="P363" s="2">
        <f>SUMIFS(VI_Debitos!$V:$V,VI_Debitos!$H:$H,$C363,VI_Debitos!$T:$T,$D363,VI_Debitos!$R:$R,LEFT(PAGADO!P$1,4),VI_Debitos!$Q:$Q,RIGHT(P$1,2))</f>
        <v>0</v>
      </c>
      <c r="Q363" s="2">
        <f>SUMIFS(VI_Debitos!$V:$V,VI_Debitos!$H:$H,$C363,VI_Debitos!$T:$T,$D363,VI_Debitos!$R:$R,LEFT(PAGADO!Q$1,4),VI_Debitos!$Q:$Q,RIGHT(Q$1,2))</f>
        <v>0</v>
      </c>
      <c r="R363" s="2">
        <f t="shared" si="5"/>
        <v>0</v>
      </c>
    </row>
    <row r="364" spans="6:18">
      <c r="F364" s="2">
        <f>SUMIFS(VI_Debitos!$V:$V,VI_Debitos!$H:$H,$C364,VI_Debitos!$T:$T,$D364,VI_Debitos!$R:$R,LEFT(PAGADO!F$1,4),VI_Debitos!$Q:$Q,RIGHT(F$1,2))</f>
        <v>0</v>
      </c>
      <c r="G364" s="2">
        <f>SUMIFS(VI_Debitos!$V:$V,VI_Debitos!$H:$H,$C364,VI_Debitos!$T:$T,$D364,VI_Debitos!$R:$R,LEFT(PAGADO!G$1,4),VI_Debitos!$Q:$Q,RIGHT(G$1,2))</f>
        <v>0</v>
      </c>
      <c r="H364" s="2">
        <f>SUMIFS(VI_Debitos!$V:$V,VI_Debitos!$H:$H,$C364,VI_Debitos!$T:$T,$D364,VI_Debitos!$R:$R,LEFT(PAGADO!H$1,4),VI_Debitos!$Q:$Q,RIGHT(H$1,2))</f>
        <v>0</v>
      </c>
      <c r="I364" s="2">
        <f>SUMIFS(VI_Debitos!$V:$V,VI_Debitos!$H:$H,$C364,VI_Debitos!$T:$T,$D364,VI_Debitos!$R:$R,LEFT(PAGADO!I$1,4),VI_Debitos!$Q:$Q,RIGHT(I$1,2))</f>
        <v>0</v>
      </c>
      <c r="J364" s="2">
        <f>SUMIFS(VI_Debitos!$V:$V,VI_Debitos!$H:$H,$C364,VI_Debitos!$T:$T,$D364,VI_Debitos!$R:$R,LEFT(PAGADO!J$1,4),VI_Debitos!$Q:$Q,RIGHT(J$1,2))</f>
        <v>0</v>
      </c>
      <c r="K364" s="2">
        <f>SUMIFS(VI_Debitos!$V:$V,VI_Debitos!$H:$H,$C364,VI_Debitos!$T:$T,$D364,VI_Debitos!$R:$R,LEFT(PAGADO!K$1,4),VI_Debitos!$Q:$Q,RIGHT(K$1,2))</f>
        <v>0</v>
      </c>
      <c r="L364" s="2">
        <f>SUMIFS(VI_Debitos!$V:$V,VI_Debitos!$H:$H,$C364,VI_Debitos!$T:$T,$D364,VI_Debitos!$R:$R,LEFT(PAGADO!L$1,4),VI_Debitos!$Q:$Q,RIGHT(L$1,2))</f>
        <v>0</v>
      </c>
      <c r="M364" s="2">
        <f>SUMIFS(VI_Debitos!$V:$V,VI_Debitos!$H:$H,$C364,VI_Debitos!$T:$T,$D364,VI_Debitos!$R:$R,LEFT(PAGADO!M$1,4),VI_Debitos!$Q:$Q,RIGHT(M$1,2))</f>
        <v>0</v>
      </c>
      <c r="N364" s="2">
        <f>SUMIFS(VI_Debitos!$V:$V,VI_Debitos!$H:$H,$C364,VI_Debitos!$T:$T,$D364,VI_Debitos!$R:$R,LEFT(PAGADO!N$1,4),VI_Debitos!$Q:$Q,RIGHT(N$1,2))</f>
        <v>0</v>
      </c>
      <c r="O364" s="2">
        <f>SUMIFS(VI_Debitos!$V:$V,VI_Debitos!$H:$H,$C364,VI_Debitos!$T:$T,$D364,VI_Debitos!$R:$R,LEFT(PAGADO!O$1,4),VI_Debitos!$Q:$Q,RIGHT(O$1,2))</f>
        <v>0</v>
      </c>
      <c r="P364" s="2">
        <f>SUMIFS(VI_Debitos!$V:$V,VI_Debitos!$H:$H,$C364,VI_Debitos!$T:$T,$D364,VI_Debitos!$R:$R,LEFT(PAGADO!P$1,4),VI_Debitos!$Q:$Q,RIGHT(P$1,2))</f>
        <v>0</v>
      </c>
      <c r="Q364" s="2">
        <f>SUMIFS(VI_Debitos!$V:$V,VI_Debitos!$H:$H,$C364,VI_Debitos!$T:$T,$D364,VI_Debitos!$R:$R,LEFT(PAGADO!Q$1,4),VI_Debitos!$Q:$Q,RIGHT(Q$1,2))</f>
        <v>0</v>
      </c>
      <c r="R364" s="2">
        <f t="shared" si="5"/>
        <v>0</v>
      </c>
    </row>
    <row r="365" spans="6:18">
      <c r="F365" s="2">
        <f>SUMIFS(VI_Debitos!$V:$V,VI_Debitos!$H:$H,$C365,VI_Debitos!$T:$T,$D365,VI_Debitos!$R:$R,LEFT(PAGADO!F$1,4),VI_Debitos!$Q:$Q,RIGHT(F$1,2))</f>
        <v>0</v>
      </c>
      <c r="G365" s="2">
        <f>SUMIFS(VI_Debitos!$V:$V,VI_Debitos!$H:$H,$C365,VI_Debitos!$T:$T,$D365,VI_Debitos!$R:$R,LEFT(PAGADO!G$1,4),VI_Debitos!$Q:$Q,RIGHT(G$1,2))</f>
        <v>0</v>
      </c>
      <c r="H365" s="2">
        <f>SUMIFS(VI_Debitos!$V:$V,VI_Debitos!$H:$H,$C365,VI_Debitos!$T:$T,$D365,VI_Debitos!$R:$R,LEFT(PAGADO!H$1,4),VI_Debitos!$Q:$Q,RIGHT(H$1,2))</f>
        <v>0</v>
      </c>
      <c r="I365" s="2">
        <f>SUMIFS(VI_Debitos!$V:$V,VI_Debitos!$H:$H,$C365,VI_Debitos!$T:$T,$D365,VI_Debitos!$R:$R,LEFT(PAGADO!I$1,4),VI_Debitos!$Q:$Q,RIGHT(I$1,2))</f>
        <v>0</v>
      </c>
      <c r="J365" s="2">
        <f>SUMIFS(VI_Debitos!$V:$V,VI_Debitos!$H:$H,$C365,VI_Debitos!$T:$T,$D365,VI_Debitos!$R:$R,LEFT(PAGADO!J$1,4),VI_Debitos!$Q:$Q,RIGHT(J$1,2))</f>
        <v>0</v>
      </c>
      <c r="K365" s="2">
        <f>SUMIFS(VI_Debitos!$V:$V,VI_Debitos!$H:$H,$C365,VI_Debitos!$T:$T,$D365,VI_Debitos!$R:$R,LEFT(PAGADO!K$1,4),VI_Debitos!$Q:$Q,RIGHT(K$1,2))</f>
        <v>0</v>
      </c>
      <c r="L365" s="2">
        <f>SUMIFS(VI_Debitos!$V:$V,VI_Debitos!$H:$H,$C365,VI_Debitos!$T:$T,$D365,VI_Debitos!$R:$R,LEFT(PAGADO!L$1,4),VI_Debitos!$Q:$Q,RIGHT(L$1,2))</f>
        <v>0</v>
      </c>
      <c r="M365" s="2">
        <f>SUMIFS(VI_Debitos!$V:$V,VI_Debitos!$H:$H,$C365,VI_Debitos!$T:$T,$D365,VI_Debitos!$R:$R,LEFT(PAGADO!M$1,4),VI_Debitos!$Q:$Q,RIGHT(M$1,2))</f>
        <v>0</v>
      </c>
      <c r="N365" s="2">
        <f>SUMIFS(VI_Debitos!$V:$V,VI_Debitos!$H:$H,$C365,VI_Debitos!$T:$T,$D365,VI_Debitos!$R:$R,LEFT(PAGADO!N$1,4),VI_Debitos!$Q:$Q,RIGHT(N$1,2))</f>
        <v>0</v>
      </c>
      <c r="O365" s="2">
        <f>SUMIFS(VI_Debitos!$V:$V,VI_Debitos!$H:$H,$C365,VI_Debitos!$T:$T,$D365,VI_Debitos!$R:$R,LEFT(PAGADO!O$1,4),VI_Debitos!$Q:$Q,RIGHT(O$1,2))</f>
        <v>0</v>
      </c>
      <c r="P365" s="2">
        <f>SUMIFS(VI_Debitos!$V:$V,VI_Debitos!$H:$H,$C365,VI_Debitos!$T:$T,$D365,VI_Debitos!$R:$R,LEFT(PAGADO!P$1,4),VI_Debitos!$Q:$Q,RIGHT(P$1,2))</f>
        <v>0</v>
      </c>
      <c r="Q365" s="2">
        <f>SUMIFS(VI_Debitos!$V:$V,VI_Debitos!$H:$H,$C365,VI_Debitos!$T:$T,$D365,VI_Debitos!$R:$R,LEFT(PAGADO!Q$1,4),VI_Debitos!$Q:$Q,RIGHT(Q$1,2))</f>
        <v>0</v>
      </c>
      <c r="R365" s="2">
        <f t="shared" si="5"/>
        <v>0</v>
      </c>
    </row>
    <row r="366" spans="6:18">
      <c r="F366" s="2">
        <f>SUMIFS(VI_Debitos!$V:$V,VI_Debitos!$H:$H,$C366,VI_Debitos!$T:$T,$D366,VI_Debitos!$R:$R,LEFT(PAGADO!F$1,4),VI_Debitos!$Q:$Q,RIGHT(F$1,2))</f>
        <v>0</v>
      </c>
      <c r="G366" s="2">
        <f>SUMIFS(VI_Debitos!$V:$V,VI_Debitos!$H:$H,$C366,VI_Debitos!$T:$T,$D366,VI_Debitos!$R:$R,LEFT(PAGADO!G$1,4),VI_Debitos!$Q:$Q,RIGHT(G$1,2))</f>
        <v>0</v>
      </c>
      <c r="H366" s="2">
        <f>SUMIFS(VI_Debitos!$V:$V,VI_Debitos!$H:$H,$C366,VI_Debitos!$T:$T,$D366,VI_Debitos!$R:$R,LEFT(PAGADO!H$1,4),VI_Debitos!$Q:$Q,RIGHT(H$1,2))</f>
        <v>0</v>
      </c>
      <c r="I366" s="2">
        <f>SUMIFS(VI_Debitos!$V:$V,VI_Debitos!$H:$H,$C366,VI_Debitos!$T:$T,$D366,VI_Debitos!$R:$R,LEFT(PAGADO!I$1,4),VI_Debitos!$Q:$Q,RIGHT(I$1,2))</f>
        <v>0</v>
      </c>
      <c r="J366" s="2">
        <f>SUMIFS(VI_Debitos!$V:$V,VI_Debitos!$H:$H,$C366,VI_Debitos!$T:$T,$D366,VI_Debitos!$R:$R,LEFT(PAGADO!J$1,4),VI_Debitos!$Q:$Q,RIGHT(J$1,2))</f>
        <v>0</v>
      </c>
      <c r="K366" s="2">
        <f>SUMIFS(VI_Debitos!$V:$V,VI_Debitos!$H:$H,$C366,VI_Debitos!$T:$T,$D366,VI_Debitos!$R:$R,LEFT(PAGADO!K$1,4),VI_Debitos!$Q:$Q,RIGHT(K$1,2))</f>
        <v>0</v>
      </c>
      <c r="L366" s="2">
        <f>SUMIFS(VI_Debitos!$V:$V,VI_Debitos!$H:$H,$C366,VI_Debitos!$T:$T,$D366,VI_Debitos!$R:$R,LEFT(PAGADO!L$1,4),VI_Debitos!$Q:$Q,RIGHT(L$1,2))</f>
        <v>0</v>
      </c>
      <c r="M366" s="2">
        <f>SUMIFS(VI_Debitos!$V:$V,VI_Debitos!$H:$H,$C366,VI_Debitos!$T:$T,$D366,VI_Debitos!$R:$R,LEFT(PAGADO!M$1,4),VI_Debitos!$Q:$Q,RIGHT(M$1,2))</f>
        <v>0</v>
      </c>
      <c r="N366" s="2">
        <f>SUMIFS(VI_Debitos!$V:$V,VI_Debitos!$H:$H,$C366,VI_Debitos!$T:$T,$D366,VI_Debitos!$R:$R,LEFT(PAGADO!N$1,4),VI_Debitos!$Q:$Q,RIGHT(N$1,2))</f>
        <v>0</v>
      </c>
      <c r="O366" s="2">
        <f>SUMIFS(VI_Debitos!$V:$V,VI_Debitos!$H:$H,$C366,VI_Debitos!$T:$T,$D366,VI_Debitos!$R:$R,LEFT(PAGADO!O$1,4),VI_Debitos!$Q:$Q,RIGHT(O$1,2))</f>
        <v>0</v>
      </c>
      <c r="P366" s="2">
        <f>SUMIFS(VI_Debitos!$V:$V,VI_Debitos!$H:$H,$C366,VI_Debitos!$T:$T,$D366,VI_Debitos!$R:$R,LEFT(PAGADO!P$1,4),VI_Debitos!$Q:$Q,RIGHT(P$1,2))</f>
        <v>0</v>
      </c>
      <c r="Q366" s="2">
        <f>SUMIFS(VI_Debitos!$V:$V,VI_Debitos!$H:$H,$C366,VI_Debitos!$T:$T,$D366,VI_Debitos!$R:$R,LEFT(PAGADO!Q$1,4),VI_Debitos!$Q:$Q,RIGHT(Q$1,2))</f>
        <v>0</v>
      </c>
      <c r="R366" s="2">
        <f t="shared" si="5"/>
        <v>0</v>
      </c>
    </row>
    <row r="367" spans="6:18">
      <c r="F367" s="2">
        <f>SUMIFS(VI_Debitos!$V:$V,VI_Debitos!$H:$H,$C367,VI_Debitos!$T:$T,$D367,VI_Debitos!$R:$R,LEFT(PAGADO!F$1,4),VI_Debitos!$Q:$Q,RIGHT(F$1,2))</f>
        <v>0</v>
      </c>
      <c r="G367" s="2">
        <f>SUMIFS(VI_Debitos!$V:$V,VI_Debitos!$H:$H,$C367,VI_Debitos!$T:$T,$D367,VI_Debitos!$R:$R,LEFT(PAGADO!G$1,4),VI_Debitos!$Q:$Q,RIGHT(G$1,2))</f>
        <v>0</v>
      </c>
      <c r="H367" s="2">
        <f>SUMIFS(VI_Debitos!$V:$V,VI_Debitos!$H:$H,$C367,VI_Debitos!$T:$T,$D367,VI_Debitos!$R:$R,LEFT(PAGADO!H$1,4),VI_Debitos!$Q:$Q,RIGHT(H$1,2))</f>
        <v>0</v>
      </c>
      <c r="I367" s="2">
        <f>SUMIFS(VI_Debitos!$V:$V,VI_Debitos!$H:$H,$C367,VI_Debitos!$T:$T,$D367,VI_Debitos!$R:$R,LEFT(PAGADO!I$1,4),VI_Debitos!$Q:$Q,RIGHT(I$1,2))</f>
        <v>0</v>
      </c>
      <c r="J367" s="2">
        <f>SUMIFS(VI_Debitos!$V:$V,VI_Debitos!$H:$H,$C367,VI_Debitos!$T:$T,$D367,VI_Debitos!$R:$R,LEFT(PAGADO!J$1,4),VI_Debitos!$Q:$Q,RIGHT(J$1,2))</f>
        <v>0</v>
      </c>
      <c r="K367" s="2">
        <f>SUMIFS(VI_Debitos!$V:$V,VI_Debitos!$H:$H,$C367,VI_Debitos!$T:$T,$D367,VI_Debitos!$R:$R,LEFT(PAGADO!K$1,4),VI_Debitos!$Q:$Q,RIGHT(K$1,2))</f>
        <v>0</v>
      </c>
      <c r="L367" s="2">
        <f>SUMIFS(VI_Debitos!$V:$V,VI_Debitos!$H:$H,$C367,VI_Debitos!$T:$T,$D367,VI_Debitos!$R:$R,LEFT(PAGADO!L$1,4),VI_Debitos!$Q:$Q,RIGHT(L$1,2))</f>
        <v>0</v>
      </c>
      <c r="M367" s="2">
        <f>SUMIFS(VI_Debitos!$V:$V,VI_Debitos!$H:$H,$C367,VI_Debitos!$T:$T,$D367,VI_Debitos!$R:$R,LEFT(PAGADO!M$1,4),VI_Debitos!$Q:$Q,RIGHT(M$1,2))</f>
        <v>0</v>
      </c>
      <c r="N367" s="2">
        <f>SUMIFS(VI_Debitos!$V:$V,VI_Debitos!$H:$H,$C367,VI_Debitos!$T:$T,$D367,VI_Debitos!$R:$R,LEFT(PAGADO!N$1,4),VI_Debitos!$Q:$Q,RIGHT(N$1,2))</f>
        <v>0</v>
      </c>
      <c r="O367" s="2">
        <f>SUMIFS(VI_Debitos!$V:$V,VI_Debitos!$H:$H,$C367,VI_Debitos!$T:$T,$D367,VI_Debitos!$R:$R,LEFT(PAGADO!O$1,4),VI_Debitos!$Q:$Q,RIGHT(O$1,2))</f>
        <v>0</v>
      </c>
      <c r="P367" s="2">
        <f>SUMIFS(VI_Debitos!$V:$V,VI_Debitos!$H:$H,$C367,VI_Debitos!$T:$T,$D367,VI_Debitos!$R:$R,LEFT(PAGADO!P$1,4),VI_Debitos!$Q:$Q,RIGHT(P$1,2))</f>
        <v>0</v>
      </c>
      <c r="Q367" s="2">
        <f>SUMIFS(VI_Debitos!$V:$V,VI_Debitos!$H:$H,$C367,VI_Debitos!$T:$T,$D367,VI_Debitos!$R:$R,LEFT(PAGADO!Q$1,4),VI_Debitos!$Q:$Q,RIGHT(Q$1,2))</f>
        <v>0</v>
      </c>
      <c r="R367" s="2">
        <f t="shared" si="5"/>
        <v>0</v>
      </c>
    </row>
    <row r="368" spans="6:18">
      <c r="F368" s="2">
        <f>SUMIFS(VI_Debitos!$V:$V,VI_Debitos!$H:$H,$C368,VI_Debitos!$T:$T,$D368,VI_Debitos!$R:$R,LEFT(PAGADO!F$1,4),VI_Debitos!$Q:$Q,RIGHT(F$1,2))</f>
        <v>0</v>
      </c>
      <c r="G368" s="2">
        <f>SUMIFS(VI_Debitos!$V:$V,VI_Debitos!$H:$H,$C368,VI_Debitos!$T:$T,$D368,VI_Debitos!$R:$R,LEFT(PAGADO!G$1,4),VI_Debitos!$Q:$Q,RIGHT(G$1,2))</f>
        <v>0</v>
      </c>
      <c r="H368" s="2">
        <f>SUMIFS(VI_Debitos!$V:$V,VI_Debitos!$H:$H,$C368,VI_Debitos!$T:$T,$D368,VI_Debitos!$R:$R,LEFT(PAGADO!H$1,4),VI_Debitos!$Q:$Q,RIGHT(H$1,2))</f>
        <v>0</v>
      </c>
      <c r="I368" s="2">
        <f>SUMIFS(VI_Debitos!$V:$V,VI_Debitos!$H:$H,$C368,VI_Debitos!$T:$T,$D368,VI_Debitos!$R:$R,LEFT(PAGADO!I$1,4),VI_Debitos!$Q:$Q,RIGHT(I$1,2))</f>
        <v>0</v>
      </c>
      <c r="J368" s="2">
        <f>SUMIFS(VI_Debitos!$V:$V,VI_Debitos!$H:$H,$C368,VI_Debitos!$T:$T,$D368,VI_Debitos!$R:$R,LEFT(PAGADO!J$1,4),VI_Debitos!$Q:$Q,RIGHT(J$1,2))</f>
        <v>0</v>
      </c>
      <c r="K368" s="2">
        <f>SUMIFS(VI_Debitos!$V:$V,VI_Debitos!$H:$H,$C368,VI_Debitos!$T:$T,$D368,VI_Debitos!$R:$R,LEFT(PAGADO!K$1,4),VI_Debitos!$Q:$Q,RIGHT(K$1,2))</f>
        <v>0</v>
      </c>
      <c r="L368" s="2">
        <f>SUMIFS(VI_Debitos!$V:$V,VI_Debitos!$H:$H,$C368,VI_Debitos!$T:$T,$D368,VI_Debitos!$R:$R,LEFT(PAGADO!L$1,4),VI_Debitos!$Q:$Q,RIGHT(L$1,2))</f>
        <v>0</v>
      </c>
      <c r="M368" s="2">
        <f>SUMIFS(VI_Debitos!$V:$V,VI_Debitos!$H:$H,$C368,VI_Debitos!$T:$T,$D368,VI_Debitos!$R:$R,LEFT(PAGADO!M$1,4),VI_Debitos!$Q:$Q,RIGHT(M$1,2))</f>
        <v>0</v>
      </c>
      <c r="N368" s="2">
        <f>SUMIFS(VI_Debitos!$V:$V,VI_Debitos!$H:$H,$C368,VI_Debitos!$T:$T,$D368,VI_Debitos!$R:$R,LEFT(PAGADO!N$1,4),VI_Debitos!$Q:$Q,RIGHT(N$1,2))</f>
        <v>0</v>
      </c>
      <c r="O368" s="2">
        <f>SUMIFS(VI_Debitos!$V:$V,VI_Debitos!$H:$H,$C368,VI_Debitos!$T:$T,$D368,VI_Debitos!$R:$R,LEFT(PAGADO!O$1,4),VI_Debitos!$Q:$Q,RIGHT(O$1,2))</f>
        <v>0</v>
      </c>
      <c r="P368" s="2">
        <f>SUMIFS(VI_Debitos!$V:$V,VI_Debitos!$H:$H,$C368,VI_Debitos!$T:$T,$D368,VI_Debitos!$R:$R,LEFT(PAGADO!P$1,4),VI_Debitos!$Q:$Q,RIGHT(P$1,2))</f>
        <v>0</v>
      </c>
      <c r="Q368" s="2">
        <f>SUMIFS(VI_Debitos!$V:$V,VI_Debitos!$H:$H,$C368,VI_Debitos!$T:$T,$D368,VI_Debitos!$R:$R,LEFT(PAGADO!Q$1,4),VI_Debitos!$Q:$Q,RIGHT(Q$1,2))</f>
        <v>0</v>
      </c>
      <c r="R368" s="2">
        <f t="shared" si="5"/>
        <v>0</v>
      </c>
    </row>
    <row r="369" spans="6:18">
      <c r="F369" s="2">
        <f>SUMIFS(VI_Debitos!$V:$V,VI_Debitos!$H:$H,$C369,VI_Debitos!$T:$T,$D369,VI_Debitos!$R:$R,LEFT(PAGADO!F$1,4),VI_Debitos!$Q:$Q,RIGHT(F$1,2))</f>
        <v>0</v>
      </c>
      <c r="G369" s="2">
        <f>SUMIFS(VI_Debitos!$V:$V,VI_Debitos!$H:$H,$C369,VI_Debitos!$T:$T,$D369,VI_Debitos!$R:$R,LEFT(PAGADO!G$1,4),VI_Debitos!$Q:$Q,RIGHT(G$1,2))</f>
        <v>0</v>
      </c>
      <c r="H369" s="2">
        <f>SUMIFS(VI_Debitos!$V:$V,VI_Debitos!$H:$H,$C369,VI_Debitos!$T:$T,$D369,VI_Debitos!$R:$R,LEFT(PAGADO!H$1,4),VI_Debitos!$Q:$Q,RIGHT(H$1,2))</f>
        <v>0</v>
      </c>
      <c r="I369" s="2">
        <f>SUMIFS(VI_Debitos!$V:$V,VI_Debitos!$H:$H,$C369,VI_Debitos!$T:$T,$D369,VI_Debitos!$R:$R,LEFT(PAGADO!I$1,4),VI_Debitos!$Q:$Q,RIGHT(I$1,2))</f>
        <v>0</v>
      </c>
      <c r="J369" s="2">
        <f>SUMIFS(VI_Debitos!$V:$V,VI_Debitos!$H:$H,$C369,VI_Debitos!$T:$T,$D369,VI_Debitos!$R:$R,LEFT(PAGADO!J$1,4),VI_Debitos!$Q:$Q,RIGHT(J$1,2))</f>
        <v>0</v>
      </c>
      <c r="K369" s="2">
        <f>SUMIFS(VI_Debitos!$V:$V,VI_Debitos!$H:$H,$C369,VI_Debitos!$T:$T,$D369,VI_Debitos!$R:$R,LEFT(PAGADO!K$1,4),VI_Debitos!$Q:$Q,RIGHT(K$1,2))</f>
        <v>0</v>
      </c>
      <c r="L369" s="2">
        <f>SUMIFS(VI_Debitos!$V:$V,VI_Debitos!$H:$H,$C369,VI_Debitos!$T:$T,$D369,VI_Debitos!$R:$R,LEFT(PAGADO!L$1,4),VI_Debitos!$Q:$Q,RIGHT(L$1,2))</f>
        <v>0</v>
      </c>
      <c r="M369" s="2">
        <f>SUMIFS(VI_Debitos!$V:$V,VI_Debitos!$H:$H,$C369,VI_Debitos!$T:$T,$D369,VI_Debitos!$R:$R,LEFT(PAGADO!M$1,4),VI_Debitos!$Q:$Q,RIGHT(M$1,2))</f>
        <v>0</v>
      </c>
      <c r="N369" s="2">
        <f>SUMIFS(VI_Debitos!$V:$V,VI_Debitos!$H:$H,$C369,VI_Debitos!$T:$T,$D369,VI_Debitos!$R:$R,LEFT(PAGADO!N$1,4),VI_Debitos!$Q:$Q,RIGHT(N$1,2))</f>
        <v>0</v>
      </c>
      <c r="O369" s="2">
        <f>SUMIFS(VI_Debitos!$V:$V,VI_Debitos!$H:$H,$C369,VI_Debitos!$T:$T,$D369,VI_Debitos!$R:$R,LEFT(PAGADO!O$1,4),VI_Debitos!$Q:$Q,RIGHT(O$1,2))</f>
        <v>0</v>
      </c>
      <c r="P369" s="2">
        <f>SUMIFS(VI_Debitos!$V:$V,VI_Debitos!$H:$H,$C369,VI_Debitos!$T:$T,$D369,VI_Debitos!$R:$R,LEFT(PAGADO!P$1,4),VI_Debitos!$Q:$Q,RIGHT(P$1,2))</f>
        <v>0</v>
      </c>
      <c r="Q369" s="2">
        <f>SUMIFS(VI_Debitos!$V:$V,VI_Debitos!$H:$H,$C369,VI_Debitos!$T:$T,$D369,VI_Debitos!$R:$R,LEFT(PAGADO!Q$1,4),VI_Debitos!$Q:$Q,RIGHT(Q$1,2))</f>
        <v>0</v>
      </c>
      <c r="R369" s="2">
        <f t="shared" si="5"/>
        <v>0</v>
      </c>
    </row>
    <row r="370" spans="6:18">
      <c r="F370" s="2">
        <f>SUMIFS(VI_Debitos!$V:$V,VI_Debitos!$H:$H,$C370,VI_Debitos!$T:$T,$D370,VI_Debitos!$R:$R,LEFT(PAGADO!F$1,4),VI_Debitos!$Q:$Q,RIGHT(F$1,2))</f>
        <v>0</v>
      </c>
      <c r="G370" s="2">
        <f>SUMIFS(VI_Debitos!$V:$V,VI_Debitos!$H:$H,$C370,VI_Debitos!$T:$T,$D370,VI_Debitos!$R:$R,LEFT(PAGADO!G$1,4),VI_Debitos!$Q:$Q,RIGHT(G$1,2))</f>
        <v>0</v>
      </c>
      <c r="H370" s="2">
        <f>SUMIFS(VI_Debitos!$V:$V,VI_Debitos!$H:$H,$C370,VI_Debitos!$T:$T,$D370,VI_Debitos!$R:$R,LEFT(PAGADO!H$1,4),VI_Debitos!$Q:$Q,RIGHT(H$1,2))</f>
        <v>0</v>
      </c>
      <c r="I370" s="2">
        <f>SUMIFS(VI_Debitos!$V:$V,VI_Debitos!$H:$H,$C370,VI_Debitos!$T:$T,$D370,VI_Debitos!$R:$R,LEFT(PAGADO!I$1,4),VI_Debitos!$Q:$Q,RIGHT(I$1,2))</f>
        <v>0</v>
      </c>
      <c r="J370" s="2">
        <f>SUMIFS(VI_Debitos!$V:$V,VI_Debitos!$H:$H,$C370,VI_Debitos!$T:$T,$D370,VI_Debitos!$R:$R,LEFT(PAGADO!J$1,4),VI_Debitos!$Q:$Q,RIGHT(J$1,2))</f>
        <v>0</v>
      </c>
      <c r="K370" s="2">
        <f>SUMIFS(VI_Debitos!$V:$V,VI_Debitos!$H:$H,$C370,VI_Debitos!$T:$T,$D370,VI_Debitos!$R:$R,LEFT(PAGADO!K$1,4),VI_Debitos!$Q:$Q,RIGHT(K$1,2))</f>
        <v>0</v>
      </c>
      <c r="L370" s="2">
        <f>SUMIFS(VI_Debitos!$V:$V,VI_Debitos!$H:$H,$C370,VI_Debitos!$T:$T,$D370,VI_Debitos!$R:$R,LEFT(PAGADO!L$1,4),VI_Debitos!$Q:$Q,RIGHT(L$1,2))</f>
        <v>0</v>
      </c>
      <c r="M370" s="2">
        <f>SUMIFS(VI_Debitos!$V:$V,VI_Debitos!$H:$H,$C370,VI_Debitos!$T:$T,$D370,VI_Debitos!$R:$R,LEFT(PAGADO!M$1,4),VI_Debitos!$Q:$Q,RIGHT(M$1,2))</f>
        <v>0</v>
      </c>
      <c r="N370" s="2">
        <f>SUMIFS(VI_Debitos!$V:$V,VI_Debitos!$H:$H,$C370,VI_Debitos!$T:$T,$D370,VI_Debitos!$R:$R,LEFT(PAGADO!N$1,4),VI_Debitos!$Q:$Q,RIGHT(N$1,2))</f>
        <v>0</v>
      </c>
      <c r="O370" s="2">
        <f>SUMIFS(VI_Debitos!$V:$V,VI_Debitos!$H:$H,$C370,VI_Debitos!$T:$T,$D370,VI_Debitos!$R:$R,LEFT(PAGADO!O$1,4),VI_Debitos!$Q:$Q,RIGHT(O$1,2))</f>
        <v>0</v>
      </c>
      <c r="P370" s="2">
        <f>SUMIFS(VI_Debitos!$V:$V,VI_Debitos!$H:$H,$C370,VI_Debitos!$T:$T,$D370,VI_Debitos!$R:$R,LEFT(PAGADO!P$1,4),VI_Debitos!$Q:$Q,RIGHT(P$1,2))</f>
        <v>0</v>
      </c>
      <c r="Q370" s="2">
        <f>SUMIFS(VI_Debitos!$V:$V,VI_Debitos!$H:$H,$C370,VI_Debitos!$T:$T,$D370,VI_Debitos!$R:$R,LEFT(PAGADO!Q$1,4),VI_Debitos!$Q:$Q,RIGHT(Q$1,2))</f>
        <v>0</v>
      </c>
      <c r="R370" s="2">
        <f t="shared" si="5"/>
        <v>0</v>
      </c>
    </row>
    <row r="371" spans="6:18">
      <c r="F371" s="2">
        <f>SUMIFS(VI_Debitos!$V:$V,VI_Debitos!$H:$H,$C371,VI_Debitos!$T:$T,$D371,VI_Debitos!$R:$R,LEFT(PAGADO!F$1,4),VI_Debitos!$Q:$Q,RIGHT(F$1,2))</f>
        <v>0</v>
      </c>
      <c r="G371" s="2">
        <f>SUMIFS(VI_Debitos!$V:$V,VI_Debitos!$H:$H,$C371,VI_Debitos!$T:$T,$D371,VI_Debitos!$R:$R,LEFT(PAGADO!G$1,4),VI_Debitos!$Q:$Q,RIGHT(G$1,2))</f>
        <v>0</v>
      </c>
      <c r="H371" s="2">
        <f>SUMIFS(VI_Debitos!$V:$V,VI_Debitos!$H:$H,$C371,VI_Debitos!$T:$T,$D371,VI_Debitos!$R:$R,LEFT(PAGADO!H$1,4),VI_Debitos!$Q:$Q,RIGHT(H$1,2))</f>
        <v>0</v>
      </c>
      <c r="I371" s="2">
        <f>SUMIFS(VI_Debitos!$V:$V,VI_Debitos!$H:$H,$C371,VI_Debitos!$T:$T,$D371,VI_Debitos!$R:$R,LEFT(PAGADO!I$1,4),VI_Debitos!$Q:$Q,RIGHT(I$1,2))</f>
        <v>0</v>
      </c>
      <c r="J371" s="2">
        <f>SUMIFS(VI_Debitos!$V:$V,VI_Debitos!$H:$H,$C371,VI_Debitos!$T:$T,$D371,VI_Debitos!$R:$R,LEFT(PAGADO!J$1,4),VI_Debitos!$Q:$Q,RIGHT(J$1,2))</f>
        <v>0</v>
      </c>
      <c r="K371" s="2">
        <f>SUMIFS(VI_Debitos!$V:$V,VI_Debitos!$H:$H,$C371,VI_Debitos!$T:$T,$D371,VI_Debitos!$R:$R,LEFT(PAGADO!K$1,4),VI_Debitos!$Q:$Q,RIGHT(K$1,2))</f>
        <v>0</v>
      </c>
      <c r="L371" s="2">
        <f>SUMIFS(VI_Debitos!$V:$V,VI_Debitos!$H:$H,$C371,VI_Debitos!$T:$T,$D371,VI_Debitos!$R:$R,LEFT(PAGADO!L$1,4),VI_Debitos!$Q:$Q,RIGHT(L$1,2))</f>
        <v>0</v>
      </c>
      <c r="M371" s="2">
        <f>SUMIFS(VI_Debitos!$V:$V,VI_Debitos!$H:$H,$C371,VI_Debitos!$T:$T,$D371,VI_Debitos!$R:$R,LEFT(PAGADO!M$1,4),VI_Debitos!$Q:$Q,RIGHT(M$1,2))</f>
        <v>0</v>
      </c>
      <c r="N371" s="2">
        <f>SUMIFS(VI_Debitos!$V:$V,VI_Debitos!$H:$H,$C371,VI_Debitos!$T:$T,$D371,VI_Debitos!$R:$R,LEFT(PAGADO!N$1,4),VI_Debitos!$Q:$Q,RIGHT(N$1,2))</f>
        <v>0</v>
      </c>
      <c r="O371" s="2">
        <f>SUMIFS(VI_Debitos!$V:$V,VI_Debitos!$H:$H,$C371,VI_Debitos!$T:$T,$D371,VI_Debitos!$R:$R,LEFT(PAGADO!O$1,4),VI_Debitos!$Q:$Q,RIGHT(O$1,2))</f>
        <v>0</v>
      </c>
      <c r="P371" s="2">
        <f>SUMIFS(VI_Debitos!$V:$V,VI_Debitos!$H:$H,$C371,VI_Debitos!$T:$T,$D371,VI_Debitos!$R:$R,LEFT(PAGADO!P$1,4),VI_Debitos!$Q:$Q,RIGHT(P$1,2))</f>
        <v>0</v>
      </c>
      <c r="Q371" s="2">
        <f>SUMIFS(VI_Debitos!$V:$V,VI_Debitos!$H:$H,$C371,VI_Debitos!$T:$T,$D371,VI_Debitos!$R:$R,LEFT(PAGADO!Q$1,4),VI_Debitos!$Q:$Q,RIGHT(Q$1,2))</f>
        <v>0</v>
      </c>
      <c r="R371" s="2">
        <f t="shared" si="5"/>
        <v>0</v>
      </c>
    </row>
    <row r="372" spans="6:18">
      <c r="F372" s="2">
        <f>SUMIFS(VI_Debitos!$V:$V,VI_Debitos!$H:$H,$C372,VI_Debitos!$T:$T,$D372,VI_Debitos!$R:$R,LEFT(PAGADO!F$1,4),VI_Debitos!$Q:$Q,RIGHT(F$1,2))</f>
        <v>0</v>
      </c>
      <c r="G372" s="2">
        <f>SUMIFS(VI_Debitos!$V:$V,VI_Debitos!$H:$H,$C372,VI_Debitos!$T:$T,$D372,VI_Debitos!$R:$R,LEFT(PAGADO!G$1,4),VI_Debitos!$Q:$Q,RIGHT(G$1,2))</f>
        <v>0</v>
      </c>
      <c r="H372" s="2">
        <f>SUMIFS(VI_Debitos!$V:$V,VI_Debitos!$H:$H,$C372,VI_Debitos!$T:$T,$D372,VI_Debitos!$R:$R,LEFT(PAGADO!H$1,4),VI_Debitos!$Q:$Q,RIGHT(H$1,2))</f>
        <v>0</v>
      </c>
      <c r="I372" s="2">
        <f>SUMIFS(VI_Debitos!$V:$V,VI_Debitos!$H:$H,$C372,VI_Debitos!$T:$T,$D372,VI_Debitos!$R:$R,LEFT(PAGADO!I$1,4),VI_Debitos!$Q:$Q,RIGHT(I$1,2))</f>
        <v>0</v>
      </c>
      <c r="J372" s="2">
        <f>SUMIFS(VI_Debitos!$V:$V,VI_Debitos!$H:$H,$C372,VI_Debitos!$T:$T,$D372,VI_Debitos!$R:$R,LEFT(PAGADO!J$1,4),VI_Debitos!$Q:$Q,RIGHT(J$1,2))</f>
        <v>0</v>
      </c>
      <c r="K372" s="2">
        <f>SUMIFS(VI_Debitos!$V:$V,VI_Debitos!$H:$H,$C372,VI_Debitos!$T:$T,$D372,VI_Debitos!$R:$R,LEFT(PAGADO!K$1,4),VI_Debitos!$Q:$Q,RIGHT(K$1,2))</f>
        <v>0</v>
      </c>
      <c r="L372" s="2">
        <f>SUMIFS(VI_Debitos!$V:$V,VI_Debitos!$H:$H,$C372,VI_Debitos!$T:$T,$D372,VI_Debitos!$R:$R,LEFT(PAGADO!L$1,4),VI_Debitos!$Q:$Q,RIGHT(L$1,2))</f>
        <v>0</v>
      </c>
      <c r="M372" s="2">
        <f>SUMIFS(VI_Debitos!$V:$V,VI_Debitos!$H:$H,$C372,VI_Debitos!$T:$T,$D372,VI_Debitos!$R:$R,LEFT(PAGADO!M$1,4),VI_Debitos!$Q:$Q,RIGHT(M$1,2))</f>
        <v>0</v>
      </c>
      <c r="N372" s="2">
        <f>SUMIFS(VI_Debitos!$V:$V,VI_Debitos!$H:$H,$C372,VI_Debitos!$T:$T,$D372,VI_Debitos!$R:$R,LEFT(PAGADO!N$1,4),VI_Debitos!$Q:$Q,RIGHT(N$1,2))</f>
        <v>0</v>
      </c>
      <c r="O372" s="2">
        <f>SUMIFS(VI_Debitos!$V:$V,VI_Debitos!$H:$H,$C372,VI_Debitos!$T:$T,$D372,VI_Debitos!$R:$R,LEFT(PAGADO!O$1,4),VI_Debitos!$Q:$Q,RIGHT(O$1,2))</f>
        <v>0</v>
      </c>
      <c r="P372" s="2">
        <f>SUMIFS(VI_Debitos!$V:$V,VI_Debitos!$H:$H,$C372,VI_Debitos!$T:$T,$D372,VI_Debitos!$R:$R,LEFT(PAGADO!P$1,4),VI_Debitos!$Q:$Q,RIGHT(P$1,2))</f>
        <v>0</v>
      </c>
      <c r="Q372" s="2">
        <f>SUMIFS(VI_Debitos!$V:$V,VI_Debitos!$H:$H,$C372,VI_Debitos!$T:$T,$D372,VI_Debitos!$R:$R,LEFT(PAGADO!Q$1,4),VI_Debitos!$Q:$Q,RIGHT(Q$1,2))</f>
        <v>0</v>
      </c>
      <c r="R372" s="2">
        <f t="shared" si="5"/>
        <v>0</v>
      </c>
    </row>
    <row r="373" spans="6:18">
      <c r="F373" s="2">
        <f>SUMIFS(VI_Debitos!$V:$V,VI_Debitos!$H:$H,$C373,VI_Debitos!$T:$T,$D373,VI_Debitos!$R:$R,LEFT(PAGADO!F$1,4),VI_Debitos!$Q:$Q,RIGHT(F$1,2))</f>
        <v>0</v>
      </c>
      <c r="G373" s="2">
        <f>SUMIFS(VI_Debitos!$V:$V,VI_Debitos!$H:$H,$C373,VI_Debitos!$T:$T,$D373,VI_Debitos!$R:$R,LEFT(PAGADO!G$1,4),VI_Debitos!$Q:$Q,RIGHT(G$1,2))</f>
        <v>0</v>
      </c>
      <c r="H373" s="2">
        <f>SUMIFS(VI_Debitos!$V:$V,VI_Debitos!$H:$H,$C373,VI_Debitos!$T:$T,$D373,VI_Debitos!$R:$R,LEFT(PAGADO!H$1,4),VI_Debitos!$Q:$Q,RIGHT(H$1,2))</f>
        <v>0</v>
      </c>
      <c r="I373" s="2">
        <f>SUMIFS(VI_Debitos!$V:$V,VI_Debitos!$H:$H,$C373,VI_Debitos!$T:$T,$D373,VI_Debitos!$R:$R,LEFT(PAGADO!I$1,4),VI_Debitos!$Q:$Q,RIGHT(I$1,2))</f>
        <v>0</v>
      </c>
      <c r="J373" s="2">
        <f>SUMIFS(VI_Debitos!$V:$V,VI_Debitos!$H:$H,$C373,VI_Debitos!$T:$T,$D373,VI_Debitos!$R:$R,LEFT(PAGADO!J$1,4),VI_Debitos!$Q:$Q,RIGHT(J$1,2))</f>
        <v>0</v>
      </c>
      <c r="K373" s="2">
        <f>SUMIFS(VI_Debitos!$V:$V,VI_Debitos!$H:$H,$C373,VI_Debitos!$T:$T,$D373,VI_Debitos!$R:$R,LEFT(PAGADO!K$1,4),VI_Debitos!$Q:$Q,RIGHT(K$1,2))</f>
        <v>0</v>
      </c>
      <c r="L373" s="2">
        <f>SUMIFS(VI_Debitos!$V:$V,VI_Debitos!$H:$H,$C373,VI_Debitos!$T:$T,$D373,VI_Debitos!$R:$R,LEFT(PAGADO!L$1,4),VI_Debitos!$Q:$Q,RIGHT(L$1,2))</f>
        <v>0</v>
      </c>
      <c r="M373" s="2">
        <f>SUMIFS(VI_Debitos!$V:$V,VI_Debitos!$H:$H,$C373,VI_Debitos!$T:$T,$D373,VI_Debitos!$R:$R,LEFT(PAGADO!M$1,4),VI_Debitos!$Q:$Q,RIGHT(M$1,2))</f>
        <v>0</v>
      </c>
      <c r="N373" s="2">
        <f>SUMIFS(VI_Debitos!$V:$V,VI_Debitos!$H:$H,$C373,VI_Debitos!$T:$T,$D373,VI_Debitos!$R:$R,LEFT(PAGADO!N$1,4),VI_Debitos!$Q:$Q,RIGHT(N$1,2))</f>
        <v>0</v>
      </c>
      <c r="O373" s="2">
        <f>SUMIFS(VI_Debitos!$V:$V,VI_Debitos!$H:$H,$C373,VI_Debitos!$T:$T,$D373,VI_Debitos!$R:$R,LEFT(PAGADO!O$1,4),VI_Debitos!$Q:$Q,RIGHT(O$1,2))</f>
        <v>0</v>
      </c>
      <c r="P373" s="2">
        <f>SUMIFS(VI_Debitos!$V:$V,VI_Debitos!$H:$H,$C373,VI_Debitos!$T:$T,$D373,VI_Debitos!$R:$R,LEFT(PAGADO!P$1,4),VI_Debitos!$Q:$Q,RIGHT(P$1,2))</f>
        <v>0</v>
      </c>
      <c r="Q373" s="2">
        <f>SUMIFS(VI_Debitos!$V:$V,VI_Debitos!$H:$H,$C373,VI_Debitos!$T:$T,$D373,VI_Debitos!$R:$R,LEFT(PAGADO!Q$1,4),VI_Debitos!$Q:$Q,RIGHT(Q$1,2))</f>
        <v>0</v>
      </c>
      <c r="R373" s="2">
        <f t="shared" si="5"/>
        <v>0</v>
      </c>
    </row>
    <row r="374" spans="6:18">
      <c r="F374" s="2">
        <f>SUMIFS(VI_Debitos!$V:$V,VI_Debitos!$H:$H,$C374,VI_Debitos!$T:$T,$D374,VI_Debitos!$R:$R,LEFT(PAGADO!F$1,4),VI_Debitos!$Q:$Q,RIGHT(F$1,2))</f>
        <v>0</v>
      </c>
      <c r="G374" s="2">
        <f>SUMIFS(VI_Debitos!$V:$V,VI_Debitos!$H:$H,$C374,VI_Debitos!$T:$T,$D374,VI_Debitos!$R:$R,LEFT(PAGADO!G$1,4),VI_Debitos!$Q:$Q,RIGHT(G$1,2))</f>
        <v>0</v>
      </c>
      <c r="H374" s="2">
        <f>SUMIFS(VI_Debitos!$V:$V,VI_Debitos!$H:$H,$C374,VI_Debitos!$T:$T,$D374,VI_Debitos!$R:$R,LEFT(PAGADO!H$1,4),VI_Debitos!$Q:$Q,RIGHT(H$1,2))</f>
        <v>0</v>
      </c>
      <c r="I374" s="2">
        <f>SUMIFS(VI_Debitos!$V:$V,VI_Debitos!$H:$H,$C374,VI_Debitos!$T:$T,$D374,VI_Debitos!$R:$R,LEFT(PAGADO!I$1,4),VI_Debitos!$Q:$Q,RIGHT(I$1,2))</f>
        <v>0</v>
      </c>
      <c r="J374" s="2">
        <f>SUMIFS(VI_Debitos!$V:$V,VI_Debitos!$H:$H,$C374,VI_Debitos!$T:$T,$D374,VI_Debitos!$R:$R,LEFT(PAGADO!J$1,4),VI_Debitos!$Q:$Q,RIGHT(J$1,2))</f>
        <v>0</v>
      </c>
      <c r="K374" s="2">
        <f>SUMIFS(VI_Debitos!$V:$V,VI_Debitos!$H:$H,$C374,VI_Debitos!$T:$T,$D374,VI_Debitos!$R:$R,LEFT(PAGADO!K$1,4),VI_Debitos!$Q:$Q,RIGHT(K$1,2))</f>
        <v>0</v>
      </c>
      <c r="L374" s="2">
        <f>SUMIFS(VI_Debitos!$V:$V,VI_Debitos!$H:$H,$C374,VI_Debitos!$T:$T,$D374,VI_Debitos!$R:$R,LEFT(PAGADO!L$1,4),VI_Debitos!$Q:$Q,RIGHT(L$1,2))</f>
        <v>0</v>
      </c>
      <c r="M374" s="2">
        <f>SUMIFS(VI_Debitos!$V:$V,VI_Debitos!$H:$H,$C374,VI_Debitos!$T:$T,$D374,VI_Debitos!$R:$R,LEFT(PAGADO!M$1,4),VI_Debitos!$Q:$Q,RIGHT(M$1,2))</f>
        <v>0</v>
      </c>
      <c r="N374" s="2">
        <f>SUMIFS(VI_Debitos!$V:$V,VI_Debitos!$H:$H,$C374,VI_Debitos!$T:$T,$D374,VI_Debitos!$R:$R,LEFT(PAGADO!N$1,4),VI_Debitos!$Q:$Q,RIGHT(N$1,2))</f>
        <v>0</v>
      </c>
      <c r="O374" s="2">
        <f>SUMIFS(VI_Debitos!$V:$V,VI_Debitos!$H:$H,$C374,VI_Debitos!$T:$T,$D374,VI_Debitos!$R:$R,LEFT(PAGADO!O$1,4),VI_Debitos!$Q:$Q,RIGHT(O$1,2))</f>
        <v>0</v>
      </c>
      <c r="P374" s="2">
        <f>SUMIFS(VI_Debitos!$V:$V,VI_Debitos!$H:$H,$C374,VI_Debitos!$T:$T,$D374,VI_Debitos!$R:$R,LEFT(PAGADO!P$1,4),VI_Debitos!$Q:$Q,RIGHT(P$1,2))</f>
        <v>0</v>
      </c>
      <c r="Q374" s="2">
        <f>SUMIFS(VI_Debitos!$V:$V,VI_Debitos!$H:$H,$C374,VI_Debitos!$T:$T,$D374,VI_Debitos!$R:$R,LEFT(PAGADO!Q$1,4),VI_Debitos!$Q:$Q,RIGHT(Q$1,2))</f>
        <v>0</v>
      </c>
      <c r="R374" s="2">
        <f t="shared" si="5"/>
        <v>0</v>
      </c>
    </row>
    <row r="375" spans="6:18">
      <c r="F375" s="2">
        <f>SUMIFS(VI_Debitos!$V:$V,VI_Debitos!$H:$H,$C375,VI_Debitos!$T:$T,$D375,VI_Debitos!$R:$R,LEFT(PAGADO!F$1,4),VI_Debitos!$Q:$Q,RIGHT(F$1,2))</f>
        <v>0</v>
      </c>
      <c r="G375" s="2">
        <f>SUMIFS(VI_Debitos!$V:$V,VI_Debitos!$H:$H,$C375,VI_Debitos!$T:$T,$D375,VI_Debitos!$R:$R,LEFT(PAGADO!G$1,4),VI_Debitos!$Q:$Q,RIGHT(G$1,2))</f>
        <v>0</v>
      </c>
      <c r="H375" s="2">
        <f>SUMIFS(VI_Debitos!$V:$V,VI_Debitos!$H:$H,$C375,VI_Debitos!$T:$T,$D375,VI_Debitos!$R:$R,LEFT(PAGADO!H$1,4),VI_Debitos!$Q:$Q,RIGHT(H$1,2))</f>
        <v>0</v>
      </c>
      <c r="I375" s="2">
        <f>SUMIFS(VI_Debitos!$V:$V,VI_Debitos!$H:$H,$C375,VI_Debitos!$T:$T,$D375,VI_Debitos!$R:$R,LEFT(PAGADO!I$1,4),VI_Debitos!$Q:$Q,RIGHT(I$1,2))</f>
        <v>0</v>
      </c>
      <c r="J375" s="2">
        <f>SUMIFS(VI_Debitos!$V:$V,VI_Debitos!$H:$H,$C375,VI_Debitos!$T:$T,$D375,VI_Debitos!$R:$R,LEFT(PAGADO!J$1,4),VI_Debitos!$Q:$Q,RIGHT(J$1,2))</f>
        <v>0</v>
      </c>
      <c r="K375" s="2">
        <f>SUMIFS(VI_Debitos!$V:$V,VI_Debitos!$H:$H,$C375,VI_Debitos!$T:$T,$D375,VI_Debitos!$R:$R,LEFT(PAGADO!K$1,4),VI_Debitos!$Q:$Q,RIGHT(K$1,2))</f>
        <v>0</v>
      </c>
      <c r="L375" s="2">
        <f>SUMIFS(VI_Debitos!$V:$V,VI_Debitos!$H:$H,$C375,VI_Debitos!$T:$T,$D375,VI_Debitos!$R:$R,LEFT(PAGADO!L$1,4),VI_Debitos!$Q:$Q,RIGHT(L$1,2))</f>
        <v>0</v>
      </c>
      <c r="M375" s="2">
        <f>SUMIFS(VI_Debitos!$V:$V,VI_Debitos!$H:$H,$C375,VI_Debitos!$T:$T,$D375,VI_Debitos!$R:$R,LEFT(PAGADO!M$1,4),VI_Debitos!$Q:$Q,RIGHT(M$1,2))</f>
        <v>0</v>
      </c>
      <c r="N375" s="2">
        <f>SUMIFS(VI_Debitos!$V:$V,VI_Debitos!$H:$H,$C375,VI_Debitos!$T:$T,$D375,VI_Debitos!$R:$R,LEFT(PAGADO!N$1,4),VI_Debitos!$Q:$Q,RIGHT(N$1,2))</f>
        <v>0</v>
      </c>
      <c r="O375" s="2">
        <f>SUMIFS(VI_Debitos!$V:$V,VI_Debitos!$H:$H,$C375,VI_Debitos!$T:$T,$D375,VI_Debitos!$R:$R,LEFT(PAGADO!O$1,4),VI_Debitos!$Q:$Q,RIGHT(O$1,2))</f>
        <v>0</v>
      </c>
      <c r="P375" s="2">
        <f>SUMIFS(VI_Debitos!$V:$V,VI_Debitos!$H:$H,$C375,VI_Debitos!$T:$T,$D375,VI_Debitos!$R:$R,LEFT(PAGADO!P$1,4),VI_Debitos!$Q:$Q,RIGHT(P$1,2))</f>
        <v>0</v>
      </c>
      <c r="Q375" s="2">
        <f>SUMIFS(VI_Debitos!$V:$V,VI_Debitos!$H:$H,$C375,VI_Debitos!$T:$T,$D375,VI_Debitos!$R:$R,LEFT(PAGADO!Q$1,4),VI_Debitos!$Q:$Q,RIGHT(Q$1,2))</f>
        <v>0</v>
      </c>
      <c r="R375" s="2">
        <f t="shared" si="5"/>
        <v>0</v>
      </c>
    </row>
    <row r="376" spans="6:18">
      <c r="F376" s="2">
        <f>SUMIFS(VI_Debitos!$V:$V,VI_Debitos!$H:$H,$C376,VI_Debitos!$T:$T,$D376,VI_Debitos!$R:$R,LEFT(PAGADO!F$1,4),VI_Debitos!$Q:$Q,RIGHT(F$1,2))</f>
        <v>0</v>
      </c>
      <c r="G376" s="2">
        <f>SUMIFS(VI_Debitos!$V:$V,VI_Debitos!$H:$H,$C376,VI_Debitos!$T:$T,$D376,VI_Debitos!$R:$R,LEFT(PAGADO!G$1,4),VI_Debitos!$Q:$Q,RIGHT(G$1,2))</f>
        <v>0</v>
      </c>
      <c r="H376" s="2">
        <f>SUMIFS(VI_Debitos!$V:$V,VI_Debitos!$H:$H,$C376,VI_Debitos!$T:$T,$D376,VI_Debitos!$R:$R,LEFT(PAGADO!H$1,4),VI_Debitos!$Q:$Q,RIGHT(H$1,2))</f>
        <v>0</v>
      </c>
      <c r="I376" s="2">
        <f>SUMIFS(VI_Debitos!$V:$V,VI_Debitos!$H:$H,$C376,VI_Debitos!$T:$T,$D376,VI_Debitos!$R:$R,LEFT(PAGADO!I$1,4),VI_Debitos!$Q:$Q,RIGHT(I$1,2))</f>
        <v>0</v>
      </c>
      <c r="J376" s="2">
        <f>SUMIFS(VI_Debitos!$V:$V,VI_Debitos!$H:$H,$C376,VI_Debitos!$T:$T,$D376,VI_Debitos!$R:$R,LEFT(PAGADO!J$1,4),VI_Debitos!$Q:$Q,RIGHT(J$1,2))</f>
        <v>0</v>
      </c>
      <c r="K376" s="2">
        <f>SUMIFS(VI_Debitos!$V:$V,VI_Debitos!$H:$H,$C376,VI_Debitos!$T:$T,$D376,VI_Debitos!$R:$R,LEFT(PAGADO!K$1,4),VI_Debitos!$Q:$Q,RIGHT(K$1,2))</f>
        <v>0</v>
      </c>
      <c r="L376" s="2">
        <f>SUMIFS(VI_Debitos!$V:$V,VI_Debitos!$H:$H,$C376,VI_Debitos!$T:$T,$D376,VI_Debitos!$R:$R,LEFT(PAGADO!L$1,4),VI_Debitos!$Q:$Q,RIGHT(L$1,2))</f>
        <v>0</v>
      </c>
      <c r="M376" s="2">
        <f>SUMIFS(VI_Debitos!$V:$V,VI_Debitos!$H:$H,$C376,VI_Debitos!$T:$T,$D376,VI_Debitos!$R:$R,LEFT(PAGADO!M$1,4),VI_Debitos!$Q:$Q,RIGHT(M$1,2))</f>
        <v>0</v>
      </c>
      <c r="N376" s="2">
        <f>SUMIFS(VI_Debitos!$V:$V,VI_Debitos!$H:$H,$C376,VI_Debitos!$T:$T,$D376,VI_Debitos!$R:$R,LEFT(PAGADO!N$1,4),VI_Debitos!$Q:$Q,RIGHT(N$1,2))</f>
        <v>0</v>
      </c>
      <c r="O376" s="2">
        <f>SUMIFS(VI_Debitos!$V:$V,VI_Debitos!$H:$H,$C376,VI_Debitos!$T:$T,$D376,VI_Debitos!$R:$R,LEFT(PAGADO!O$1,4),VI_Debitos!$Q:$Q,RIGHT(O$1,2))</f>
        <v>0</v>
      </c>
      <c r="P376" s="2">
        <f>SUMIFS(VI_Debitos!$V:$V,VI_Debitos!$H:$H,$C376,VI_Debitos!$T:$T,$D376,VI_Debitos!$R:$R,LEFT(PAGADO!P$1,4),VI_Debitos!$Q:$Q,RIGHT(P$1,2))</f>
        <v>0</v>
      </c>
      <c r="Q376" s="2">
        <f>SUMIFS(VI_Debitos!$V:$V,VI_Debitos!$H:$H,$C376,VI_Debitos!$T:$T,$D376,VI_Debitos!$R:$R,LEFT(PAGADO!Q$1,4),VI_Debitos!$Q:$Q,RIGHT(Q$1,2))</f>
        <v>0</v>
      </c>
      <c r="R376" s="2">
        <f t="shared" si="5"/>
        <v>0</v>
      </c>
    </row>
    <row r="377" spans="6:18">
      <c r="F377" s="2">
        <f>SUMIFS(VI_Debitos!$V:$V,VI_Debitos!$H:$H,$C377,VI_Debitos!$T:$T,$D377,VI_Debitos!$R:$R,LEFT(PAGADO!F$1,4),VI_Debitos!$Q:$Q,RIGHT(F$1,2))</f>
        <v>0</v>
      </c>
      <c r="G377" s="2">
        <f>SUMIFS(VI_Debitos!$V:$V,VI_Debitos!$H:$H,$C377,VI_Debitos!$T:$T,$D377,VI_Debitos!$R:$R,LEFT(PAGADO!G$1,4),VI_Debitos!$Q:$Q,RIGHT(G$1,2))</f>
        <v>0</v>
      </c>
      <c r="H377" s="2">
        <f>SUMIFS(VI_Debitos!$V:$V,VI_Debitos!$H:$H,$C377,VI_Debitos!$T:$T,$D377,VI_Debitos!$R:$R,LEFT(PAGADO!H$1,4),VI_Debitos!$Q:$Q,RIGHT(H$1,2))</f>
        <v>0</v>
      </c>
      <c r="I377" s="2">
        <f>SUMIFS(VI_Debitos!$V:$V,VI_Debitos!$H:$H,$C377,VI_Debitos!$T:$T,$D377,VI_Debitos!$R:$R,LEFT(PAGADO!I$1,4),VI_Debitos!$Q:$Q,RIGHT(I$1,2))</f>
        <v>0</v>
      </c>
      <c r="J377" s="2">
        <f>SUMIFS(VI_Debitos!$V:$V,VI_Debitos!$H:$H,$C377,VI_Debitos!$T:$T,$D377,VI_Debitos!$R:$R,LEFT(PAGADO!J$1,4),VI_Debitos!$Q:$Q,RIGHT(J$1,2))</f>
        <v>0</v>
      </c>
      <c r="K377" s="2">
        <f>SUMIFS(VI_Debitos!$V:$V,VI_Debitos!$H:$H,$C377,VI_Debitos!$T:$T,$D377,VI_Debitos!$R:$R,LEFT(PAGADO!K$1,4),VI_Debitos!$Q:$Q,RIGHT(K$1,2))</f>
        <v>0</v>
      </c>
      <c r="L377" s="2">
        <f>SUMIFS(VI_Debitos!$V:$V,VI_Debitos!$H:$H,$C377,VI_Debitos!$T:$T,$D377,VI_Debitos!$R:$R,LEFT(PAGADO!L$1,4),VI_Debitos!$Q:$Q,RIGHT(L$1,2))</f>
        <v>0</v>
      </c>
      <c r="M377" s="2">
        <f>SUMIFS(VI_Debitos!$V:$V,VI_Debitos!$H:$H,$C377,VI_Debitos!$T:$T,$D377,VI_Debitos!$R:$R,LEFT(PAGADO!M$1,4),VI_Debitos!$Q:$Q,RIGHT(M$1,2))</f>
        <v>0</v>
      </c>
      <c r="N377" s="2">
        <f>SUMIFS(VI_Debitos!$V:$V,VI_Debitos!$H:$H,$C377,VI_Debitos!$T:$T,$D377,VI_Debitos!$R:$R,LEFT(PAGADO!N$1,4),VI_Debitos!$Q:$Q,RIGHT(N$1,2))</f>
        <v>0</v>
      </c>
      <c r="O377" s="2">
        <f>SUMIFS(VI_Debitos!$V:$V,VI_Debitos!$H:$H,$C377,VI_Debitos!$T:$T,$D377,VI_Debitos!$R:$R,LEFT(PAGADO!O$1,4),VI_Debitos!$Q:$Q,RIGHT(O$1,2))</f>
        <v>0</v>
      </c>
      <c r="P377" s="2">
        <f>SUMIFS(VI_Debitos!$V:$V,VI_Debitos!$H:$H,$C377,VI_Debitos!$T:$T,$D377,VI_Debitos!$R:$R,LEFT(PAGADO!P$1,4),VI_Debitos!$Q:$Q,RIGHT(P$1,2))</f>
        <v>0</v>
      </c>
      <c r="Q377" s="2">
        <f>SUMIFS(VI_Debitos!$V:$V,VI_Debitos!$H:$H,$C377,VI_Debitos!$T:$T,$D377,VI_Debitos!$R:$R,LEFT(PAGADO!Q$1,4),VI_Debitos!$Q:$Q,RIGHT(Q$1,2))</f>
        <v>0</v>
      </c>
      <c r="R377" s="2">
        <f t="shared" si="5"/>
        <v>0</v>
      </c>
    </row>
    <row r="378" spans="6:18">
      <c r="F378" s="2">
        <f>SUMIFS(VI_Debitos!$V:$V,VI_Debitos!$H:$H,$C378,VI_Debitos!$T:$T,$D378,VI_Debitos!$R:$R,LEFT(PAGADO!F$1,4),VI_Debitos!$Q:$Q,RIGHT(F$1,2))</f>
        <v>0</v>
      </c>
      <c r="G378" s="2">
        <f>SUMIFS(VI_Debitos!$V:$V,VI_Debitos!$H:$H,$C378,VI_Debitos!$T:$T,$D378,VI_Debitos!$R:$R,LEFT(PAGADO!G$1,4),VI_Debitos!$Q:$Q,RIGHT(G$1,2))</f>
        <v>0</v>
      </c>
      <c r="H378" s="2">
        <f>SUMIFS(VI_Debitos!$V:$V,VI_Debitos!$H:$H,$C378,VI_Debitos!$T:$T,$D378,VI_Debitos!$R:$R,LEFT(PAGADO!H$1,4),VI_Debitos!$Q:$Q,RIGHT(H$1,2))</f>
        <v>0</v>
      </c>
      <c r="I378" s="2">
        <f>SUMIFS(VI_Debitos!$V:$V,VI_Debitos!$H:$H,$C378,VI_Debitos!$T:$T,$D378,VI_Debitos!$R:$R,LEFT(PAGADO!I$1,4),VI_Debitos!$Q:$Q,RIGHT(I$1,2))</f>
        <v>0</v>
      </c>
      <c r="J378" s="2">
        <f>SUMIFS(VI_Debitos!$V:$V,VI_Debitos!$H:$H,$C378,VI_Debitos!$T:$T,$D378,VI_Debitos!$R:$R,LEFT(PAGADO!J$1,4),VI_Debitos!$Q:$Q,RIGHT(J$1,2))</f>
        <v>0</v>
      </c>
      <c r="K378" s="2">
        <f>SUMIFS(VI_Debitos!$V:$V,VI_Debitos!$H:$H,$C378,VI_Debitos!$T:$T,$D378,VI_Debitos!$R:$R,LEFT(PAGADO!K$1,4),VI_Debitos!$Q:$Q,RIGHT(K$1,2))</f>
        <v>0</v>
      </c>
      <c r="L378" s="2">
        <f>SUMIFS(VI_Debitos!$V:$V,VI_Debitos!$H:$H,$C378,VI_Debitos!$T:$T,$D378,VI_Debitos!$R:$R,LEFT(PAGADO!L$1,4),VI_Debitos!$Q:$Q,RIGHT(L$1,2))</f>
        <v>0</v>
      </c>
      <c r="M378" s="2">
        <f>SUMIFS(VI_Debitos!$V:$V,VI_Debitos!$H:$H,$C378,VI_Debitos!$T:$T,$D378,VI_Debitos!$R:$R,LEFT(PAGADO!M$1,4),VI_Debitos!$Q:$Q,RIGHT(M$1,2))</f>
        <v>0</v>
      </c>
      <c r="N378" s="2">
        <f>SUMIFS(VI_Debitos!$V:$V,VI_Debitos!$H:$H,$C378,VI_Debitos!$T:$T,$D378,VI_Debitos!$R:$R,LEFT(PAGADO!N$1,4),VI_Debitos!$Q:$Q,RIGHT(N$1,2))</f>
        <v>0</v>
      </c>
      <c r="O378" s="2">
        <f>SUMIFS(VI_Debitos!$V:$V,VI_Debitos!$H:$H,$C378,VI_Debitos!$T:$T,$D378,VI_Debitos!$R:$R,LEFT(PAGADO!O$1,4),VI_Debitos!$Q:$Q,RIGHT(O$1,2))</f>
        <v>0</v>
      </c>
      <c r="P378" s="2">
        <f>SUMIFS(VI_Debitos!$V:$V,VI_Debitos!$H:$H,$C378,VI_Debitos!$T:$T,$D378,VI_Debitos!$R:$R,LEFT(PAGADO!P$1,4),VI_Debitos!$Q:$Q,RIGHT(P$1,2))</f>
        <v>0</v>
      </c>
      <c r="Q378" s="2">
        <f>SUMIFS(VI_Debitos!$V:$V,VI_Debitos!$H:$H,$C378,VI_Debitos!$T:$T,$D378,VI_Debitos!$R:$R,LEFT(PAGADO!Q$1,4),VI_Debitos!$Q:$Q,RIGHT(Q$1,2))</f>
        <v>0</v>
      </c>
      <c r="R378" s="2">
        <f t="shared" si="5"/>
        <v>0</v>
      </c>
    </row>
    <row r="379" spans="6:18">
      <c r="F379" s="2">
        <f>SUMIFS(VI_Debitos!$V:$V,VI_Debitos!$H:$H,$C379,VI_Debitos!$T:$T,$D379,VI_Debitos!$R:$R,LEFT(PAGADO!F$1,4),VI_Debitos!$Q:$Q,RIGHT(F$1,2))</f>
        <v>0</v>
      </c>
      <c r="G379" s="2">
        <f>SUMIFS(VI_Debitos!$V:$V,VI_Debitos!$H:$H,$C379,VI_Debitos!$T:$T,$D379,VI_Debitos!$R:$R,LEFT(PAGADO!G$1,4),VI_Debitos!$Q:$Q,RIGHT(G$1,2))</f>
        <v>0</v>
      </c>
      <c r="H379" s="2">
        <f>SUMIFS(VI_Debitos!$V:$V,VI_Debitos!$H:$H,$C379,VI_Debitos!$T:$T,$D379,VI_Debitos!$R:$R,LEFT(PAGADO!H$1,4),VI_Debitos!$Q:$Q,RIGHT(H$1,2))</f>
        <v>0</v>
      </c>
      <c r="I379" s="2">
        <f>SUMIFS(VI_Debitos!$V:$V,VI_Debitos!$H:$H,$C379,VI_Debitos!$T:$T,$D379,VI_Debitos!$R:$R,LEFT(PAGADO!I$1,4),VI_Debitos!$Q:$Q,RIGHT(I$1,2))</f>
        <v>0</v>
      </c>
      <c r="J379" s="2">
        <f>SUMIFS(VI_Debitos!$V:$V,VI_Debitos!$H:$H,$C379,VI_Debitos!$T:$T,$D379,VI_Debitos!$R:$R,LEFT(PAGADO!J$1,4),VI_Debitos!$Q:$Q,RIGHT(J$1,2))</f>
        <v>0</v>
      </c>
      <c r="K379" s="2">
        <f>SUMIFS(VI_Debitos!$V:$V,VI_Debitos!$H:$H,$C379,VI_Debitos!$T:$T,$D379,VI_Debitos!$R:$R,LEFT(PAGADO!K$1,4),VI_Debitos!$Q:$Q,RIGHT(K$1,2))</f>
        <v>0</v>
      </c>
      <c r="L379" s="2">
        <f>SUMIFS(VI_Debitos!$V:$V,VI_Debitos!$H:$H,$C379,VI_Debitos!$T:$T,$D379,VI_Debitos!$R:$R,LEFT(PAGADO!L$1,4),VI_Debitos!$Q:$Q,RIGHT(L$1,2))</f>
        <v>0</v>
      </c>
      <c r="M379" s="2">
        <f>SUMIFS(VI_Debitos!$V:$V,VI_Debitos!$H:$H,$C379,VI_Debitos!$T:$T,$D379,VI_Debitos!$R:$R,LEFT(PAGADO!M$1,4),VI_Debitos!$Q:$Q,RIGHT(M$1,2))</f>
        <v>0</v>
      </c>
      <c r="N379" s="2">
        <f>SUMIFS(VI_Debitos!$V:$V,VI_Debitos!$H:$H,$C379,VI_Debitos!$T:$T,$D379,VI_Debitos!$R:$R,LEFT(PAGADO!N$1,4),VI_Debitos!$Q:$Q,RIGHT(N$1,2))</f>
        <v>0</v>
      </c>
      <c r="O379" s="2">
        <f>SUMIFS(VI_Debitos!$V:$V,VI_Debitos!$H:$H,$C379,VI_Debitos!$T:$T,$D379,VI_Debitos!$R:$R,LEFT(PAGADO!O$1,4),VI_Debitos!$Q:$Q,RIGHT(O$1,2))</f>
        <v>0</v>
      </c>
      <c r="P379" s="2">
        <f>SUMIFS(VI_Debitos!$V:$V,VI_Debitos!$H:$H,$C379,VI_Debitos!$T:$T,$D379,VI_Debitos!$R:$R,LEFT(PAGADO!P$1,4),VI_Debitos!$Q:$Q,RIGHT(P$1,2))</f>
        <v>0</v>
      </c>
      <c r="Q379" s="2">
        <f>SUMIFS(VI_Debitos!$V:$V,VI_Debitos!$H:$H,$C379,VI_Debitos!$T:$T,$D379,VI_Debitos!$R:$R,LEFT(PAGADO!Q$1,4),VI_Debitos!$Q:$Q,RIGHT(Q$1,2))</f>
        <v>0</v>
      </c>
      <c r="R379" s="2">
        <f t="shared" si="5"/>
        <v>0</v>
      </c>
    </row>
    <row r="380" spans="6:18">
      <c r="F380" s="2">
        <f>SUMIFS(VI_Debitos!$V:$V,VI_Debitos!$H:$H,$C380,VI_Debitos!$T:$T,$D380,VI_Debitos!$R:$R,LEFT(PAGADO!F$1,4),VI_Debitos!$Q:$Q,RIGHT(F$1,2))</f>
        <v>0</v>
      </c>
      <c r="G380" s="2">
        <f>SUMIFS(VI_Debitos!$V:$V,VI_Debitos!$H:$H,$C380,VI_Debitos!$T:$T,$D380,VI_Debitos!$R:$R,LEFT(PAGADO!G$1,4),VI_Debitos!$Q:$Q,RIGHT(G$1,2))</f>
        <v>0</v>
      </c>
      <c r="H380" s="2">
        <f>SUMIFS(VI_Debitos!$V:$V,VI_Debitos!$H:$H,$C380,VI_Debitos!$T:$T,$D380,VI_Debitos!$R:$R,LEFT(PAGADO!H$1,4),VI_Debitos!$Q:$Q,RIGHT(H$1,2))</f>
        <v>0</v>
      </c>
      <c r="I380" s="2">
        <f>SUMIFS(VI_Debitos!$V:$V,VI_Debitos!$H:$H,$C380,VI_Debitos!$T:$T,$D380,VI_Debitos!$R:$R,LEFT(PAGADO!I$1,4),VI_Debitos!$Q:$Q,RIGHT(I$1,2))</f>
        <v>0</v>
      </c>
      <c r="J380" s="2">
        <f>SUMIFS(VI_Debitos!$V:$V,VI_Debitos!$H:$H,$C380,VI_Debitos!$T:$T,$D380,VI_Debitos!$R:$R,LEFT(PAGADO!J$1,4),VI_Debitos!$Q:$Q,RIGHT(J$1,2))</f>
        <v>0</v>
      </c>
      <c r="K380" s="2">
        <f>SUMIFS(VI_Debitos!$V:$V,VI_Debitos!$H:$H,$C380,VI_Debitos!$T:$T,$D380,VI_Debitos!$R:$R,LEFT(PAGADO!K$1,4),VI_Debitos!$Q:$Q,RIGHT(K$1,2))</f>
        <v>0</v>
      </c>
      <c r="L380" s="2">
        <f>SUMIFS(VI_Debitos!$V:$V,VI_Debitos!$H:$H,$C380,VI_Debitos!$T:$T,$D380,VI_Debitos!$R:$R,LEFT(PAGADO!L$1,4),VI_Debitos!$Q:$Q,RIGHT(L$1,2))</f>
        <v>0</v>
      </c>
      <c r="M380" s="2">
        <f>SUMIFS(VI_Debitos!$V:$V,VI_Debitos!$H:$H,$C380,VI_Debitos!$T:$T,$D380,VI_Debitos!$R:$R,LEFT(PAGADO!M$1,4),VI_Debitos!$Q:$Q,RIGHT(M$1,2))</f>
        <v>0</v>
      </c>
      <c r="N380" s="2">
        <f>SUMIFS(VI_Debitos!$V:$V,VI_Debitos!$H:$H,$C380,VI_Debitos!$T:$T,$D380,VI_Debitos!$R:$R,LEFT(PAGADO!N$1,4),VI_Debitos!$Q:$Q,RIGHT(N$1,2))</f>
        <v>0</v>
      </c>
      <c r="O380" s="2">
        <f>SUMIFS(VI_Debitos!$V:$V,VI_Debitos!$H:$H,$C380,VI_Debitos!$T:$T,$D380,VI_Debitos!$R:$R,LEFT(PAGADO!O$1,4),VI_Debitos!$Q:$Q,RIGHT(O$1,2))</f>
        <v>0</v>
      </c>
      <c r="P380" s="2">
        <f>SUMIFS(VI_Debitos!$V:$V,VI_Debitos!$H:$H,$C380,VI_Debitos!$T:$T,$D380,VI_Debitos!$R:$R,LEFT(PAGADO!P$1,4),VI_Debitos!$Q:$Q,RIGHT(P$1,2))</f>
        <v>0</v>
      </c>
      <c r="Q380" s="2">
        <f>SUMIFS(VI_Debitos!$V:$V,VI_Debitos!$H:$H,$C380,VI_Debitos!$T:$T,$D380,VI_Debitos!$R:$R,LEFT(PAGADO!Q$1,4),VI_Debitos!$Q:$Q,RIGHT(Q$1,2))</f>
        <v>0</v>
      </c>
      <c r="R380" s="2">
        <f t="shared" si="5"/>
        <v>0</v>
      </c>
    </row>
    <row r="381" spans="6:18">
      <c r="F381" s="2">
        <f>SUMIFS(VI_Debitos!$V:$V,VI_Debitos!$H:$H,$C381,VI_Debitos!$T:$T,$D381,VI_Debitos!$R:$R,LEFT(PAGADO!F$1,4),VI_Debitos!$Q:$Q,RIGHT(F$1,2))</f>
        <v>0</v>
      </c>
      <c r="G381" s="2">
        <f>SUMIFS(VI_Debitos!$V:$V,VI_Debitos!$H:$H,$C381,VI_Debitos!$T:$T,$D381,VI_Debitos!$R:$R,LEFT(PAGADO!G$1,4),VI_Debitos!$Q:$Q,RIGHT(G$1,2))</f>
        <v>0</v>
      </c>
      <c r="H381" s="2">
        <f>SUMIFS(VI_Debitos!$V:$V,VI_Debitos!$H:$H,$C381,VI_Debitos!$T:$T,$D381,VI_Debitos!$R:$R,LEFT(PAGADO!H$1,4),VI_Debitos!$Q:$Q,RIGHT(H$1,2))</f>
        <v>0</v>
      </c>
      <c r="I381" s="2">
        <f>SUMIFS(VI_Debitos!$V:$V,VI_Debitos!$H:$H,$C381,VI_Debitos!$T:$T,$D381,VI_Debitos!$R:$R,LEFT(PAGADO!I$1,4),VI_Debitos!$Q:$Q,RIGHT(I$1,2))</f>
        <v>0</v>
      </c>
      <c r="J381" s="2">
        <f>SUMIFS(VI_Debitos!$V:$V,VI_Debitos!$H:$H,$C381,VI_Debitos!$T:$T,$D381,VI_Debitos!$R:$R,LEFT(PAGADO!J$1,4),VI_Debitos!$Q:$Q,RIGHT(J$1,2))</f>
        <v>0</v>
      </c>
      <c r="K381" s="2">
        <f>SUMIFS(VI_Debitos!$V:$V,VI_Debitos!$H:$H,$C381,VI_Debitos!$T:$T,$D381,VI_Debitos!$R:$R,LEFT(PAGADO!K$1,4),VI_Debitos!$Q:$Q,RIGHT(K$1,2))</f>
        <v>0</v>
      </c>
      <c r="L381" s="2">
        <f>SUMIFS(VI_Debitos!$V:$V,VI_Debitos!$H:$H,$C381,VI_Debitos!$T:$T,$D381,VI_Debitos!$R:$R,LEFT(PAGADO!L$1,4),VI_Debitos!$Q:$Q,RIGHT(L$1,2))</f>
        <v>0</v>
      </c>
      <c r="M381" s="2">
        <f>SUMIFS(VI_Debitos!$V:$V,VI_Debitos!$H:$H,$C381,VI_Debitos!$T:$T,$D381,VI_Debitos!$R:$R,LEFT(PAGADO!M$1,4),VI_Debitos!$Q:$Q,RIGHT(M$1,2))</f>
        <v>0</v>
      </c>
      <c r="N381" s="2">
        <f>SUMIFS(VI_Debitos!$V:$V,VI_Debitos!$H:$H,$C381,VI_Debitos!$T:$T,$D381,VI_Debitos!$R:$R,LEFT(PAGADO!N$1,4),VI_Debitos!$Q:$Q,RIGHT(N$1,2))</f>
        <v>0</v>
      </c>
      <c r="O381" s="2">
        <f>SUMIFS(VI_Debitos!$V:$V,VI_Debitos!$H:$H,$C381,VI_Debitos!$T:$T,$D381,VI_Debitos!$R:$R,LEFT(PAGADO!O$1,4),VI_Debitos!$Q:$Q,RIGHT(O$1,2))</f>
        <v>0</v>
      </c>
      <c r="P381" s="2">
        <f>SUMIFS(VI_Debitos!$V:$V,VI_Debitos!$H:$H,$C381,VI_Debitos!$T:$T,$D381,VI_Debitos!$R:$R,LEFT(PAGADO!P$1,4),VI_Debitos!$Q:$Q,RIGHT(P$1,2))</f>
        <v>0</v>
      </c>
      <c r="Q381" s="2">
        <f>SUMIFS(VI_Debitos!$V:$V,VI_Debitos!$H:$H,$C381,VI_Debitos!$T:$T,$D381,VI_Debitos!$R:$R,LEFT(PAGADO!Q$1,4),VI_Debitos!$Q:$Q,RIGHT(Q$1,2))</f>
        <v>0</v>
      </c>
      <c r="R381" s="2">
        <f t="shared" si="5"/>
        <v>0</v>
      </c>
    </row>
    <row r="382" spans="6:18">
      <c r="F382" s="2">
        <f>SUMIFS(VI_Debitos!$V:$V,VI_Debitos!$H:$H,$C382,VI_Debitos!$T:$T,$D382,VI_Debitos!$R:$R,LEFT(PAGADO!F$1,4),VI_Debitos!$Q:$Q,RIGHT(F$1,2))</f>
        <v>0</v>
      </c>
      <c r="G382" s="2">
        <f>SUMIFS(VI_Debitos!$V:$V,VI_Debitos!$H:$H,$C382,VI_Debitos!$T:$T,$D382,VI_Debitos!$R:$R,LEFT(PAGADO!G$1,4),VI_Debitos!$Q:$Q,RIGHT(G$1,2))</f>
        <v>0</v>
      </c>
      <c r="H382" s="2">
        <f>SUMIFS(VI_Debitos!$V:$V,VI_Debitos!$H:$H,$C382,VI_Debitos!$T:$T,$D382,VI_Debitos!$R:$R,LEFT(PAGADO!H$1,4),VI_Debitos!$Q:$Q,RIGHT(H$1,2))</f>
        <v>0</v>
      </c>
      <c r="I382" s="2">
        <f>SUMIFS(VI_Debitos!$V:$V,VI_Debitos!$H:$H,$C382,VI_Debitos!$T:$T,$D382,VI_Debitos!$R:$R,LEFT(PAGADO!I$1,4),VI_Debitos!$Q:$Q,RIGHT(I$1,2))</f>
        <v>0</v>
      </c>
      <c r="J382" s="2">
        <f>SUMIFS(VI_Debitos!$V:$V,VI_Debitos!$H:$H,$C382,VI_Debitos!$T:$T,$D382,VI_Debitos!$R:$R,LEFT(PAGADO!J$1,4),VI_Debitos!$Q:$Q,RIGHT(J$1,2))</f>
        <v>0</v>
      </c>
      <c r="K382" s="2">
        <f>SUMIFS(VI_Debitos!$V:$V,VI_Debitos!$H:$H,$C382,VI_Debitos!$T:$T,$D382,VI_Debitos!$R:$R,LEFT(PAGADO!K$1,4),VI_Debitos!$Q:$Q,RIGHT(K$1,2))</f>
        <v>0</v>
      </c>
      <c r="L382" s="2">
        <f>SUMIFS(VI_Debitos!$V:$V,VI_Debitos!$H:$H,$C382,VI_Debitos!$T:$T,$D382,VI_Debitos!$R:$R,LEFT(PAGADO!L$1,4),VI_Debitos!$Q:$Q,RIGHT(L$1,2))</f>
        <v>0</v>
      </c>
      <c r="M382" s="2">
        <f>SUMIFS(VI_Debitos!$V:$V,VI_Debitos!$H:$H,$C382,VI_Debitos!$T:$T,$D382,VI_Debitos!$R:$R,LEFT(PAGADO!M$1,4),VI_Debitos!$Q:$Q,RIGHT(M$1,2))</f>
        <v>0</v>
      </c>
      <c r="N382" s="2">
        <f>SUMIFS(VI_Debitos!$V:$V,VI_Debitos!$H:$H,$C382,VI_Debitos!$T:$T,$D382,VI_Debitos!$R:$R,LEFT(PAGADO!N$1,4),VI_Debitos!$Q:$Q,RIGHT(N$1,2))</f>
        <v>0</v>
      </c>
      <c r="O382" s="2">
        <f>SUMIFS(VI_Debitos!$V:$V,VI_Debitos!$H:$H,$C382,VI_Debitos!$T:$T,$D382,VI_Debitos!$R:$R,LEFT(PAGADO!O$1,4),VI_Debitos!$Q:$Q,RIGHT(O$1,2))</f>
        <v>0</v>
      </c>
      <c r="P382" s="2">
        <f>SUMIFS(VI_Debitos!$V:$V,VI_Debitos!$H:$H,$C382,VI_Debitos!$T:$T,$D382,VI_Debitos!$R:$R,LEFT(PAGADO!P$1,4),VI_Debitos!$Q:$Q,RIGHT(P$1,2))</f>
        <v>0</v>
      </c>
      <c r="Q382" s="2">
        <f>SUMIFS(VI_Debitos!$V:$V,VI_Debitos!$H:$H,$C382,VI_Debitos!$T:$T,$D382,VI_Debitos!$R:$R,LEFT(PAGADO!Q$1,4),VI_Debitos!$Q:$Q,RIGHT(Q$1,2))</f>
        <v>0</v>
      </c>
      <c r="R382" s="2">
        <f t="shared" si="5"/>
        <v>0</v>
      </c>
    </row>
    <row r="383" spans="6:18">
      <c r="F383" s="2">
        <f>SUMIFS(VI_Debitos!$V:$V,VI_Debitos!$H:$H,$C383,VI_Debitos!$T:$T,$D383,VI_Debitos!$R:$R,LEFT(PAGADO!F$1,4),VI_Debitos!$Q:$Q,RIGHT(F$1,2))</f>
        <v>0</v>
      </c>
      <c r="G383" s="2">
        <f>SUMIFS(VI_Debitos!$V:$V,VI_Debitos!$H:$H,$C383,VI_Debitos!$T:$T,$D383,VI_Debitos!$R:$R,LEFT(PAGADO!G$1,4),VI_Debitos!$Q:$Q,RIGHT(G$1,2))</f>
        <v>0</v>
      </c>
      <c r="H383" s="2">
        <f>SUMIFS(VI_Debitos!$V:$V,VI_Debitos!$H:$H,$C383,VI_Debitos!$T:$T,$D383,VI_Debitos!$R:$R,LEFT(PAGADO!H$1,4),VI_Debitos!$Q:$Q,RIGHT(H$1,2))</f>
        <v>0</v>
      </c>
      <c r="I383" s="2">
        <f>SUMIFS(VI_Debitos!$V:$V,VI_Debitos!$H:$H,$C383,VI_Debitos!$T:$T,$D383,VI_Debitos!$R:$R,LEFT(PAGADO!I$1,4),VI_Debitos!$Q:$Q,RIGHT(I$1,2))</f>
        <v>0</v>
      </c>
      <c r="J383" s="2">
        <f>SUMIFS(VI_Debitos!$V:$V,VI_Debitos!$H:$H,$C383,VI_Debitos!$T:$T,$D383,VI_Debitos!$R:$R,LEFT(PAGADO!J$1,4),VI_Debitos!$Q:$Q,RIGHT(J$1,2))</f>
        <v>0</v>
      </c>
      <c r="K383" s="2">
        <f>SUMIFS(VI_Debitos!$V:$V,VI_Debitos!$H:$H,$C383,VI_Debitos!$T:$T,$D383,VI_Debitos!$R:$R,LEFT(PAGADO!K$1,4),VI_Debitos!$Q:$Q,RIGHT(K$1,2))</f>
        <v>0</v>
      </c>
      <c r="L383" s="2">
        <f>SUMIFS(VI_Debitos!$V:$V,VI_Debitos!$H:$H,$C383,VI_Debitos!$T:$T,$D383,VI_Debitos!$R:$R,LEFT(PAGADO!L$1,4),VI_Debitos!$Q:$Q,RIGHT(L$1,2))</f>
        <v>0</v>
      </c>
      <c r="M383" s="2">
        <f>SUMIFS(VI_Debitos!$V:$V,VI_Debitos!$H:$H,$C383,VI_Debitos!$T:$T,$D383,VI_Debitos!$R:$R,LEFT(PAGADO!M$1,4),VI_Debitos!$Q:$Q,RIGHT(M$1,2))</f>
        <v>0</v>
      </c>
      <c r="N383" s="2">
        <f>SUMIFS(VI_Debitos!$V:$V,VI_Debitos!$H:$H,$C383,VI_Debitos!$T:$T,$D383,VI_Debitos!$R:$R,LEFT(PAGADO!N$1,4),VI_Debitos!$Q:$Q,RIGHT(N$1,2))</f>
        <v>0</v>
      </c>
      <c r="O383" s="2">
        <f>SUMIFS(VI_Debitos!$V:$V,VI_Debitos!$H:$H,$C383,VI_Debitos!$T:$T,$D383,VI_Debitos!$R:$R,LEFT(PAGADO!O$1,4),VI_Debitos!$Q:$Q,RIGHT(O$1,2))</f>
        <v>0</v>
      </c>
      <c r="P383" s="2">
        <f>SUMIFS(VI_Debitos!$V:$V,VI_Debitos!$H:$H,$C383,VI_Debitos!$T:$T,$D383,VI_Debitos!$R:$R,LEFT(PAGADO!P$1,4),VI_Debitos!$Q:$Q,RIGHT(P$1,2))</f>
        <v>0</v>
      </c>
      <c r="Q383" s="2">
        <f>SUMIFS(VI_Debitos!$V:$V,VI_Debitos!$H:$H,$C383,VI_Debitos!$T:$T,$D383,VI_Debitos!$R:$R,LEFT(PAGADO!Q$1,4),VI_Debitos!$Q:$Q,RIGHT(Q$1,2))</f>
        <v>0</v>
      </c>
      <c r="R383" s="2">
        <f t="shared" si="5"/>
        <v>0</v>
      </c>
    </row>
    <row r="384" spans="6:18">
      <c r="F384" s="2">
        <f>SUMIFS(VI_Debitos!$V:$V,VI_Debitos!$H:$H,$C384,VI_Debitos!$T:$T,$D384,VI_Debitos!$R:$R,LEFT(PAGADO!F$1,4),VI_Debitos!$Q:$Q,RIGHT(F$1,2))</f>
        <v>0</v>
      </c>
      <c r="G384" s="2">
        <f>SUMIFS(VI_Debitos!$V:$V,VI_Debitos!$H:$H,$C384,VI_Debitos!$T:$T,$D384,VI_Debitos!$R:$R,LEFT(PAGADO!G$1,4),VI_Debitos!$Q:$Q,RIGHT(G$1,2))</f>
        <v>0</v>
      </c>
      <c r="H384" s="2">
        <f>SUMIFS(VI_Debitos!$V:$V,VI_Debitos!$H:$H,$C384,VI_Debitos!$T:$T,$D384,VI_Debitos!$R:$R,LEFT(PAGADO!H$1,4),VI_Debitos!$Q:$Q,RIGHT(H$1,2))</f>
        <v>0</v>
      </c>
      <c r="I384" s="2">
        <f>SUMIFS(VI_Debitos!$V:$V,VI_Debitos!$H:$H,$C384,VI_Debitos!$T:$T,$D384,VI_Debitos!$R:$R,LEFT(PAGADO!I$1,4),VI_Debitos!$Q:$Q,RIGHT(I$1,2))</f>
        <v>0</v>
      </c>
      <c r="J384" s="2">
        <f>SUMIFS(VI_Debitos!$V:$V,VI_Debitos!$H:$H,$C384,VI_Debitos!$T:$T,$D384,VI_Debitos!$R:$R,LEFT(PAGADO!J$1,4),VI_Debitos!$Q:$Q,RIGHT(J$1,2))</f>
        <v>0</v>
      </c>
      <c r="K384" s="2">
        <f>SUMIFS(VI_Debitos!$V:$V,VI_Debitos!$H:$H,$C384,VI_Debitos!$T:$T,$D384,VI_Debitos!$R:$R,LEFT(PAGADO!K$1,4),VI_Debitos!$Q:$Q,RIGHT(K$1,2))</f>
        <v>0</v>
      </c>
      <c r="L384" s="2">
        <f>SUMIFS(VI_Debitos!$V:$V,VI_Debitos!$H:$H,$C384,VI_Debitos!$T:$T,$D384,VI_Debitos!$R:$R,LEFT(PAGADO!L$1,4),VI_Debitos!$Q:$Q,RIGHT(L$1,2))</f>
        <v>0</v>
      </c>
      <c r="M384" s="2">
        <f>SUMIFS(VI_Debitos!$V:$V,VI_Debitos!$H:$H,$C384,VI_Debitos!$T:$T,$D384,VI_Debitos!$R:$R,LEFT(PAGADO!M$1,4),VI_Debitos!$Q:$Q,RIGHT(M$1,2))</f>
        <v>0</v>
      </c>
      <c r="N384" s="2">
        <f>SUMIFS(VI_Debitos!$V:$V,VI_Debitos!$H:$H,$C384,VI_Debitos!$T:$T,$D384,VI_Debitos!$R:$R,LEFT(PAGADO!N$1,4),VI_Debitos!$Q:$Q,RIGHT(N$1,2))</f>
        <v>0</v>
      </c>
      <c r="O384" s="2">
        <f>SUMIFS(VI_Debitos!$V:$V,VI_Debitos!$H:$H,$C384,VI_Debitos!$T:$T,$D384,VI_Debitos!$R:$R,LEFT(PAGADO!O$1,4),VI_Debitos!$Q:$Q,RIGHT(O$1,2))</f>
        <v>0</v>
      </c>
      <c r="P384" s="2">
        <f>SUMIFS(VI_Debitos!$V:$V,VI_Debitos!$H:$H,$C384,VI_Debitos!$T:$T,$D384,VI_Debitos!$R:$R,LEFT(PAGADO!P$1,4),VI_Debitos!$Q:$Q,RIGHT(P$1,2))</f>
        <v>0</v>
      </c>
      <c r="Q384" s="2">
        <f>SUMIFS(VI_Debitos!$V:$V,VI_Debitos!$H:$H,$C384,VI_Debitos!$T:$T,$D384,VI_Debitos!$R:$R,LEFT(PAGADO!Q$1,4),VI_Debitos!$Q:$Q,RIGHT(Q$1,2))</f>
        <v>0</v>
      </c>
      <c r="R384" s="2">
        <f t="shared" si="5"/>
        <v>0</v>
      </c>
    </row>
    <row r="385" spans="6:18">
      <c r="F385" s="2">
        <f>SUMIFS(VI_Debitos!$V:$V,VI_Debitos!$H:$H,$C385,VI_Debitos!$T:$T,$D385,VI_Debitos!$R:$R,LEFT(PAGADO!F$1,4),VI_Debitos!$Q:$Q,RIGHT(F$1,2))</f>
        <v>0</v>
      </c>
      <c r="G385" s="2">
        <f>SUMIFS(VI_Debitos!$V:$V,VI_Debitos!$H:$H,$C385,VI_Debitos!$T:$T,$D385,VI_Debitos!$R:$R,LEFT(PAGADO!G$1,4),VI_Debitos!$Q:$Q,RIGHT(G$1,2))</f>
        <v>0</v>
      </c>
      <c r="H385" s="2">
        <f>SUMIFS(VI_Debitos!$V:$V,VI_Debitos!$H:$H,$C385,VI_Debitos!$T:$T,$D385,VI_Debitos!$R:$R,LEFT(PAGADO!H$1,4),VI_Debitos!$Q:$Q,RIGHT(H$1,2))</f>
        <v>0</v>
      </c>
      <c r="I385" s="2">
        <f>SUMIFS(VI_Debitos!$V:$V,VI_Debitos!$H:$H,$C385,VI_Debitos!$T:$T,$D385,VI_Debitos!$R:$R,LEFT(PAGADO!I$1,4),VI_Debitos!$Q:$Q,RIGHT(I$1,2))</f>
        <v>0</v>
      </c>
      <c r="J385" s="2">
        <f>SUMIFS(VI_Debitos!$V:$V,VI_Debitos!$H:$H,$C385,VI_Debitos!$T:$T,$D385,VI_Debitos!$R:$R,LEFT(PAGADO!J$1,4),VI_Debitos!$Q:$Q,RIGHT(J$1,2))</f>
        <v>0</v>
      </c>
      <c r="K385" s="2">
        <f>SUMIFS(VI_Debitos!$V:$V,VI_Debitos!$H:$H,$C385,VI_Debitos!$T:$T,$D385,VI_Debitos!$R:$R,LEFT(PAGADO!K$1,4),VI_Debitos!$Q:$Q,RIGHT(K$1,2))</f>
        <v>0</v>
      </c>
      <c r="L385" s="2">
        <f>SUMIFS(VI_Debitos!$V:$V,VI_Debitos!$H:$H,$C385,VI_Debitos!$T:$T,$D385,VI_Debitos!$R:$R,LEFT(PAGADO!L$1,4),VI_Debitos!$Q:$Q,RIGHT(L$1,2))</f>
        <v>0</v>
      </c>
      <c r="M385" s="2">
        <f>SUMIFS(VI_Debitos!$V:$V,VI_Debitos!$H:$H,$C385,VI_Debitos!$T:$T,$D385,VI_Debitos!$R:$R,LEFT(PAGADO!M$1,4),VI_Debitos!$Q:$Q,RIGHT(M$1,2))</f>
        <v>0</v>
      </c>
      <c r="N385" s="2">
        <f>SUMIFS(VI_Debitos!$V:$V,VI_Debitos!$H:$H,$C385,VI_Debitos!$T:$T,$D385,VI_Debitos!$R:$R,LEFT(PAGADO!N$1,4),VI_Debitos!$Q:$Q,RIGHT(N$1,2))</f>
        <v>0</v>
      </c>
      <c r="O385" s="2">
        <f>SUMIFS(VI_Debitos!$V:$V,VI_Debitos!$H:$H,$C385,VI_Debitos!$T:$T,$D385,VI_Debitos!$R:$R,LEFT(PAGADO!O$1,4),VI_Debitos!$Q:$Q,RIGHT(O$1,2))</f>
        <v>0</v>
      </c>
      <c r="P385" s="2">
        <f>SUMIFS(VI_Debitos!$V:$V,VI_Debitos!$H:$H,$C385,VI_Debitos!$T:$T,$D385,VI_Debitos!$R:$R,LEFT(PAGADO!P$1,4),VI_Debitos!$Q:$Q,RIGHT(P$1,2))</f>
        <v>0</v>
      </c>
      <c r="Q385" s="2">
        <f>SUMIFS(VI_Debitos!$V:$V,VI_Debitos!$H:$H,$C385,VI_Debitos!$T:$T,$D385,VI_Debitos!$R:$R,LEFT(PAGADO!Q$1,4),VI_Debitos!$Q:$Q,RIGHT(Q$1,2))</f>
        <v>0</v>
      </c>
      <c r="R385" s="2">
        <f t="shared" si="5"/>
        <v>0</v>
      </c>
    </row>
    <row r="386" spans="6:18">
      <c r="F386" s="2">
        <f>SUMIFS(VI_Debitos!$V:$V,VI_Debitos!$H:$H,$C386,VI_Debitos!$T:$T,$D386,VI_Debitos!$R:$R,LEFT(PAGADO!F$1,4),VI_Debitos!$Q:$Q,RIGHT(F$1,2))</f>
        <v>0</v>
      </c>
      <c r="G386" s="2">
        <f>SUMIFS(VI_Debitos!$V:$V,VI_Debitos!$H:$H,$C386,VI_Debitos!$T:$T,$D386,VI_Debitos!$R:$R,LEFT(PAGADO!G$1,4),VI_Debitos!$Q:$Q,RIGHT(G$1,2))</f>
        <v>0</v>
      </c>
      <c r="H386" s="2">
        <f>SUMIFS(VI_Debitos!$V:$V,VI_Debitos!$H:$H,$C386,VI_Debitos!$T:$T,$D386,VI_Debitos!$R:$R,LEFT(PAGADO!H$1,4),VI_Debitos!$Q:$Q,RIGHT(H$1,2))</f>
        <v>0</v>
      </c>
      <c r="I386" s="2">
        <f>SUMIFS(VI_Debitos!$V:$V,VI_Debitos!$H:$H,$C386,VI_Debitos!$T:$T,$D386,VI_Debitos!$R:$R,LEFT(PAGADO!I$1,4),VI_Debitos!$Q:$Q,RIGHT(I$1,2))</f>
        <v>0</v>
      </c>
      <c r="J386" s="2">
        <f>SUMIFS(VI_Debitos!$V:$V,VI_Debitos!$H:$H,$C386,VI_Debitos!$T:$T,$D386,VI_Debitos!$R:$R,LEFT(PAGADO!J$1,4),VI_Debitos!$Q:$Q,RIGHT(J$1,2))</f>
        <v>0</v>
      </c>
      <c r="K386" s="2">
        <f>SUMIFS(VI_Debitos!$V:$V,VI_Debitos!$H:$H,$C386,VI_Debitos!$T:$T,$D386,VI_Debitos!$R:$R,LEFT(PAGADO!K$1,4),VI_Debitos!$Q:$Q,RIGHT(K$1,2))</f>
        <v>0</v>
      </c>
      <c r="L386" s="2">
        <f>SUMIFS(VI_Debitos!$V:$V,VI_Debitos!$H:$H,$C386,VI_Debitos!$T:$T,$D386,VI_Debitos!$R:$R,LEFT(PAGADO!L$1,4),VI_Debitos!$Q:$Q,RIGHT(L$1,2))</f>
        <v>0</v>
      </c>
      <c r="M386" s="2">
        <f>SUMIFS(VI_Debitos!$V:$V,VI_Debitos!$H:$H,$C386,VI_Debitos!$T:$T,$D386,VI_Debitos!$R:$R,LEFT(PAGADO!M$1,4),VI_Debitos!$Q:$Q,RIGHT(M$1,2))</f>
        <v>0</v>
      </c>
      <c r="N386" s="2">
        <f>SUMIFS(VI_Debitos!$V:$V,VI_Debitos!$H:$H,$C386,VI_Debitos!$T:$T,$D386,VI_Debitos!$R:$R,LEFT(PAGADO!N$1,4),VI_Debitos!$Q:$Q,RIGHT(N$1,2))</f>
        <v>0</v>
      </c>
      <c r="O386" s="2">
        <f>SUMIFS(VI_Debitos!$V:$V,VI_Debitos!$H:$H,$C386,VI_Debitos!$T:$T,$D386,VI_Debitos!$R:$R,LEFT(PAGADO!O$1,4),VI_Debitos!$Q:$Q,RIGHT(O$1,2))</f>
        <v>0</v>
      </c>
      <c r="P386" s="2">
        <f>SUMIFS(VI_Debitos!$V:$V,VI_Debitos!$H:$H,$C386,VI_Debitos!$T:$T,$D386,VI_Debitos!$R:$R,LEFT(PAGADO!P$1,4),VI_Debitos!$Q:$Q,RIGHT(P$1,2))</f>
        <v>0</v>
      </c>
      <c r="Q386" s="2">
        <f>SUMIFS(VI_Debitos!$V:$V,VI_Debitos!$H:$H,$C386,VI_Debitos!$T:$T,$D386,VI_Debitos!$R:$R,LEFT(PAGADO!Q$1,4),VI_Debitos!$Q:$Q,RIGHT(Q$1,2))</f>
        <v>0</v>
      </c>
      <c r="R386" s="2">
        <f>SUM(F386:Q386)</f>
        <v>0</v>
      </c>
    </row>
    <row r="387" spans="6:18">
      <c r="F387" s="2">
        <f>SUMIFS(VI_Debitos!$V:$V,VI_Debitos!$H:$H,$C387,VI_Debitos!$T:$T,$D387,VI_Debitos!$R:$R,LEFT(PAGADO!F$1,4),VI_Debitos!$Q:$Q,RIGHT(F$1,2))</f>
        <v>0</v>
      </c>
      <c r="G387" s="2">
        <f>SUMIFS(VI_Debitos!$V:$V,VI_Debitos!$H:$H,$C387,VI_Debitos!$T:$T,$D387,VI_Debitos!$R:$R,LEFT(PAGADO!G$1,4),VI_Debitos!$Q:$Q,RIGHT(G$1,2))</f>
        <v>0</v>
      </c>
      <c r="H387" s="2">
        <f>SUMIFS(VI_Debitos!$V:$V,VI_Debitos!$H:$H,$C387,VI_Debitos!$T:$T,$D387,VI_Debitos!$R:$R,LEFT(PAGADO!H$1,4),VI_Debitos!$Q:$Q,RIGHT(H$1,2))</f>
        <v>0</v>
      </c>
      <c r="I387" s="2">
        <f>SUMIFS(VI_Debitos!$V:$V,VI_Debitos!$H:$H,$C387,VI_Debitos!$T:$T,$D387,VI_Debitos!$R:$R,LEFT(PAGADO!I$1,4),VI_Debitos!$Q:$Q,RIGHT(I$1,2))</f>
        <v>0</v>
      </c>
      <c r="J387" s="2">
        <f>SUMIFS(VI_Debitos!$V:$V,VI_Debitos!$H:$H,$C387,VI_Debitos!$T:$T,$D387,VI_Debitos!$R:$R,LEFT(PAGADO!J$1,4),VI_Debitos!$Q:$Q,RIGHT(J$1,2))</f>
        <v>0</v>
      </c>
      <c r="K387" s="2">
        <f>SUMIFS(VI_Debitos!$V:$V,VI_Debitos!$H:$H,$C387,VI_Debitos!$T:$T,$D387,VI_Debitos!$R:$R,LEFT(PAGADO!K$1,4),VI_Debitos!$Q:$Q,RIGHT(K$1,2))</f>
        <v>0</v>
      </c>
      <c r="L387" s="2">
        <f>SUMIFS(VI_Debitos!$V:$V,VI_Debitos!$H:$H,$C387,VI_Debitos!$T:$T,$D387,VI_Debitos!$R:$R,LEFT(PAGADO!L$1,4),VI_Debitos!$Q:$Q,RIGHT(L$1,2))</f>
        <v>0</v>
      </c>
      <c r="M387" s="2">
        <f>SUMIFS(VI_Debitos!$V:$V,VI_Debitos!$H:$H,$C387,VI_Debitos!$T:$T,$D387,VI_Debitos!$R:$R,LEFT(PAGADO!M$1,4),VI_Debitos!$Q:$Q,RIGHT(M$1,2))</f>
        <v>0</v>
      </c>
      <c r="N387" s="2">
        <f>SUMIFS(VI_Debitos!$V:$V,VI_Debitos!$H:$H,$C387,VI_Debitos!$T:$T,$D387,VI_Debitos!$R:$R,LEFT(PAGADO!N$1,4),VI_Debitos!$Q:$Q,RIGHT(N$1,2))</f>
        <v>0</v>
      </c>
      <c r="O387" s="2">
        <f>SUMIFS(VI_Debitos!$V:$V,VI_Debitos!$H:$H,$C387,VI_Debitos!$T:$T,$D387,VI_Debitos!$R:$R,LEFT(PAGADO!O$1,4),VI_Debitos!$Q:$Q,RIGHT(O$1,2))</f>
        <v>0</v>
      </c>
      <c r="P387" s="2">
        <f>SUMIFS(VI_Debitos!$V:$V,VI_Debitos!$H:$H,$C387,VI_Debitos!$T:$T,$D387,VI_Debitos!$R:$R,LEFT(PAGADO!P$1,4),VI_Debitos!$Q:$Q,RIGHT(P$1,2))</f>
        <v>0</v>
      </c>
      <c r="Q387" s="2">
        <f>SUMIFS(VI_Debitos!$V:$V,VI_Debitos!$H:$H,$C387,VI_Debitos!$T:$T,$D387,VI_Debitos!$R:$R,LEFT(PAGADO!Q$1,4),VI_Debitos!$Q:$Q,RIGHT(Q$1,2))</f>
        <v>0</v>
      </c>
      <c r="R387" s="2">
        <f t="shared" ref="R387:R401" si="6">SUM(F387:Q387)</f>
        <v>0</v>
      </c>
    </row>
    <row r="388" spans="6:18">
      <c r="F388" s="2">
        <f>SUMIFS(VI_Debitos!$V:$V,VI_Debitos!$H:$H,$C388,VI_Debitos!$T:$T,$D388,VI_Debitos!$R:$R,LEFT(PAGADO!F$1,4),VI_Debitos!$Q:$Q,RIGHT(F$1,2))</f>
        <v>0</v>
      </c>
      <c r="G388" s="2">
        <f>SUMIFS(VI_Debitos!$V:$V,VI_Debitos!$H:$H,$C388,VI_Debitos!$T:$T,$D388,VI_Debitos!$R:$R,LEFT(PAGADO!G$1,4),VI_Debitos!$Q:$Q,RIGHT(G$1,2))</f>
        <v>0</v>
      </c>
      <c r="H388" s="2">
        <f>SUMIFS(VI_Debitos!$V:$V,VI_Debitos!$H:$H,$C388,VI_Debitos!$T:$T,$D388,VI_Debitos!$R:$R,LEFT(PAGADO!H$1,4),VI_Debitos!$Q:$Q,RIGHT(H$1,2))</f>
        <v>0</v>
      </c>
      <c r="I388" s="2">
        <f>SUMIFS(VI_Debitos!$V:$V,VI_Debitos!$H:$H,$C388,VI_Debitos!$T:$T,$D388,VI_Debitos!$R:$R,LEFT(PAGADO!I$1,4),VI_Debitos!$Q:$Q,RIGHT(I$1,2))</f>
        <v>0</v>
      </c>
      <c r="J388" s="2">
        <f>SUMIFS(VI_Debitos!$V:$V,VI_Debitos!$H:$H,$C388,VI_Debitos!$T:$T,$D388,VI_Debitos!$R:$R,LEFT(PAGADO!J$1,4),VI_Debitos!$Q:$Q,RIGHT(J$1,2))</f>
        <v>0</v>
      </c>
      <c r="K388" s="2">
        <f>SUMIFS(VI_Debitos!$V:$V,VI_Debitos!$H:$H,$C388,VI_Debitos!$T:$T,$D388,VI_Debitos!$R:$R,LEFT(PAGADO!K$1,4),VI_Debitos!$Q:$Q,RIGHT(K$1,2))</f>
        <v>0</v>
      </c>
      <c r="L388" s="2">
        <f>SUMIFS(VI_Debitos!$V:$V,VI_Debitos!$H:$H,$C388,VI_Debitos!$T:$T,$D388,VI_Debitos!$R:$R,LEFT(PAGADO!L$1,4),VI_Debitos!$Q:$Q,RIGHT(L$1,2))</f>
        <v>0</v>
      </c>
      <c r="M388" s="2">
        <f>SUMIFS(VI_Debitos!$V:$V,VI_Debitos!$H:$H,$C388,VI_Debitos!$T:$T,$D388,VI_Debitos!$R:$R,LEFT(PAGADO!M$1,4),VI_Debitos!$Q:$Q,RIGHT(M$1,2))</f>
        <v>0</v>
      </c>
      <c r="N388" s="2">
        <f>SUMIFS(VI_Debitos!$V:$V,VI_Debitos!$H:$H,$C388,VI_Debitos!$T:$T,$D388,VI_Debitos!$R:$R,LEFT(PAGADO!N$1,4),VI_Debitos!$Q:$Q,RIGHT(N$1,2))</f>
        <v>0</v>
      </c>
      <c r="O388" s="2">
        <f>SUMIFS(VI_Debitos!$V:$V,VI_Debitos!$H:$H,$C388,VI_Debitos!$T:$T,$D388,VI_Debitos!$R:$R,LEFT(PAGADO!O$1,4),VI_Debitos!$Q:$Q,RIGHT(O$1,2))</f>
        <v>0</v>
      </c>
      <c r="P388" s="2">
        <f>SUMIFS(VI_Debitos!$V:$V,VI_Debitos!$H:$H,$C388,VI_Debitos!$T:$T,$D388,VI_Debitos!$R:$R,LEFT(PAGADO!P$1,4),VI_Debitos!$Q:$Q,RIGHT(P$1,2))</f>
        <v>0</v>
      </c>
      <c r="Q388" s="2">
        <f>SUMIFS(VI_Debitos!$V:$V,VI_Debitos!$H:$H,$C388,VI_Debitos!$T:$T,$D388,VI_Debitos!$R:$R,LEFT(PAGADO!Q$1,4),VI_Debitos!$Q:$Q,RIGHT(Q$1,2))</f>
        <v>0</v>
      </c>
      <c r="R388" s="2">
        <f t="shared" si="6"/>
        <v>0</v>
      </c>
    </row>
    <row r="389" spans="6:18">
      <c r="F389" s="2">
        <f>SUMIFS(VI_Debitos!$V:$V,VI_Debitos!$H:$H,$C389,VI_Debitos!$T:$T,$D389,VI_Debitos!$R:$R,LEFT(PAGADO!F$1,4),VI_Debitos!$Q:$Q,RIGHT(F$1,2))</f>
        <v>0</v>
      </c>
      <c r="G389" s="2">
        <f>SUMIFS(VI_Debitos!$V:$V,VI_Debitos!$H:$H,$C389,VI_Debitos!$T:$T,$D389,VI_Debitos!$R:$R,LEFT(PAGADO!G$1,4),VI_Debitos!$Q:$Q,RIGHT(G$1,2))</f>
        <v>0</v>
      </c>
      <c r="H389" s="2">
        <f>SUMIFS(VI_Debitos!$V:$V,VI_Debitos!$H:$H,$C389,VI_Debitos!$T:$T,$D389,VI_Debitos!$R:$R,LEFT(PAGADO!H$1,4),VI_Debitos!$Q:$Q,RIGHT(H$1,2))</f>
        <v>0</v>
      </c>
      <c r="I389" s="2">
        <f>SUMIFS(VI_Debitos!$V:$V,VI_Debitos!$H:$H,$C389,VI_Debitos!$T:$T,$D389,VI_Debitos!$R:$R,LEFT(PAGADO!I$1,4),VI_Debitos!$Q:$Q,RIGHT(I$1,2))</f>
        <v>0</v>
      </c>
      <c r="J389" s="2">
        <f>SUMIFS(VI_Debitos!$V:$V,VI_Debitos!$H:$H,$C389,VI_Debitos!$T:$T,$D389,VI_Debitos!$R:$R,LEFT(PAGADO!J$1,4),VI_Debitos!$Q:$Q,RIGHT(J$1,2))</f>
        <v>0</v>
      </c>
      <c r="K389" s="2">
        <f>SUMIFS(VI_Debitos!$V:$V,VI_Debitos!$H:$H,$C389,VI_Debitos!$T:$T,$D389,VI_Debitos!$R:$R,LEFT(PAGADO!K$1,4),VI_Debitos!$Q:$Q,RIGHT(K$1,2))</f>
        <v>0</v>
      </c>
      <c r="L389" s="2">
        <f>SUMIFS(VI_Debitos!$V:$V,VI_Debitos!$H:$H,$C389,VI_Debitos!$T:$T,$D389,VI_Debitos!$R:$R,LEFT(PAGADO!L$1,4),VI_Debitos!$Q:$Q,RIGHT(L$1,2))</f>
        <v>0</v>
      </c>
      <c r="M389" s="2">
        <f>SUMIFS(VI_Debitos!$V:$V,VI_Debitos!$H:$H,$C389,VI_Debitos!$T:$T,$D389,VI_Debitos!$R:$R,LEFT(PAGADO!M$1,4),VI_Debitos!$Q:$Q,RIGHT(M$1,2))</f>
        <v>0</v>
      </c>
      <c r="N389" s="2">
        <f>SUMIFS(VI_Debitos!$V:$V,VI_Debitos!$H:$H,$C389,VI_Debitos!$T:$T,$D389,VI_Debitos!$R:$R,LEFT(PAGADO!N$1,4),VI_Debitos!$Q:$Q,RIGHT(N$1,2))</f>
        <v>0</v>
      </c>
      <c r="O389" s="2">
        <f>SUMIFS(VI_Debitos!$V:$V,VI_Debitos!$H:$H,$C389,VI_Debitos!$T:$T,$D389,VI_Debitos!$R:$R,LEFT(PAGADO!O$1,4),VI_Debitos!$Q:$Q,RIGHT(O$1,2))</f>
        <v>0</v>
      </c>
      <c r="P389" s="2">
        <f>SUMIFS(VI_Debitos!$V:$V,VI_Debitos!$H:$H,$C389,VI_Debitos!$T:$T,$D389,VI_Debitos!$R:$R,LEFT(PAGADO!P$1,4),VI_Debitos!$Q:$Q,RIGHT(P$1,2))</f>
        <v>0</v>
      </c>
      <c r="Q389" s="2">
        <f>SUMIFS(VI_Debitos!$V:$V,VI_Debitos!$H:$H,$C389,VI_Debitos!$T:$T,$D389,VI_Debitos!$R:$R,LEFT(PAGADO!Q$1,4),VI_Debitos!$Q:$Q,RIGHT(Q$1,2))</f>
        <v>0</v>
      </c>
      <c r="R389" s="2">
        <f t="shared" si="6"/>
        <v>0</v>
      </c>
    </row>
    <row r="390" spans="6:18">
      <c r="F390" s="2">
        <f>SUMIFS(VI_Debitos!$V:$V,VI_Debitos!$H:$H,$C390,VI_Debitos!$T:$T,$D390,VI_Debitos!$R:$R,LEFT(PAGADO!F$1,4),VI_Debitos!$Q:$Q,RIGHT(F$1,2))</f>
        <v>0</v>
      </c>
      <c r="G390" s="2">
        <f>SUMIFS(VI_Debitos!$V:$V,VI_Debitos!$H:$H,$C390,VI_Debitos!$T:$T,$D390,VI_Debitos!$R:$R,LEFT(PAGADO!G$1,4),VI_Debitos!$Q:$Q,RIGHT(G$1,2))</f>
        <v>0</v>
      </c>
      <c r="H390" s="2">
        <f>SUMIFS(VI_Debitos!$V:$V,VI_Debitos!$H:$H,$C390,VI_Debitos!$T:$T,$D390,VI_Debitos!$R:$R,LEFT(PAGADO!H$1,4),VI_Debitos!$Q:$Q,RIGHT(H$1,2))</f>
        <v>0</v>
      </c>
      <c r="I390" s="2">
        <f>SUMIFS(VI_Debitos!$V:$V,VI_Debitos!$H:$H,$C390,VI_Debitos!$T:$T,$D390,VI_Debitos!$R:$R,LEFT(PAGADO!I$1,4),VI_Debitos!$Q:$Q,RIGHT(I$1,2))</f>
        <v>0</v>
      </c>
      <c r="J390" s="2">
        <f>SUMIFS(VI_Debitos!$V:$V,VI_Debitos!$H:$H,$C390,VI_Debitos!$T:$T,$D390,VI_Debitos!$R:$R,LEFT(PAGADO!J$1,4),VI_Debitos!$Q:$Q,RIGHT(J$1,2))</f>
        <v>0</v>
      </c>
      <c r="K390" s="2">
        <f>SUMIFS(VI_Debitos!$V:$V,VI_Debitos!$H:$H,$C390,VI_Debitos!$T:$T,$D390,VI_Debitos!$R:$R,LEFT(PAGADO!K$1,4),VI_Debitos!$Q:$Q,RIGHT(K$1,2))</f>
        <v>0</v>
      </c>
      <c r="L390" s="2">
        <f>SUMIFS(VI_Debitos!$V:$V,VI_Debitos!$H:$H,$C390,VI_Debitos!$T:$T,$D390,VI_Debitos!$R:$R,LEFT(PAGADO!L$1,4),VI_Debitos!$Q:$Q,RIGHT(L$1,2))</f>
        <v>0</v>
      </c>
      <c r="M390" s="2">
        <f>SUMIFS(VI_Debitos!$V:$V,VI_Debitos!$H:$H,$C390,VI_Debitos!$T:$T,$D390,VI_Debitos!$R:$R,LEFT(PAGADO!M$1,4),VI_Debitos!$Q:$Q,RIGHT(M$1,2))</f>
        <v>0</v>
      </c>
      <c r="N390" s="2">
        <f>SUMIFS(VI_Debitos!$V:$V,VI_Debitos!$H:$H,$C390,VI_Debitos!$T:$T,$D390,VI_Debitos!$R:$R,LEFT(PAGADO!N$1,4),VI_Debitos!$Q:$Q,RIGHT(N$1,2))</f>
        <v>0</v>
      </c>
      <c r="O390" s="2">
        <f>SUMIFS(VI_Debitos!$V:$V,VI_Debitos!$H:$H,$C390,VI_Debitos!$T:$T,$D390,VI_Debitos!$R:$R,LEFT(PAGADO!O$1,4),VI_Debitos!$Q:$Q,RIGHT(O$1,2))</f>
        <v>0</v>
      </c>
      <c r="P390" s="2">
        <f>SUMIFS(VI_Debitos!$V:$V,VI_Debitos!$H:$H,$C390,VI_Debitos!$T:$T,$D390,VI_Debitos!$R:$R,LEFT(PAGADO!P$1,4),VI_Debitos!$Q:$Q,RIGHT(P$1,2))</f>
        <v>0</v>
      </c>
      <c r="Q390" s="2">
        <f>SUMIFS(VI_Debitos!$V:$V,VI_Debitos!$H:$H,$C390,VI_Debitos!$T:$T,$D390,VI_Debitos!$R:$R,LEFT(PAGADO!Q$1,4),VI_Debitos!$Q:$Q,RIGHT(Q$1,2))</f>
        <v>0</v>
      </c>
      <c r="R390" s="2">
        <f t="shared" si="6"/>
        <v>0</v>
      </c>
    </row>
    <row r="391" spans="6:18">
      <c r="F391" s="2">
        <f>SUMIFS(VI_Debitos!$V:$V,VI_Debitos!$H:$H,$C391,VI_Debitos!$T:$T,$D391,VI_Debitos!$R:$R,LEFT(PAGADO!F$1,4),VI_Debitos!$Q:$Q,RIGHT(F$1,2))</f>
        <v>0</v>
      </c>
      <c r="G391" s="2">
        <f>SUMIFS(VI_Debitos!$V:$V,VI_Debitos!$H:$H,$C391,VI_Debitos!$T:$T,$D391,VI_Debitos!$R:$R,LEFT(PAGADO!G$1,4),VI_Debitos!$Q:$Q,RIGHT(G$1,2))</f>
        <v>0</v>
      </c>
      <c r="H391" s="2">
        <f>SUMIFS(VI_Debitos!$V:$V,VI_Debitos!$H:$H,$C391,VI_Debitos!$T:$T,$D391,VI_Debitos!$R:$R,LEFT(PAGADO!H$1,4),VI_Debitos!$Q:$Q,RIGHT(H$1,2))</f>
        <v>0</v>
      </c>
      <c r="I391" s="2">
        <f>SUMIFS(VI_Debitos!$V:$V,VI_Debitos!$H:$H,$C391,VI_Debitos!$T:$T,$D391,VI_Debitos!$R:$R,LEFT(PAGADO!I$1,4),VI_Debitos!$Q:$Q,RIGHT(I$1,2))</f>
        <v>0</v>
      </c>
      <c r="J391" s="2">
        <f>SUMIFS(VI_Debitos!$V:$V,VI_Debitos!$H:$H,$C391,VI_Debitos!$T:$T,$D391,VI_Debitos!$R:$R,LEFT(PAGADO!J$1,4),VI_Debitos!$Q:$Q,RIGHT(J$1,2))</f>
        <v>0</v>
      </c>
      <c r="K391" s="2">
        <f>SUMIFS(VI_Debitos!$V:$V,VI_Debitos!$H:$H,$C391,VI_Debitos!$T:$T,$D391,VI_Debitos!$R:$R,LEFT(PAGADO!K$1,4),VI_Debitos!$Q:$Q,RIGHT(K$1,2))</f>
        <v>0</v>
      </c>
      <c r="L391" s="2">
        <f>SUMIFS(VI_Debitos!$V:$V,VI_Debitos!$H:$H,$C391,VI_Debitos!$T:$T,$D391,VI_Debitos!$R:$R,LEFT(PAGADO!L$1,4),VI_Debitos!$Q:$Q,RIGHT(L$1,2))</f>
        <v>0</v>
      </c>
      <c r="M391" s="2">
        <f>SUMIFS(VI_Debitos!$V:$V,VI_Debitos!$H:$H,$C391,VI_Debitos!$T:$T,$D391,VI_Debitos!$R:$R,LEFT(PAGADO!M$1,4),VI_Debitos!$Q:$Q,RIGHT(M$1,2))</f>
        <v>0</v>
      </c>
      <c r="N391" s="2">
        <f>SUMIFS(VI_Debitos!$V:$V,VI_Debitos!$H:$H,$C391,VI_Debitos!$T:$T,$D391,VI_Debitos!$R:$R,LEFT(PAGADO!N$1,4),VI_Debitos!$Q:$Q,RIGHT(N$1,2))</f>
        <v>0</v>
      </c>
      <c r="O391" s="2">
        <f>SUMIFS(VI_Debitos!$V:$V,VI_Debitos!$H:$H,$C391,VI_Debitos!$T:$T,$D391,VI_Debitos!$R:$R,LEFT(PAGADO!O$1,4),VI_Debitos!$Q:$Q,RIGHT(O$1,2))</f>
        <v>0</v>
      </c>
      <c r="P391" s="2">
        <f>SUMIFS(VI_Debitos!$V:$V,VI_Debitos!$H:$H,$C391,VI_Debitos!$T:$T,$D391,VI_Debitos!$R:$R,LEFT(PAGADO!P$1,4),VI_Debitos!$Q:$Q,RIGHT(P$1,2))</f>
        <v>0</v>
      </c>
      <c r="Q391" s="2">
        <f>SUMIFS(VI_Debitos!$V:$V,VI_Debitos!$H:$H,$C391,VI_Debitos!$T:$T,$D391,VI_Debitos!$R:$R,LEFT(PAGADO!Q$1,4),VI_Debitos!$Q:$Q,RIGHT(Q$1,2))</f>
        <v>0</v>
      </c>
      <c r="R391" s="2">
        <f t="shared" si="6"/>
        <v>0</v>
      </c>
    </row>
    <row r="392" spans="6:18">
      <c r="F392" s="2">
        <f>SUMIFS(VI_Debitos!$V:$V,VI_Debitos!$H:$H,$C392,VI_Debitos!$T:$T,$D392,VI_Debitos!$R:$R,LEFT(PAGADO!F$1,4),VI_Debitos!$Q:$Q,RIGHT(F$1,2))</f>
        <v>0</v>
      </c>
      <c r="G392" s="2">
        <f>SUMIFS(VI_Debitos!$V:$V,VI_Debitos!$H:$H,$C392,VI_Debitos!$T:$T,$D392,VI_Debitos!$R:$R,LEFT(PAGADO!G$1,4),VI_Debitos!$Q:$Q,RIGHT(G$1,2))</f>
        <v>0</v>
      </c>
      <c r="H392" s="2">
        <f>SUMIFS(VI_Debitos!$V:$V,VI_Debitos!$H:$H,$C392,VI_Debitos!$T:$T,$D392,VI_Debitos!$R:$R,LEFT(PAGADO!H$1,4),VI_Debitos!$Q:$Q,RIGHT(H$1,2))</f>
        <v>0</v>
      </c>
      <c r="I392" s="2">
        <f>SUMIFS(VI_Debitos!$V:$V,VI_Debitos!$H:$H,$C392,VI_Debitos!$T:$T,$D392,VI_Debitos!$R:$R,LEFT(PAGADO!I$1,4),VI_Debitos!$Q:$Q,RIGHT(I$1,2))</f>
        <v>0</v>
      </c>
      <c r="J392" s="2">
        <f>SUMIFS(VI_Debitos!$V:$V,VI_Debitos!$H:$H,$C392,VI_Debitos!$T:$T,$D392,VI_Debitos!$R:$R,LEFT(PAGADO!J$1,4),VI_Debitos!$Q:$Q,RIGHT(J$1,2))</f>
        <v>0</v>
      </c>
      <c r="K392" s="2">
        <f>SUMIFS(VI_Debitos!$V:$V,VI_Debitos!$H:$H,$C392,VI_Debitos!$T:$T,$D392,VI_Debitos!$R:$R,LEFT(PAGADO!K$1,4),VI_Debitos!$Q:$Q,RIGHT(K$1,2))</f>
        <v>0</v>
      </c>
      <c r="L392" s="2">
        <f>SUMIFS(VI_Debitos!$V:$V,VI_Debitos!$H:$H,$C392,VI_Debitos!$T:$T,$D392,VI_Debitos!$R:$R,LEFT(PAGADO!L$1,4),VI_Debitos!$Q:$Q,RIGHT(L$1,2))</f>
        <v>0</v>
      </c>
      <c r="M392" s="2">
        <f>SUMIFS(VI_Debitos!$V:$V,VI_Debitos!$H:$H,$C392,VI_Debitos!$T:$T,$D392,VI_Debitos!$R:$R,LEFT(PAGADO!M$1,4),VI_Debitos!$Q:$Q,RIGHT(M$1,2))</f>
        <v>0</v>
      </c>
      <c r="N392" s="2">
        <f>SUMIFS(VI_Debitos!$V:$V,VI_Debitos!$H:$H,$C392,VI_Debitos!$T:$T,$D392,VI_Debitos!$R:$R,LEFT(PAGADO!N$1,4),VI_Debitos!$Q:$Q,RIGHT(N$1,2))</f>
        <v>0</v>
      </c>
      <c r="O392" s="2">
        <f>SUMIFS(VI_Debitos!$V:$V,VI_Debitos!$H:$H,$C392,VI_Debitos!$T:$T,$D392,VI_Debitos!$R:$R,LEFT(PAGADO!O$1,4),VI_Debitos!$Q:$Q,RIGHT(O$1,2))</f>
        <v>0</v>
      </c>
      <c r="P392" s="2">
        <f>SUMIFS(VI_Debitos!$V:$V,VI_Debitos!$H:$H,$C392,VI_Debitos!$T:$T,$D392,VI_Debitos!$R:$R,LEFT(PAGADO!P$1,4),VI_Debitos!$Q:$Q,RIGHT(P$1,2))</f>
        <v>0</v>
      </c>
      <c r="Q392" s="2">
        <f>SUMIFS(VI_Debitos!$V:$V,VI_Debitos!$H:$H,$C392,VI_Debitos!$T:$T,$D392,VI_Debitos!$R:$R,LEFT(PAGADO!Q$1,4),VI_Debitos!$Q:$Q,RIGHT(Q$1,2))</f>
        <v>0</v>
      </c>
      <c r="R392" s="2">
        <f t="shared" si="6"/>
        <v>0</v>
      </c>
    </row>
    <row r="393" spans="6:18">
      <c r="F393" s="2">
        <f>SUMIFS(VI_Debitos!$V:$V,VI_Debitos!$H:$H,$C393,VI_Debitos!$T:$T,$D393,VI_Debitos!$R:$R,LEFT(PAGADO!F$1,4),VI_Debitos!$Q:$Q,RIGHT(F$1,2))</f>
        <v>0</v>
      </c>
      <c r="G393" s="2">
        <f>SUMIFS(VI_Debitos!$V:$V,VI_Debitos!$H:$H,$C393,VI_Debitos!$T:$T,$D393,VI_Debitos!$R:$R,LEFT(PAGADO!G$1,4),VI_Debitos!$Q:$Q,RIGHT(G$1,2))</f>
        <v>0</v>
      </c>
      <c r="H393" s="2">
        <f>SUMIFS(VI_Debitos!$V:$V,VI_Debitos!$H:$H,$C393,VI_Debitos!$T:$T,$D393,VI_Debitos!$R:$R,LEFT(PAGADO!H$1,4),VI_Debitos!$Q:$Q,RIGHT(H$1,2))</f>
        <v>0</v>
      </c>
      <c r="I393" s="2">
        <f>SUMIFS(VI_Debitos!$V:$V,VI_Debitos!$H:$H,$C393,VI_Debitos!$T:$T,$D393,VI_Debitos!$R:$R,LEFT(PAGADO!I$1,4),VI_Debitos!$Q:$Q,RIGHT(I$1,2))</f>
        <v>0</v>
      </c>
      <c r="J393" s="2">
        <f>SUMIFS(VI_Debitos!$V:$V,VI_Debitos!$H:$H,$C393,VI_Debitos!$T:$T,$D393,VI_Debitos!$R:$R,LEFT(PAGADO!J$1,4),VI_Debitos!$Q:$Q,RIGHT(J$1,2))</f>
        <v>0</v>
      </c>
      <c r="K393" s="2">
        <f>SUMIFS(VI_Debitos!$V:$V,VI_Debitos!$H:$H,$C393,VI_Debitos!$T:$T,$D393,VI_Debitos!$R:$R,LEFT(PAGADO!K$1,4),VI_Debitos!$Q:$Q,RIGHT(K$1,2))</f>
        <v>0</v>
      </c>
      <c r="L393" s="2">
        <f>SUMIFS(VI_Debitos!$V:$V,VI_Debitos!$H:$H,$C393,VI_Debitos!$T:$T,$D393,VI_Debitos!$R:$R,LEFT(PAGADO!L$1,4),VI_Debitos!$Q:$Q,RIGHT(L$1,2))</f>
        <v>0</v>
      </c>
      <c r="M393" s="2">
        <f>SUMIFS(VI_Debitos!$V:$V,VI_Debitos!$H:$H,$C393,VI_Debitos!$T:$T,$D393,VI_Debitos!$R:$R,LEFT(PAGADO!M$1,4),VI_Debitos!$Q:$Q,RIGHT(M$1,2))</f>
        <v>0</v>
      </c>
      <c r="N393" s="2">
        <f>SUMIFS(VI_Debitos!$V:$V,VI_Debitos!$H:$H,$C393,VI_Debitos!$T:$T,$D393,VI_Debitos!$R:$R,LEFT(PAGADO!N$1,4),VI_Debitos!$Q:$Q,RIGHT(N$1,2))</f>
        <v>0</v>
      </c>
      <c r="O393" s="2">
        <f>SUMIFS(VI_Debitos!$V:$V,VI_Debitos!$H:$H,$C393,VI_Debitos!$T:$T,$D393,VI_Debitos!$R:$R,LEFT(PAGADO!O$1,4),VI_Debitos!$Q:$Q,RIGHT(O$1,2))</f>
        <v>0</v>
      </c>
      <c r="P393" s="2">
        <f>SUMIFS(VI_Debitos!$V:$V,VI_Debitos!$H:$H,$C393,VI_Debitos!$T:$T,$D393,VI_Debitos!$R:$R,LEFT(PAGADO!P$1,4),VI_Debitos!$Q:$Q,RIGHT(P$1,2))</f>
        <v>0</v>
      </c>
      <c r="Q393" s="2">
        <f>SUMIFS(VI_Debitos!$V:$V,VI_Debitos!$H:$H,$C393,VI_Debitos!$T:$T,$D393,VI_Debitos!$R:$R,LEFT(PAGADO!Q$1,4),VI_Debitos!$Q:$Q,RIGHT(Q$1,2))</f>
        <v>0</v>
      </c>
      <c r="R393" s="2">
        <f t="shared" si="6"/>
        <v>0</v>
      </c>
    </row>
    <row r="394" spans="6:18">
      <c r="F394" s="2">
        <f>SUMIFS(VI_Debitos!$V:$V,VI_Debitos!$H:$H,$C394,VI_Debitos!$T:$T,$D394,VI_Debitos!$R:$R,LEFT(PAGADO!F$1,4),VI_Debitos!$Q:$Q,RIGHT(F$1,2))</f>
        <v>0</v>
      </c>
      <c r="G394" s="2">
        <f>SUMIFS(VI_Debitos!$V:$V,VI_Debitos!$H:$H,$C394,VI_Debitos!$T:$T,$D394,VI_Debitos!$R:$R,LEFT(PAGADO!G$1,4),VI_Debitos!$Q:$Q,RIGHT(G$1,2))</f>
        <v>0</v>
      </c>
      <c r="H394" s="2">
        <f>SUMIFS(VI_Debitos!$V:$V,VI_Debitos!$H:$H,$C394,VI_Debitos!$T:$T,$D394,VI_Debitos!$R:$R,LEFT(PAGADO!H$1,4),VI_Debitos!$Q:$Q,RIGHT(H$1,2))</f>
        <v>0</v>
      </c>
      <c r="I394" s="2">
        <f>SUMIFS(VI_Debitos!$V:$V,VI_Debitos!$H:$H,$C394,VI_Debitos!$T:$T,$D394,VI_Debitos!$R:$R,LEFT(PAGADO!I$1,4),VI_Debitos!$Q:$Q,RIGHT(I$1,2))</f>
        <v>0</v>
      </c>
      <c r="J394" s="2">
        <f>SUMIFS(VI_Debitos!$V:$V,VI_Debitos!$H:$H,$C394,VI_Debitos!$T:$T,$D394,VI_Debitos!$R:$R,LEFT(PAGADO!J$1,4),VI_Debitos!$Q:$Q,RIGHT(J$1,2))</f>
        <v>0</v>
      </c>
      <c r="K394" s="2">
        <f>SUMIFS(VI_Debitos!$V:$V,VI_Debitos!$H:$H,$C394,VI_Debitos!$T:$T,$D394,VI_Debitos!$R:$R,LEFT(PAGADO!K$1,4),VI_Debitos!$Q:$Q,RIGHT(K$1,2))</f>
        <v>0</v>
      </c>
      <c r="L394" s="2">
        <f>SUMIFS(VI_Debitos!$V:$V,VI_Debitos!$H:$H,$C394,VI_Debitos!$T:$T,$D394,VI_Debitos!$R:$R,LEFT(PAGADO!L$1,4),VI_Debitos!$Q:$Q,RIGHT(L$1,2))</f>
        <v>0</v>
      </c>
      <c r="M394" s="2">
        <f>SUMIFS(VI_Debitos!$V:$V,VI_Debitos!$H:$H,$C394,VI_Debitos!$T:$T,$D394,VI_Debitos!$R:$R,LEFT(PAGADO!M$1,4),VI_Debitos!$Q:$Q,RIGHT(M$1,2))</f>
        <v>0</v>
      </c>
      <c r="N394" s="2">
        <f>SUMIFS(VI_Debitos!$V:$V,VI_Debitos!$H:$H,$C394,VI_Debitos!$T:$T,$D394,VI_Debitos!$R:$R,LEFT(PAGADO!N$1,4),VI_Debitos!$Q:$Q,RIGHT(N$1,2))</f>
        <v>0</v>
      </c>
      <c r="O394" s="2">
        <f>SUMIFS(VI_Debitos!$V:$V,VI_Debitos!$H:$H,$C394,VI_Debitos!$T:$T,$D394,VI_Debitos!$R:$R,LEFT(PAGADO!O$1,4),VI_Debitos!$Q:$Q,RIGHT(O$1,2))</f>
        <v>0</v>
      </c>
      <c r="P394" s="2">
        <f>SUMIFS(VI_Debitos!$V:$V,VI_Debitos!$H:$H,$C394,VI_Debitos!$T:$T,$D394,VI_Debitos!$R:$R,LEFT(PAGADO!P$1,4),VI_Debitos!$Q:$Q,RIGHT(P$1,2))</f>
        <v>0</v>
      </c>
      <c r="Q394" s="2">
        <f>SUMIFS(VI_Debitos!$V:$V,VI_Debitos!$H:$H,$C394,VI_Debitos!$T:$T,$D394,VI_Debitos!$R:$R,LEFT(PAGADO!Q$1,4),VI_Debitos!$Q:$Q,RIGHT(Q$1,2))</f>
        <v>0</v>
      </c>
      <c r="R394" s="2">
        <f t="shared" si="6"/>
        <v>0</v>
      </c>
    </row>
    <row r="395" spans="6:18">
      <c r="F395" s="2">
        <f>SUMIFS(VI_Debitos!$V:$V,VI_Debitos!$H:$H,$C395,VI_Debitos!$T:$T,$D395,VI_Debitos!$R:$R,LEFT(PAGADO!F$1,4),VI_Debitos!$Q:$Q,RIGHT(F$1,2))</f>
        <v>0</v>
      </c>
      <c r="G395" s="2">
        <f>SUMIFS(VI_Debitos!$V:$V,VI_Debitos!$H:$H,$C395,VI_Debitos!$T:$T,$D395,VI_Debitos!$R:$R,LEFT(PAGADO!G$1,4),VI_Debitos!$Q:$Q,RIGHT(G$1,2))</f>
        <v>0</v>
      </c>
      <c r="H395" s="2">
        <f>SUMIFS(VI_Debitos!$V:$V,VI_Debitos!$H:$H,$C395,VI_Debitos!$T:$T,$D395,VI_Debitos!$R:$R,LEFT(PAGADO!H$1,4),VI_Debitos!$Q:$Q,RIGHT(H$1,2))</f>
        <v>0</v>
      </c>
      <c r="I395" s="2">
        <f>SUMIFS(VI_Debitos!$V:$V,VI_Debitos!$H:$H,$C395,VI_Debitos!$T:$T,$D395,VI_Debitos!$R:$R,LEFT(PAGADO!I$1,4),VI_Debitos!$Q:$Q,RIGHT(I$1,2))</f>
        <v>0</v>
      </c>
      <c r="J395" s="2">
        <f>SUMIFS(VI_Debitos!$V:$V,VI_Debitos!$H:$H,$C395,VI_Debitos!$T:$T,$D395,VI_Debitos!$R:$R,LEFT(PAGADO!J$1,4),VI_Debitos!$Q:$Q,RIGHT(J$1,2))</f>
        <v>0</v>
      </c>
      <c r="K395" s="2">
        <f>SUMIFS(VI_Debitos!$V:$V,VI_Debitos!$H:$H,$C395,VI_Debitos!$T:$T,$D395,VI_Debitos!$R:$R,LEFT(PAGADO!K$1,4),VI_Debitos!$Q:$Q,RIGHT(K$1,2))</f>
        <v>0</v>
      </c>
      <c r="L395" s="2">
        <f>SUMIFS(VI_Debitos!$V:$V,VI_Debitos!$H:$H,$C395,VI_Debitos!$T:$T,$D395,VI_Debitos!$R:$R,LEFT(PAGADO!L$1,4),VI_Debitos!$Q:$Q,RIGHT(L$1,2))</f>
        <v>0</v>
      </c>
      <c r="M395" s="2">
        <f>SUMIFS(VI_Debitos!$V:$V,VI_Debitos!$H:$H,$C395,VI_Debitos!$T:$T,$D395,VI_Debitos!$R:$R,LEFT(PAGADO!M$1,4),VI_Debitos!$Q:$Q,RIGHT(M$1,2))</f>
        <v>0</v>
      </c>
      <c r="N395" s="2">
        <f>SUMIFS(VI_Debitos!$V:$V,VI_Debitos!$H:$H,$C395,VI_Debitos!$T:$T,$D395,VI_Debitos!$R:$R,LEFT(PAGADO!N$1,4),VI_Debitos!$Q:$Q,RIGHT(N$1,2))</f>
        <v>0</v>
      </c>
      <c r="O395" s="2">
        <f>SUMIFS(VI_Debitos!$V:$V,VI_Debitos!$H:$H,$C395,VI_Debitos!$T:$T,$D395,VI_Debitos!$R:$R,LEFT(PAGADO!O$1,4),VI_Debitos!$Q:$Q,RIGHT(O$1,2))</f>
        <v>0</v>
      </c>
      <c r="P395" s="2">
        <f>SUMIFS(VI_Debitos!$V:$V,VI_Debitos!$H:$H,$C395,VI_Debitos!$T:$T,$D395,VI_Debitos!$R:$R,LEFT(PAGADO!P$1,4),VI_Debitos!$Q:$Q,RIGHT(P$1,2))</f>
        <v>0</v>
      </c>
      <c r="Q395" s="2">
        <f>SUMIFS(VI_Debitos!$V:$V,VI_Debitos!$H:$H,$C395,VI_Debitos!$T:$T,$D395,VI_Debitos!$R:$R,LEFT(PAGADO!Q$1,4),VI_Debitos!$Q:$Q,RIGHT(Q$1,2))</f>
        <v>0</v>
      </c>
      <c r="R395" s="2">
        <f t="shared" si="6"/>
        <v>0</v>
      </c>
    </row>
    <row r="396" spans="6:18">
      <c r="F396" s="2">
        <f>SUMIFS(VI_Debitos!$V:$V,VI_Debitos!$H:$H,$C396,VI_Debitos!$T:$T,$D396,VI_Debitos!$R:$R,LEFT(PAGADO!F$1,4),VI_Debitos!$Q:$Q,RIGHT(F$1,2))</f>
        <v>0</v>
      </c>
      <c r="G396" s="2">
        <f>SUMIFS(VI_Debitos!$V:$V,VI_Debitos!$H:$H,$C396,VI_Debitos!$T:$T,$D396,VI_Debitos!$R:$R,LEFT(PAGADO!G$1,4),VI_Debitos!$Q:$Q,RIGHT(G$1,2))</f>
        <v>0</v>
      </c>
      <c r="H396" s="2">
        <f>SUMIFS(VI_Debitos!$V:$V,VI_Debitos!$H:$H,$C396,VI_Debitos!$T:$T,$D396,VI_Debitos!$R:$R,LEFT(PAGADO!H$1,4),VI_Debitos!$Q:$Q,RIGHT(H$1,2))</f>
        <v>0</v>
      </c>
      <c r="I396" s="2">
        <f>SUMIFS(VI_Debitos!$V:$V,VI_Debitos!$H:$H,$C396,VI_Debitos!$T:$T,$D396,VI_Debitos!$R:$R,LEFT(PAGADO!I$1,4),VI_Debitos!$Q:$Q,RIGHT(I$1,2))</f>
        <v>0</v>
      </c>
      <c r="J396" s="2">
        <f>SUMIFS(VI_Debitos!$V:$V,VI_Debitos!$H:$H,$C396,VI_Debitos!$T:$T,$D396,VI_Debitos!$R:$R,LEFT(PAGADO!J$1,4),VI_Debitos!$Q:$Q,RIGHT(J$1,2))</f>
        <v>0</v>
      </c>
      <c r="K396" s="2">
        <f>SUMIFS(VI_Debitos!$V:$V,VI_Debitos!$H:$H,$C396,VI_Debitos!$T:$T,$D396,VI_Debitos!$R:$R,LEFT(PAGADO!K$1,4),VI_Debitos!$Q:$Q,RIGHT(K$1,2))</f>
        <v>0</v>
      </c>
      <c r="L396" s="2">
        <f>SUMIFS(VI_Debitos!$V:$V,VI_Debitos!$H:$H,$C396,VI_Debitos!$T:$T,$D396,VI_Debitos!$R:$R,LEFT(PAGADO!L$1,4),VI_Debitos!$Q:$Q,RIGHT(L$1,2))</f>
        <v>0</v>
      </c>
      <c r="M396" s="2">
        <f>SUMIFS(VI_Debitos!$V:$V,VI_Debitos!$H:$H,$C396,VI_Debitos!$T:$T,$D396,VI_Debitos!$R:$R,LEFT(PAGADO!M$1,4),VI_Debitos!$Q:$Q,RIGHT(M$1,2))</f>
        <v>0</v>
      </c>
      <c r="N396" s="2">
        <f>SUMIFS(VI_Debitos!$V:$V,VI_Debitos!$H:$H,$C396,VI_Debitos!$T:$T,$D396,VI_Debitos!$R:$R,LEFT(PAGADO!N$1,4),VI_Debitos!$Q:$Q,RIGHT(N$1,2))</f>
        <v>0</v>
      </c>
      <c r="O396" s="2">
        <f>SUMIFS(VI_Debitos!$V:$V,VI_Debitos!$H:$H,$C396,VI_Debitos!$T:$T,$D396,VI_Debitos!$R:$R,LEFT(PAGADO!O$1,4),VI_Debitos!$Q:$Q,RIGHT(O$1,2))</f>
        <v>0</v>
      </c>
      <c r="P396" s="2">
        <f>SUMIFS(VI_Debitos!$V:$V,VI_Debitos!$H:$H,$C396,VI_Debitos!$T:$T,$D396,VI_Debitos!$R:$R,LEFT(PAGADO!P$1,4),VI_Debitos!$Q:$Q,RIGHT(P$1,2))</f>
        <v>0</v>
      </c>
      <c r="Q396" s="2">
        <f>SUMIFS(VI_Debitos!$V:$V,VI_Debitos!$H:$H,$C396,VI_Debitos!$T:$T,$D396,VI_Debitos!$R:$R,LEFT(PAGADO!Q$1,4),VI_Debitos!$Q:$Q,RIGHT(Q$1,2))</f>
        <v>0</v>
      </c>
      <c r="R396" s="2">
        <f t="shared" si="6"/>
        <v>0</v>
      </c>
    </row>
    <row r="397" spans="6:18">
      <c r="F397" s="2">
        <f>SUMIFS(VI_Debitos!$V:$V,VI_Debitos!$H:$H,$C397,VI_Debitos!$T:$T,$D397,VI_Debitos!$R:$R,LEFT(PAGADO!F$1,4),VI_Debitos!$Q:$Q,RIGHT(F$1,2))</f>
        <v>0</v>
      </c>
      <c r="G397" s="2">
        <f>SUMIFS(VI_Debitos!$V:$V,VI_Debitos!$H:$H,$C397,VI_Debitos!$T:$T,$D397,VI_Debitos!$R:$R,LEFT(PAGADO!G$1,4),VI_Debitos!$Q:$Q,RIGHT(G$1,2))</f>
        <v>0</v>
      </c>
      <c r="H397" s="2">
        <f>SUMIFS(VI_Debitos!$V:$V,VI_Debitos!$H:$H,$C397,VI_Debitos!$T:$T,$D397,VI_Debitos!$R:$R,LEFT(PAGADO!H$1,4),VI_Debitos!$Q:$Q,RIGHT(H$1,2))</f>
        <v>0</v>
      </c>
      <c r="I397" s="2">
        <f>SUMIFS(VI_Debitos!$V:$V,VI_Debitos!$H:$H,$C397,VI_Debitos!$T:$T,$D397,VI_Debitos!$R:$R,LEFT(PAGADO!I$1,4),VI_Debitos!$Q:$Q,RIGHT(I$1,2))</f>
        <v>0</v>
      </c>
      <c r="J397" s="2">
        <f>SUMIFS(VI_Debitos!$V:$V,VI_Debitos!$H:$H,$C397,VI_Debitos!$T:$T,$D397,VI_Debitos!$R:$R,LEFT(PAGADO!J$1,4),VI_Debitos!$Q:$Q,RIGHT(J$1,2))</f>
        <v>0</v>
      </c>
      <c r="K397" s="2">
        <f>SUMIFS(VI_Debitos!$V:$V,VI_Debitos!$H:$H,$C397,VI_Debitos!$T:$T,$D397,VI_Debitos!$R:$R,LEFT(PAGADO!K$1,4),VI_Debitos!$Q:$Q,RIGHT(K$1,2))</f>
        <v>0</v>
      </c>
      <c r="L397" s="2">
        <f>SUMIFS(VI_Debitos!$V:$V,VI_Debitos!$H:$H,$C397,VI_Debitos!$T:$T,$D397,VI_Debitos!$R:$R,LEFT(PAGADO!L$1,4),VI_Debitos!$Q:$Q,RIGHT(L$1,2))</f>
        <v>0</v>
      </c>
      <c r="M397" s="2">
        <f>SUMIFS(VI_Debitos!$V:$V,VI_Debitos!$H:$H,$C397,VI_Debitos!$T:$T,$D397,VI_Debitos!$R:$R,LEFT(PAGADO!M$1,4),VI_Debitos!$Q:$Q,RIGHT(M$1,2))</f>
        <v>0</v>
      </c>
      <c r="N397" s="2">
        <f>SUMIFS(VI_Debitos!$V:$V,VI_Debitos!$H:$H,$C397,VI_Debitos!$T:$T,$D397,VI_Debitos!$R:$R,LEFT(PAGADO!N$1,4),VI_Debitos!$Q:$Q,RIGHT(N$1,2))</f>
        <v>0</v>
      </c>
      <c r="O397" s="2">
        <f>SUMIFS(VI_Debitos!$V:$V,VI_Debitos!$H:$H,$C397,VI_Debitos!$T:$T,$D397,VI_Debitos!$R:$R,LEFT(PAGADO!O$1,4),VI_Debitos!$Q:$Q,RIGHT(O$1,2))</f>
        <v>0</v>
      </c>
      <c r="P397" s="2">
        <f>SUMIFS(VI_Debitos!$V:$V,VI_Debitos!$H:$H,$C397,VI_Debitos!$T:$T,$D397,VI_Debitos!$R:$R,LEFT(PAGADO!P$1,4),VI_Debitos!$Q:$Q,RIGHT(P$1,2))</f>
        <v>0</v>
      </c>
      <c r="Q397" s="2">
        <f>SUMIFS(VI_Debitos!$V:$V,VI_Debitos!$H:$H,$C397,VI_Debitos!$T:$T,$D397,VI_Debitos!$R:$R,LEFT(PAGADO!Q$1,4),VI_Debitos!$Q:$Q,RIGHT(Q$1,2))</f>
        <v>0</v>
      </c>
      <c r="R397" s="2">
        <f t="shared" si="6"/>
        <v>0</v>
      </c>
    </row>
    <row r="398" spans="6:18">
      <c r="F398" s="2">
        <f>SUMIFS(VI_Debitos!$V:$V,VI_Debitos!$H:$H,$C398,VI_Debitos!$T:$T,$D398,VI_Debitos!$R:$R,LEFT(PAGADO!F$1,4),VI_Debitos!$Q:$Q,RIGHT(F$1,2))</f>
        <v>0</v>
      </c>
      <c r="G398" s="2">
        <f>SUMIFS(VI_Debitos!$V:$V,VI_Debitos!$H:$H,$C398,VI_Debitos!$T:$T,$D398,VI_Debitos!$R:$R,LEFT(PAGADO!G$1,4),VI_Debitos!$Q:$Q,RIGHT(G$1,2))</f>
        <v>0</v>
      </c>
      <c r="H398" s="2">
        <f>SUMIFS(VI_Debitos!$V:$V,VI_Debitos!$H:$H,$C398,VI_Debitos!$T:$T,$D398,VI_Debitos!$R:$R,LEFT(PAGADO!H$1,4),VI_Debitos!$Q:$Q,RIGHT(H$1,2))</f>
        <v>0</v>
      </c>
      <c r="I398" s="2">
        <f>SUMIFS(VI_Debitos!$V:$V,VI_Debitos!$H:$H,$C398,VI_Debitos!$T:$T,$D398,VI_Debitos!$R:$R,LEFT(PAGADO!I$1,4),VI_Debitos!$Q:$Q,RIGHT(I$1,2))</f>
        <v>0</v>
      </c>
      <c r="J398" s="2">
        <f>SUMIFS(VI_Debitos!$V:$V,VI_Debitos!$H:$H,$C398,VI_Debitos!$T:$T,$D398,VI_Debitos!$R:$R,LEFT(PAGADO!J$1,4),VI_Debitos!$Q:$Q,RIGHT(J$1,2))</f>
        <v>0</v>
      </c>
      <c r="K398" s="2">
        <f>SUMIFS(VI_Debitos!$V:$V,VI_Debitos!$H:$H,$C398,VI_Debitos!$T:$T,$D398,VI_Debitos!$R:$R,LEFT(PAGADO!K$1,4),VI_Debitos!$Q:$Q,RIGHT(K$1,2))</f>
        <v>0</v>
      </c>
      <c r="L398" s="2">
        <f>SUMIFS(VI_Debitos!$V:$V,VI_Debitos!$H:$H,$C398,VI_Debitos!$T:$T,$D398,VI_Debitos!$R:$R,LEFT(PAGADO!L$1,4),VI_Debitos!$Q:$Q,RIGHT(L$1,2))</f>
        <v>0</v>
      </c>
      <c r="M398" s="2">
        <f>SUMIFS(VI_Debitos!$V:$V,VI_Debitos!$H:$H,$C398,VI_Debitos!$T:$T,$D398,VI_Debitos!$R:$R,LEFT(PAGADO!M$1,4),VI_Debitos!$Q:$Q,RIGHT(M$1,2))</f>
        <v>0</v>
      </c>
      <c r="N398" s="2">
        <f>SUMIFS(VI_Debitos!$V:$V,VI_Debitos!$H:$H,$C398,VI_Debitos!$T:$T,$D398,VI_Debitos!$R:$R,LEFT(PAGADO!N$1,4),VI_Debitos!$Q:$Q,RIGHT(N$1,2))</f>
        <v>0</v>
      </c>
      <c r="O398" s="2">
        <f>SUMIFS(VI_Debitos!$V:$V,VI_Debitos!$H:$H,$C398,VI_Debitos!$T:$T,$D398,VI_Debitos!$R:$R,LEFT(PAGADO!O$1,4),VI_Debitos!$Q:$Q,RIGHT(O$1,2))</f>
        <v>0</v>
      </c>
      <c r="P398" s="2">
        <f>SUMIFS(VI_Debitos!$V:$V,VI_Debitos!$H:$H,$C398,VI_Debitos!$T:$T,$D398,VI_Debitos!$R:$R,LEFT(PAGADO!P$1,4),VI_Debitos!$Q:$Q,RIGHT(P$1,2))</f>
        <v>0</v>
      </c>
      <c r="Q398" s="2">
        <f>SUMIFS(VI_Debitos!$V:$V,VI_Debitos!$H:$H,$C398,VI_Debitos!$T:$T,$D398,VI_Debitos!$R:$R,LEFT(PAGADO!Q$1,4),VI_Debitos!$Q:$Q,RIGHT(Q$1,2))</f>
        <v>0</v>
      </c>
      <c r="R398" s="2">
        <f t="shared" si="6"/>
        <v>0</v>
      </c>
    </row>
    <row r="399" spans="6:18">
      <c r="F399" s="2">
        <f>SUMIFS(VI_Debitos!$V:$V,VI_Debitos!$H:$H,$C399,VI_Debitos!$T:$T,$D399,VI_Debitos!$R:$R,LEFT(PAGADO!F$1,4),VI_Debitos!$Q:$Q,RIGHT(F$1,2))</f>
        <v>0</v>
      </c>
      <c r="G399" s="2">
        <f>SUMIFS(VI_Debitos!$V:$V,VI_Debitos!$H:$H,$C399,VI_Debitos!$T:$T,$D399,VI_Debitos!$R:$R,LEFT(PAGADO!G$1,4),VI_Debitos!$Q:$Q,RIGHT(G$1,2))</f>
        <v>0</v>
      </c>
      <c r="H399" s="2">
        <f>SUMIFS(VI_Debitos!$V:$V,VI_Debitos!$H:$H,$C399,VI_Debitos!$T:$T,$D399,VI_Debitos!$R:$R,LEFT(PAGADO!H$1,4),VI_Debitos!$Q:$Q,RIGHT(H$1,2))</f>
        <v>0</v>
      </c>
      <c r="I399" s="2">
        <f>SUMIFS(VI_Debitos!$V:$V,VI_Debitos!$H:$H,$C399,VI_Debitos!$T:$T,$D399,VI_Debitos!$R:$R,LEFT(PAGADO!I$1,4),VI_Debitos!$Q:$Q,RIGHT(I$1,2))</f>
        <v>0</v>
      </c>
      <c r="J399" s="2">
        <f>SUMIFS(VI_Debitos!$V:$V,VI_Debitos!$H:$H,$C399,VI_Debitos!$T:$T,$D399,VI_Debitos!$R:$R,LEFT(PAGADO!J$1,4),VI_Debitos!$Q:$Q,RIGHT(J$1,2))</f>
        <v>0</v>
      </c>
      <c r="K399" s="2">
        <f>SUMIFS(VI_Debitos!$V:$V,VI_Debitos!$H:$H,$C399,VI_Debitos!$T:$T,$D399,VI_Debitos!$R:$R,LEFT(PAGADO!K$1,4),VI_Debitos!$Q:$Q,RIGHT(K$1,2))</f>
        <v>0</v>
      </c>
      <c r="L399" s="2">
        <f>SUMIFS(VI_Debitos!$V:$V,VI_Debitos!$H:$H,$C399,VI_Debitos!$T:$T,$D399,VI_Debitos!$R:$R,LEFT(PAGADO!L$1,4),VI_Debitos!$Q:$Q,RIGHT(L$1,2))</f>
        <v>0</v>
      </c>
      <c r="M399" s="2">
        <f>SUMIFS(VI_Debitos!$V:$V,VI_Debitos!$H:$H,$C399,VI_Debitos!$T:$T,$D399,VI_Debitos!$R:$R,LEFT(PAGADO!M$1,4),VI_Debitos!$Q:$Q,RIGHT(M$1,2))</f>
        <v>0</v>
      </c>
      <c r="N399" s="2">
        <f>SUMIFS(VI_Debitos!$V:$V,VI_Debitos!$H:$H,$C399,VI_Debitos!$T:$T,$D399,VI_Debitos!$R:$R,LEFT(PAGADO!N$1,4),VI_Debitos!$Q:$Q,RIGHT(N$1,2))</f>
        <v>0</v>
      </c>
      <c r="O399" s="2">
        <f>SUMIFS(VI_Debitos!$V:$V,VI_Debitos!$H:$H,$C399,VI_Debitos!$T:$T,$D399,VI_Debitos!$R:$R,LEFT(PAGADO!O$1,4),VI_Debitos!$Q:$Q,RIGHT(O$1,2))</f>
        <v>0</v>
      </c>
      <c r="P399" s="2">
        <f>SUMIFS(VI_Debitos!$V:$V,VI_Debitos!$H:$H,$C399,VI_Debitos!$T:$T,$D399,VI_Debitos!$R:$R,LEFT(PAGADO!P$1,4),VI_Debitos!$Q:$Q,RIGHT(P$1,2))</f>
        <v>0</v>
      </c>
      <c r="Q399" s="2">
        <f>SUMIFS(VI_Debitos!$V:$V,VI_Debitos!$H:$H,$C399,VI_Debitos!$T:$T,$D399,VI_Debitos!$R:$R,LEFT(PAGADO!Q$1,4),VI_Debitos!$Q:$Q,RIGHT(Q$1,2))</f>
        <v>0</v>
      </c>
      <c r="R399" s="2">
        <f t="shared" si="6"/>
        <v>0</v>
      </c>
    </row>
    <row r="400" spans="6:18">
      <c r="F400" s="2">
        <f>SUMIFS(VI_Debitos!$V:$V,VI_Debitos!$H:$H,$C400,VI_Debitos!$T:$T,$D400,VI_Debitos!$R:$R,LEFT(PAGADO!F$1,4),VI_Debitos!$Q:$Q,RIGHT(F$1,2))</f>
        <v>0</v>
      </c>
      <c r="G400" s="2">
        <f>SUMIFS(VI_Debitos!$V:$V,VI_Debitos!$H:$H,$C400,VI_Debitos!$T:$T,$D400,VI_Debitos!$R:$R,LEFT(PAGADO!G$1,4),VI_Debitos!$Q:$Q,RIGHT(G$1,2))</f>
        <v>0</v>
      </c>
      <c r="H400" s="2">
        <f>SUMIFS(VI_Debitos!$V:$V,VI_Debitos!$H:$H,$C400,VI_Debitos!$T:$T,$D400,VI_Debitos!$R:$R,LEFT(PAGADO!H$1,4),VI_Debitos!$Q:$Q,RIGHT(H$1,2))</f>
        <v>0</v>
      </c>
      <c r="I400" s="2">
        <f>SUMIFS(VI_Debitos!$V:$V,VI_Debitos!$H:$H,$C400,VI_Debitos!$T:$T,$D400,VI_Debitos!$R:$R,LEFT(PAGADO!I$1,4),VI_Debitos!$Q:$Q,RIGHT(I$1,2))</f>
        <v>0</v>
      </c>
      <c r="J400" s="2">
        <f>SUMIFS(VI_Debitos!$V:$V,VI_Debitos!$H:$H,$C400,VI_Debitos!$T:$T,$D400,VI_Debitos!$R:$R,LEFT(PAGADO!J$1,4),VI_Debitos!$Q:$Q,RIGHT(J$1,2))</f>
        <v>0</v>
      </c>
      <c r="K400" s="2">
        <f>SUMIFS(VI_Debitos!$V:$V,VI_Debitos!$H:$H,$C400,VI_Debitos!$T:$T,$D400,VI_Debitos!$R:$R,LEFT(PAGADO!K$1,4),VI_Debitos!$Q:$Q,RIGHT(K$1,2))</f>
        <v>0</v>
      </c>
      <c r="L400" s="2">
        <f>SUMIFS(VI_Debitos!$V:$V,VI_Debitos!$H:$H,$C400,VI_Debitos!$T:$T,$D400,VI_Debitos!$R:$R,LEFT(PAGADO!L$1,4),VI_Debitos!$Q:$Q,RIGHT(L$1,2))</f>
        <v>0</v>
      </c>
      <c r="M400" s="2">
        <f>SUMIFS(VI_Debitos!$V:$V,VI_Debitos!$H:$H,$C400,VI_Debitos!$T:$T,$D400,VI_Debitos!$R:$R,LEFT(PAGADO!M$1,4),VI_Debitos!$Q:$Q,RIGHT(M$1,2))</f>
        <v>0</v>
      </c>
      <c r="N400" s="2">
        <f>SUMIFS(VI_Debitos!$V:$V,VI_Debitos!$H:$H,$C400,VI_Debitos!$T:$T,$D400,VI_Debitos!$R:$R,LEFT(PAGADO!N$1,4),VI_Debitos!$Q:$Q,RIGHT(N$1,2))</f>
        <v>0</v>
      </c>
      <c r="O400" s="2">
        <f>SUMIFS(VI_Debitos!$V:$V,VI_Debitos!$H:$H,$C400,VI_Debitos!$T:$T,$D400,VI_Debitos!$R:$R,LEFT(PAGADO!O$1,4),VI_Debitos!$Q:$Q,RIGHT(O$1,2))</f>
        <v>0</v>
      </c>
      <c r="P400" s="2">
        <f>SUMIFS(VI_Debitos!$V:$V,VI_Debitos!$H:$H,$C400,VI_Debitos!$T:$T,$D400,VI_Debitos!$R:$R,LEFT(PAGADO!P$1,4),VI_Debitos!$Q:$Q,RIGHT(P$1,2))</f>
        <v>0</v>
      </c>
      <c r="Q400" s="2">
        <f>SUMIFS(VI_Debitos!$V:$V,VI_Debitos!$H:$H,$C400,VI_Debitos!$T:$T,$D400,VI_Debitos!$R:$R,LEFT(PAGADO!Q$1,4),VI_Debitos!$Q:$Q,RIGHT(Q$1,2))</f>
        <v>0</v>
      </c>
      <c r="R400" s="2">
        <f t="shared" si="6"/>
        <v>0</v>
      </c>
    </row>
    <row r="401" spans="6:18">
      <c r="F401" s="2">
        <f>SUMIFS(VI_Debitos!$V:$V,VI_Debitos!$H:$H,$C401,VI_Debitos!$T:$T,$D401,VI_Debitos!$R:$R,LEFT(PAGADO!F$1,4),VI_Debitos!$Q:$Q,RIGHT(F$1,2))</f>
        <v>0</v>
      </c>
      <c r="G401" s="2">
        <f>SUMIFS(VI_Debitos!$V:$V,VI_Debitos!$H:$H,$C401,VI_Debitos!$T:$T,$D401,VI_Debitos!$R:$R,LEFT(PAGADO!G$1,4),VI_Debitos!$Q:$Q,RIGHT(G$1,2))</f>
        <v>0</v>
      </c>
      <c r="H401" s="2">
        <f>SUMIFS(VI_Debitos!$V:$V,VI_Debitos!$H:$H,$C401,VI_Debitos!$T:$T,$D401,VI_Debitos!$R:$R,LEFT(PAGADO!H$1,4),VI_Debitos!$Q:$Q,RIGHT(H$1,2))</f>
        <v>0</v>
      </c>
      <c r="I401" s="2">
        <f>SUMIFS(VI_Debitos!$V:$V,VI_Debitos!$H:$H,$C401,VI_Debitos!$T:$T,$D401,VI_Debitos!$R:$R,LEFT(PAGADO!I$1,4),VI_Debitos!$Q:$Q,RIGHT(I$1,2))</f>
        <v>0</v>
      </c>
      <c r="J401" s="2">
        <f>SUMIFS(VI_Debitos!$V:$V,VI_Debitos!$H:$H,$C401,VI_Debitos!$T:$T,$D401,VI_Debitos!$R:$R,LEFT(PAGADO!J$1,4),VI_Debitos!$Q:$Q,RIGHT(J$1,2))</f>
        <v>0</v>
      </c>
      <c r="K401" s="2">
        <f>SUMIFS(VI_Debitos!$V:$V,VI_Debitos!$H:$H,$C401,VI_Debitos!$T:$T,$D401,VI_Debitos!$R:$R,LEFT(PAGADO!K$1,4),VI_Debitos!$Q:$Q,RIGHT(K$1,2))</f>
        <v>0</v>
      </c>
      <c r="L401" s="2">
        <f>SUMIFS(VI_Debitos!$V:$V,VI_Debitos!$H:$H,$C401,VI_Debitos!$T:$T,$D401,VI_Debitos!$R:$R,LEFT(PAGADO!L$1,4),VI_Debitos!$Q:$Q,RIGHT(L$1,2))</f>
        <v>0</v>
      </c>
      <c r="M401" s="2">
        <f>SUMIFS(VI_Debitos!$V:$V,VI_Debitos!$H:$H,$C401,VI_Debitos!$T:$T,$D401,VI_Debitos!$R:$R,LEFT(PAGADO!M$1,4),VI_Debitos!$Q:$Q,RIGHT(M$1,2))</f>
        <v>0</v>
      </c>
      <c r="N401" s="2">
        <f>SUMIFS(VI_Debitos!$V:$V,VI_Debitos!$H:$H,$C401,VI_Debitos!$T:$T,$D401,VI_Debitos!$R:$R,LEFT(PAGADO!N$1,4),VI_Debitos!$Q:$Q,RIGHT(N$1,2))</f>
        <v>0</v>
      </c>
      <c r="O401" s="2">
        <f>SUMIFS(VI_Debitos!$V:$V,VI_Debitos!$H:$H,$C401,VI_Debitos!$T:$T,$D401,VI_Debitos!$R:$R,LEFT(PAGADO!O$1,4),VI_Debitos!$Q:$Q,RIGHT(O$1,2))</f>
        <v>0</v>
      </c>
      <c r="P401" s="2">
        <f>SUMIFS(VI_Debitos!$V:$V,VI_Debitos!$H:$H,$C401,VI_Debitos!$T:$T,$D401,VI_Debitos!$R:$R,LEFT(PAGADO!P$1,4),VI_Debitos!$Q:$Q,RIGHT(P$1,2))</f>
        <v>0</v>
      </c>
      <c r="Q401" s="2">
        <f>SUMIFS(VI_Debitos!$V:$V,VI_Debitos!$H:$H,$C401,VI_Debitos!$T:$T,$D401,VI_Debitos!$R:$R,LEFT(PAGADO!Q$1,4),VI_Debitos!$Q:$Q,RIGHT(Q$1,2))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65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3" t="s">
        <v>18</v>
      </c>
      <c r="B1" s="13" t="s">
        <v>28</v>
      </c>
      <c r="C1" s="27" t="s">
        <v>760</v>
      </c>
      <c r="D1" s="13" t="s">
        <v>761</v>
      </c>
      <c r="E1" s="13" t="s">
        <v>762</v>
      </c>
      <c r="F1" s="13" t="s">
        <v>763</v>
      </c>
      <c r="G1" s="13" t="s">
        <v>764</v>
      </c>
      <c r="H1" s="13" t="s">
        <v>765</v>
      </c>
      <c r="I1" s="13" t="s">
        <v>766</v>
      </c>
      <c r="J1" s="13" t="s">
        <v>767</v>
      </c>
      <c r="K1" s="13" t="s">
        <v>768</v>
      </c>
      <c r="L1" s="13" t="s">
        <v>769</v>
      </c>
      <c r="M1" s="13" t="s">
        <v>770</v>
      </c>
      <c r="N1" s="13" t="s">
        <v>771</v>
      </c>
      <c r="O1" s="13" t="s">
        <v>772</v>
      </c>
      <c r="P1" s="13" t="s">
        <v>773</v>
      </c>
      <c r="Q1" s="13" t="s">
        <v>774</v>
      </c>
    </row>
    <row r="2" spans="1:17">
      <c r="A2" t="s">
        <v>775</v>
      </c>
      <c r="B2" t="s">
        <v>84</v>
      </c>
      <c r="C2" t="s">
        <v>776</v>
      </c>
      <c r="D2" t="s">
        <v>754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775</v>
      </c>
      <c r="B3" t="s">
        <v>84</v>
      </c>
      <c r="C3" t="s">
        <v>776</v>
      </c>
      <c r="D3" t="s">
        <v>755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-392626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-392626</v>
      </c>
    </row>
    <row r="4" spans="1:17">
      <c r="A4" t="s">
        <v>775</v>
      </c>
      <c r="B4" t="s">
        <v>84</v>
      </c>
      <c r="C4" t="s">
        <v>777</v>
      </c>
      <c r="D4" t="s">
        <v>754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0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0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0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0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0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0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0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0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0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0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0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0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0</v>
      </c>
    </row>
    <row r="5" spans="1:17">
      <c r="A5" t="s">
        <v>775</v>
      </c>
      <c r="B5" t="s">
        <v>84</v>
      </c>
      <c r="C5" t="s">
        <v>777</v>
      </c>
      <c r="D5" t="s">
        <v>755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0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0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0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0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0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0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0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0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0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0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0</v>
      </c>
    </row>
    <row r="6" spans="1:17">
      <c r="A6" t="s">
        <v>775</v>
      </c>
      <c r="B6" t="s">
        <v>84</v>
      </c>
      <c r="C6" t="s">
        <v>778</v>
      </c>
      <c r="D6" t="s">
        <v>754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775</v>
      </c>
      <c r="B7" t="s">
        <v>84</v>
      </c>
      <c r="C7" t="s">
        <v>778</v>
      </c>
      <c r="D7" t="s">
        <v>755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775</v>
      </c>
      <c r="B8" t="s">
        <v>84</v>
      </c>
      <c r="C8" t="s">
        <v>779</v>
      </c>
      <c r="D8" t="s">
        <v>754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775</v>
      </c>
      <c r="B9" t="s">
        <v>84</v>
      </c>
      <c r="C9" t="s">
        <v>779</v>
      </c>
      <c r="D9" t="s">
        <v>755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775</v>
      </c>
      <c r="B10" t="s">
        <v>84</v>
      </c>
      <c r="C10" t="s">
        <v>780</v>
      </c>
      <c r="D10" t="s">
        <v>754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775</v>
      </c>
      <c r="B11" t="s">
        <v>84</v>
      </c>
      <c r="C11" t="s">
        <v>780</v>
      </c>
      <c r="D11" t="s">
        <v>755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0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0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0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0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0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0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0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0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0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0</v>
      </c>
    </row>
    <row r="12" spans="1:17">
      <c r="A12" t="s">
        <v>775</v>
      </c>
      <c r="B12" t="s">
        <v>84</v>
      </c>
      <c r="C12" t="s">
        <v>781</v>
      </c>
      <c r="D12" t="s">
        <v>754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775</v>
      </c>
      <c r="B13" t="s">
        <v>84</v>
      </c>
      <c r="C13" t="s">
        <v>781</v>
      </c>
      <c r="D13" t="s">
        <v>755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775</v>
      </c>
      <c r="B14" t="s">
        <v>84</v>
      </c>
      <c r="C14" t="s">
        <v>782</v>
      </c>
      <c r="D14" t="s">
        <v>754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0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0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0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0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0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0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0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0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0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0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0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0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0</v>
      </c>
    </row>
    <row r="15" spans="1:17">
      <c r="A15" t="s">
        <v>775</v>
      </c>
      <c r="B15" t="s">
        <v>84</v>
      </c>
      <c r="C15" t="s">
        <v>782</v>
      </c>
      <c r="D15" t="s">
        <v>755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0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0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0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0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0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0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0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0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0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0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0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0</v>
      </c>
    </row>
    <row r="16" spans="1:17">
      <c r="A16" t="s">
        <v>775</v>
      </c>
      <c r="B16" t="s">
        <v>84</v>
      </c>
      <c r="C16" t="s">
        <v>783</v>
      </c>
      <c r="D16" t="s">
        <v>754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775</v>
      </c>
      <c r="B17" t="s">
        <v>84</v>
      </c>
      <c r="C17" t="s">
        <v>783</v>
      </c>
      <c r="D17" t="s">
        <v>755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0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0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0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0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0</v>
      </c>
    </row>
    <row r="18" spans="1:17">
      <c r="A18" t="s">
        <v>775</v>
      </c>
      <c r="B18" t="s">
        <v>757</v>
      </c>
      <c r="C18" t="s">
        <v>776</v>
      </c>
      <c r="D18" t="s">
        <v>754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775</v>
      </c>
      <c r="B19" t="s">
        <v>757</v>
      </c>
      <c r="C19" t="s">
        <v>776</v>
      </c>
      <c r="D19" t="s">
        <v>755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0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-4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-4</v>
      </c>
    </row>
    <row r="20" spans="1:17">
      <c r="A20" t="s">
        <v>775</v>
      </c>
      <c r="B20" t="s">
        <v>757</v>
      </c>
      <c r="C20" t="s">
        <v>777</v>
      </c>
      <c r="D20" t="s">
        <v>754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0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0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0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0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0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0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0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0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0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0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0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0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0</v>
      </c>
    </row>
    <row r="21" spans="1:17">
      <c r="A21" t="s">
        <v>775</v>
      </c>
      <c r="B21" t="s">
        <v>757</v>
      </c>
      <c r="C21" t="s">
        <v>777</v>
      </c>
      <c r="D21" t="s">
        <v>755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0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0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0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0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0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0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0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0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0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0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0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0</v>
      </c>
    </row>
    <row r="22" spans="1:17">
      <c r="A22" t="s">
        <v>775</v>
      </c>
      <c r="B22" t="s">
        <v>757</v>
      </c>
      <c r="C22" t="s">
        <v>778</v>
      </c>
      <c r="D22" t="s">
        <v>754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775</v>
      </c>
      <c r="B23" t="s">
        <v>757</v>
      </c>
      <c r="C23" t="s">
        <v>778</v>
      </c>
      <c r="D23" t="s">
        <v>755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775</v>
      </c>
      <c r="B24" t="s">
        <v>757</v>
      </c>
      <c r="C24" t="s">
        <v>779</v>
      </c>
      <c r="D24" t="s">
        <v>754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775</v>
      </c>
      <c r="B25" t="s">
        <v>757</v>
      </c>
      <c r="C25" t="s">
        <v>779</v>
      </c>
      <c r="D25" t="s">
        <v>755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775</v>
      </c>
      <c r="B26" t="s">
        <v>757</v>
      </c>
      <c r="C26" t="s">
        <v>780</v>
      </c>
      <c r="D26" t="s">
        <v>754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775</v>
      </c>
      <c r="B27" t="s">
        <v>757</v>
      </c>
      <c r="C27" t="s">
        <v>780</v>
      </c>
      <c r="D27" t="s">
        <v>755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0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0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0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0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0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0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0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0</v>
      </c>
    </row>
    <row r="28" spans="1:17">
      <c r="A28" t="s">
        <v>775</v>
      </c>
      <c r="B28" t="s">
        <v>757</v>
      </c>
      <c r="C28" t="s">
        <v>781</v>
      </c>
      <c r="D28" t="s">
        <v>754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775</v>
      </c>
      <c r="B29" t="s">
        <v>757</v>
      </c>
      <c r="C29" t="s">
        <v>781</v>
      </c>
      <c r="D29" t="s">
        <v>755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775</v>
      </c>
      <c r="B30" t="s">
        <v>757</v>
      </c>
      <c r="C30" t="s">
        <v>782</v>
      </c>
      <c r="D30" t="s">
        <v>754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0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0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0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0</v>
      </c>
    </row>
    <row r="31" spans="1:17">
      <c r="A31" t="s">
        <v>775</v>
      </c>
      <c r="B31" t="s">
        <v>757</v>
      </c>
      <c r="C31" t="s">
        <v>782</v>
      </c>
      <c r="D31" t="s">
        <v>755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0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0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0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0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0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0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0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0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0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0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0</v>
      </c>
    </row>
    <row r="32" spans="1:17">
      <c r="A32" t="s">
        <v>775</v>
      </c>
      <c r="B32" t="s">
        <v>757</v>
      </c>
      <c r="C32" t="s">
        <v>783</v>
      </c>
      <c r="D32" t="s">
        <v>754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775</v>
      </c>
      <c r="B33" t="s">
        <v>757</v>
      </c>
      <c r="C33" t="s">
        <v>783</v>
      </c>
      <c r="D33" t="s">
        <v>755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0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0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0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0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0</v>
      </c>
    </row>
    <row r="34" spans="1:17">
      <c r="A34" t="s">
        <v>775</v>
      </c>
      <c r="B34" t="s">
        <v>56</v>
      </c>
      <c r="C34" t="s">
        <v>776</v>
      </c>
      <c r="D34" t="s">
        <v>754</v>
      </c>
      <c r="E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E34))</f>
        <v>70347956</v>
      </c>
      <c r="F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F34))</f>
        <v>2071336.79</v>
      </c>
      <c r="G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G34))</f>
        <v>11981932.75</v>
      </c>
      <c r="H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H34))</f>
        <v>2234688.4000000004</v>
      </c>
      <c r="I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I34))</f>
        <v>1552013.4000000001</v>
      </c>
      <c r="J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J34))</f>
        <v>7117062.9100000011</v>
      </c>
      <c r="K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K34))</f>
        <v>7385473.71</v>
      </c>
      <c r="L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L34))</f>
        <v>17269664.09</v>
      </c>
      <c r="M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M34))</f>
        <v>11465658.380000001</v>
      </c>
      <c r="N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N34))</f>
        <v>11592969.4</v>
      </c>
      <c r="O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O34))</f>
        <v>12456669.26</v>
      </c>
      <c r="P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P34))</f>
        <v>7780906.2300000004</v>
      </c>
      <c r="Q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Q34))</f>
        <v>163256331.31999999</v>
      </c>
    </row>
    <row r="35" spans="1:17">
      <c r="A35" t="s">
        <v>775</v>
      </c>
      <c r="B35" t="s">
        <v>56</v>
      </c>
      <c r="C35" t="s">
        <v>776</v>
      </c>
      <c r="D35" t="s">
        <v>755</v>
      </c>
      <c r="E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E35))</f>
        <v>0</v>
      </c>
      <c r="F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F35))</f>
        <v>-9636530</v>
      </c>
      <c r="G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G35))</f>
        <v>0</v>
      </c>
      <c r="H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H35))</f>
        <v>-10538970</v>
      </c>
      <c r="I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I35))</f>
        <v>-12234236</v>
      </c>
      <c r="J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J35))</f>
        <v>-5277009</v>
      </c>
      <c r="K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K35))</f>
        <v>-7165158</v>
      </c>
      <c r="L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L35))</f>
        <v>0</v>
      </c>
      <c r="M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M35))</f>
        <v>-30215455</v>
      </c>
      <c r="N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N35))</f>
        <v>-19311242</v>
      </c>
      <c r="O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O35))</f>
        <v>-6855857</v>
      </c>
      <c r="P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P35))</f>
        <v>-15171249</v>
      </c>
      <c r="Q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Q35))</f>
        <v>-116405706</v>
      </c>
    </row>
    <row r="36" spans="1:17">
      <c r="A36" t="s">
        <v>775</v>
      </c>
      <c r="B36" t="s">
        <v>56</v>
      </c>
      <c r="C36" t="s">
        <v>777</v>
      </c>
      <c r="D36" t="s">
        <v>754</v>
      </c>
      <c r="E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E36))</f>
        <v>0</v>
      </c>
      <c r="F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F36))</f>
        <v>0</v>
      </c>
      <c r="G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G36))</f>
        <v>0</v>
      </c>
      <c r="H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H36))</f>
        <v>0</v>
      </c>
      <c r="I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I36))</f>
        <v>0</v>
      </c>
      <c r="J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J36))</f>
        <v>0</v>
      </c>
      <c r="K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K36))</f>
        <v>0</v>
      </c>
      <c r="L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L36))</f>
        <v>0</v>
      </c>
      <c r="M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M36))</f>
        <v>0</v>
      </c>
      <c r="N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N36))</f>
        <v>0</v>
      </c>
      <c r="O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O36))</f>
        <v>0</v>
      </c>
      <c r="P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P36))</f>
        <v>0</v>
      </c>
      <c r="Q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Q36))</f>
        <v>0</v>
      </c>
    </row>
    <row r="37" spans="1:17">
      <c r="A37" t="s">
        <v>775</v>
      </c>
      <c r="B37" t="s">
        <v>56</v>
      </c>
      <c r="C37" t="s">
        <v>777</v>
      </c>
      <c r="D37" t="s">
        <v>755</v>
      </c>
      <c r="E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E37))</f>
        <v>0</v>
      </c>
      <c r="F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F37))</f>
        <v>0</v>
      </c>
      <c r="G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G37))</f>
        <v>0</v>
      </c>
      <c r="H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H37))</f>
        <v>0</v>
      </c>
      <c r="I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I37))</f>
        <v>0</v>
      </c>
      <c r="J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J37))</f>
        <v>0</v>
      </c>
      <c r="K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K37))</f>
        <v>0</v>
      </c>
      <c r="L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L37))</f>
        <v>0</v>
      </c>
      <c r="M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M37))</f>
        <v>0</v>
      </c>
      <c r="N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N37))</f>
        <v>0</v>
      </c>
      <c r="O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O37))</f>
        <v>0</v>
      </c>
      <c r="P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P37))</f>
        <v>0</v>
      </c>
      <c r="Q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Q37))</f>
        <v>0</v>
      </c>
    </row>
    <row r="38" spans="1:17">
      <c r="A38" t="s">
        <v>775</v>
      </c>
      <c r="B38" t="s">
        <v>56</v>
      </c>
      <c r="C38" t="s">
        <v>778</v>
      </c>
      <c r="D38" t="s">
        <v>754</v>
      </c>
      <c r="E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E38))</f>
        <v>0</v>
      </c>
      <c r="F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F38))</f>
        <v>0</v>
      </c>
      <c r="G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G38))</f>
        <v>0</v>
      </c>
      <c r="H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H38))</f>
        <v>0</v>
      </c>
      <c r="I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I38))</f>
        <v>0</v>
      </c>
      <c r="J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J38))</f>
        <v>0</v>
      </c>
      <c r="K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K38))</f>
        <v>0</v>
      </c>
      <c r="L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L38))</f>
        <v>0</v>
      </c>
      <c r="M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M38))</f>
        <v>0</v>
      </c>
      <c r="N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N38))</f>
        <v>0</v>
      </c>
      <c r="O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O38))</f>
        <v>0</v>
      </c>
      <c r="P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P38))</f>
        <v>0</v>
      </c>
      <c r="Q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Q38))</f>
        <v>0</v>
      </c>
    </row>
    <row r="39" spans="1:17">
      <c r="A39" t="s">
        <v>775</v>
      </c>
      <c r="B39" t="s">
        <v>56</v>
      </c>
      <c r="C39" t="s">
        <v>778</v>
      </c>
      <c r="D39" t="s">
        <v>755</v>
      </c>
      <c r="E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E39))</f>
        <v>0</v>
      </c>
      <c r="F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F39))</f>
        <v>0</v>
      </c>
      <c r="G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G39))</f>
        <v>0</v>
      </c>
      <c r="H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H39))</f>
        <v>0</v>
      </c>
      <c r="I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I39))</f>
        <v>0</v>
      </c>
      <c r="J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J39))</f>
        <v>0</v>
      </c>
      <c r="K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K39))</f>
        <v>0</v>
      </c>
      <c r="L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L39))</f>
        <v>0</v>
      </c>
      <c r="M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M39))</f>
        <v>0</v>
      </c>
      <c r="N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N39))</f>
        <v>0</v>
      </c>
      <c r="O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O39))</f>
        <v>0</v>
      </c>
      <c r="P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P39))</f>
        <v>0</v>
      </c>
      <c r="Q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Q39))</f>
        <v>0</v>
      </c>
    </row>
    <row r="40" spans="1:17">
      <c r="A40" t="s">
        <v>775</v>
      </c>
      <c r="B40" t="s">
        <v>56</v>
      </c>
      <c r="C40" t="s">
        <v>779</v>
      </c>
      <c r="D40" t="s">
        <v>754</v>
      </c>
      <c r="E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E40))</f>
        <v>0</v>
      </c>
      <c r="F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F40))</f>
        <v>0</v>
      </c>
      <c r="G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G40))</f>
        <v>0</v>
      </c>
      <c r="H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H40))</f>
        <v>0</v>
      </c>
      <c r="I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I40))</f>
        <v>0</v>
      </c>
      <c r="J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J40))</f>
        <v>0</v>
      </c>
      <c r="K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K40))</f>
        <v>0</v>
      </c>
      <c r="L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L40))</f>
        <v>0</v>
      </c>
      <c r="M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M40))</f>
        <v>0</v>
      </c>
      <c r="N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N40))</f>
        <v>0</v>
      </c>
      <c r="O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O40))</f>
        <v>0</v>
      </c>
      <c r="P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P40))</f>
        <v>0</v>
      </c>
      <c r="Q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Q40))</f>
        <v>0</v>
      </c>
    </row>
    <row r="41" spans="1:17">
      <c r="A41" t="s">
        <v>775</v>
      </c>
      <c r="B41" t="s">
        <v>56</v>
      </c>
      <c r="C41" t="s">
        <v>779</v>
      </c>
      <c r="D41" t="s">
        <v>755</v>
      </c>
      <c r="E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E41))</f>
        <v>0</v>
      </c>
      <c r="F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F41))</f>
        <v>0</v>
      </c>
      <c r="G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G41))</f>
        <v>0</v>
      </c>
      <c r="H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H41))</f>
        <v>0</v>
      </c>
      <c r="I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I41))</f>
        <v>0</v>
      </c>
      <c r="J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J41))</f>
        <v>0</v>
      </c>
      <c r="K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K41))</f>
        <v>0</v>
      </c>
      <c r="L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L41))</f>
        <v>0</v>
      </c>
      <c r="M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M41))</f>
        <v>0</v>
      </c>
      <c r="N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N41))</f>
        <v>0</v>
      </c>
      <c r="O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O41))</f>
        <v>0</v>
      </c>
      <c r="P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P41))</f>
        <v>0</v>
      </c>
      <c r="Q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Q41))</f>
        <v>0</v>
      </c>
    </row>
    <row r="42" spans="1:17">
      <c r="A42" t="s">
        <v>775</v>
      </c>
      <c r="B42" t="s">
        <v>56</v>
      </c>
      <c r="C42" t="s">
        <v>780</v>
      </c>
      <c r="D42" t="s">
        <v>754</v>
      </c>
      <c r="E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E42))</f>
        <v>0</v>
      </c>
      <c r="F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F42))</f>
        <v>0</v>
      </c>
      <c r="G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G42))</f>
        <v>0</v>
      </c>
      <c r="H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H42))</f>
        <v>0</v>
      </c>
      <c r="I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I42))</f>
        <v>0</v>
      </c>
      <c r="J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J42))</f>
        <v>0</v>
      </c>
      <c r="K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K42))</f>
        <v>0</v>
      </c>
      <c r="L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L42))</f>
        <v>0</v>
      </c>
      <c r="M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M42))</f>
        <v>0</v>
      </c>
      <c r="N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N42))</f>
        <v>0</v>
      </c>
      <c r="O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O42))</f>
        <v>0</v>
      </c>
      <c r="P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P42))</f>
        <v>0</v>
      </c>
      <c r="Q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Q42))</f>
        <v>0</v>
      </c>
    </row>
    <row r="43" spans="1:17">
      <c r="A43" t="s">
        <v>775</v>
      </c>
      <c r="B43" t="s">
        <v>56</v>
      </c>
      <c r="C43" t="s">
        <v>780</v>
      </c>
      <c r="D43" t="s">
        <v>755</v>
      </c>
      <c r="E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E43))</f>
        <v>0</v>
      </c>
      <c r="F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F43))</f>
        <v>-2638466</v>
      </c>
      <c r="G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G43))</f>
        <v>0</v>
      </c>
      <c r="H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H43))</f>
        <v>-1608646</v>
      </c>
      <c r="I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I43))</f>
        <v>-5136871</v>
      </c>
      <c r="J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J43))</f>
        <v>-2216861</v>
      </c>
      <c r="K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K43))</f>
        <v>-1331508</v>
      </c>
      <c r="L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L43))</f>
        <v>0</v>
      </c>
      <c r="M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M43))</f>
        <v>-5761940</v>
      </c>
      <c r="N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N43))</f>
        <v>-2840667</v>
      </c>
      <c r="O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O43))</f>
        <v>-1556192</v>
      </c>
      <c r="P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P43))</f>
        <v>-3847445</v>
      </c>
      <c r="Q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Q43))</f>
        <v>-26938596</v>
      </c>
    </row>
    <row r="44" spans="1:17">
      <c r="A44" t="s">
        <v>775</v>
      </c>
      <c r="B44" t="s">
        <v>56</v>
      </c>
      <c r="C44" t="s">
        <v>781</v>
      </c>
      <c r="D44" t="s">
        <v>754</v>
      </c>
      <c r="E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E44))</f>
        <v>0</v>
      </c>
      <c r="F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F44))</f>
        <v>0</v>
      </c>
      <c r="G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G44))</f>
        <v>0</v>
      </c>
      <c r="H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H44))</f>
        <v>0</v>
      </c>
      <c r="I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I44))</f>
        <v>0</v>
      </c>
      <c r="J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J44))</f>
        <v>0</v>
      </c>
      <c r="K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K44))</f>
        <v>0</v>
      </c>
      <c r="L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L44))</f>
        <v>0</v>
      </c>
      <c r="M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M44))</f>
        <v>0</v>
      </c>
      <c r="N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N44))</f>
        <v>0</v>
      </c>
      <c r="O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O44))</f>
        <v>0</v>
      </c>
      <c r="P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P44))</f>
        <v>0</v>
      </c>
      <c r="Q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Q44))</f>
        <v>0</v>
      </c>
    </row>
    <row r="45" spans="1:17">
      <c r="A45" t="s">
        <v>775</v>
      </c>
      <c r="B45" t="s">
        <v>56</v>
      </c>
      <c r="C45" t="s">
        <v>781</v>
      </c>
      <c r="D45" t="s">
        <v>755</v>
      </c>
      <c r="E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E45))</f>
        <v>0</v>
      </c>
      <c r="F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F45))</f>
        <v>0</v>
      </c>
      <c r="G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G45))</f>
        <v>0</v>
      </c>
      <c r="H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H45))</f>
        <v>0</v>
      </c>
      <c r="I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I45))</f>
        <v>0</v>
      </c>
      <c r="J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J45))</f>
        <v>0</v>
      </c>
      <c r="K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K45))</f>
        <v>0</v>
      </c>
      <c r="L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L45))</f>
        <v>0</v>
      </c>
      <c r="M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M45))</f>
        <v>0</v>
      </c>
      <c r="N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N45))</f>
        <v>0</v>
      </c>
      <c r="O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O45))</f>
        <v>0</v>
      </c>
      <c r="P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P45))</f>
        <v>0</v>
      </c>
      <c r="Q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Q45))</f>
        <v>0</v>
      </c>
    </row>
    <row r="46" spans="1:17">
      <c r="A46" t="s">
        <v>775</v>
      </c>
      <c r="B46" t="s">
        <v>56</v>
      </c>
      <c r="C46" t="s">
        <v>782</v>
      </c>
      <c r="D46" t="s">
        <v>754</v>
      </c>
      <c r="E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E46))</f>
        <v>0</v>
      </c>
      <c r="F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F46))</f>
        <v>0</v>
      </c>
      <c r="G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G46))</f>
        <v>0</v>
      </c>
      <c r="H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H46))</f>
        <v>0</v>
      </c>
      <c r="I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I46))</f>
        <v>0</v>
      </c>
      <c r="J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J46))</f>
        <v>0</v>
      </c>
      <c r="K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K46))</f>
        <v>0</v>
      </c>
      <c r="L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L46))</f>
        <v>0</v>
      </c>
      <c r="M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M46))</f>
        <v>0</v>
      </c>
      <c r="N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N46))</f>
        <v>0</v>
      </c>
      <c r="O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O46))</f>
        <v>0</v>
      </c>
      <c r="P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P46))</f>
        <v>0</v>
      </c>
      <c r="Q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Q46))</f>
        <v>0</v>
      </c>
    </row>
    <row r="47" spans="1:17">
      <c r="A47" t="s">
        <v>775</v>
      </c>
      <c r="B47" t="s">
        <v>56</v>
      </c>
      <c r="C47" t="s">
        <v>782</v>
      </c>
      <c r="D47" t="s">
        <v>755</v>
      </c>
      <c r="E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E47))</f>
        <v>0</v>
      </c>
      <c r="F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F47))</f>
        <v>0</v>
      </c>
      <c r="G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G47))</f>
        <v>0</v>
      </c>
      <c r="H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H47))</f>
        <v>0</v>
      </c>
      <c r="I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I47))</f>
        <v>0</v>
      </c>
      <c r="J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J47))</f>
        <v>0</v>
      </c>
      <c r="K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K47))</f>
        <v>0</v>
      </c>
      <c r="L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L47))</f>
        <v>0</v>
      </c>
      <c r="M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M47))</f>
        <v>0</v>
      </c>
      <c r="N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N47))</f>
        <v>0</v>
      </c>
      <c r="O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O47))</f>
        <v>0</v>
      </c>
      <c r="P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P47))</f>
        <v>0</v>
      </c>
      <c r="Q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Q47))</f>
        <v>0</v>
      </c>
    </row>
    <row r="48" spans="1:17">
      <c r="A48" t="s">
        <v>775</v>
      </c>
      <c r="B48" t="s">
        <v>56</v>
      </c>
      <c r="C48" t="s">
        <v>783</v>
      </c>
      <c r="D48" t="s">
        <v>754</v>
      </c>
      <c r="E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E48))</f>
        <v>0</v>
      </c>
      <c r="F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F48))</f>
        <v>0</v>
      </c>
      <c r="G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G48))</f>
        <v>0</v>
      </c>
      <c r="H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H48))</f>
        <v>0</v>
      </c>
      <c r="I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I48))</f>
        <v>0</v>
      </c>
      <c r="J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J48))</f>
        <v>0</v>
      </c>
      <c r="K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K48))</f>
        <v>0</v>
      </c>
      <c r="L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L48))</f>
        <v>0</v>
      </c>
      <c r="M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M48))</f>
        <v>0</v>
      </c>
      <c r="N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N48))</f>
        <v>0</v>
      </c>
      <c r="O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O48))</f>
        <v>0</v>
      </c>
      <c r="P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P48))</f>
        <v>0</v>
      </c>
      <c r="Q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Q48))</f>
        <v>0</v>
      </c>
    </row>
    <row r="49" spans="1:17">
      <c r="A49" t="s">
        <v>775</v>
      </c>
      <c r="B49" t="s">
        <v>56</v>
      </c>
      <c r="C49" t="s">
        <v>783</v>
      </c>
      <c r="D49" t="s">
        <v>755</v>
      </c>
      <c r="E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E49))</f>
        <v>0</v>
      </c>
      <c r="F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F49))</f>
        <v>-424987</v>
      </c>
      <c r="G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G49))</f>
        <v>0</v>
      </c>
      <c r="H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H49))</f>
        <v>1475588</v>
      </c>
      <c r="I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I49))</f>
        <v>-167891</v>
      </c>
      <c r="J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J49))</f>
        <v>-425398</v>
      </c>
      <c r="K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K49))</f>
        <v>0</v>
      </c>
      <c r="L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L49))</f>
        <v>0</v>
      </c>
      <c r="M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M49))</f>
        <v>0</v>
      </c>
      <c r="N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N49))</f>
        <v>-374459</v>
      </c>
      <c r="O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O49))</f>
        <v>-82366</v>
      </c>
      <c r="P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P49))</f>
        <v>-5164103</v>
      </c>
      <c r="Q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Q49))</f>
        <v>-5163616</v>
      </c>
    </row>
    <row r="50" spans="1:17">
      <c r="A50" t="s">
        <v>775</v>
      </c>
      <c r="B50" t="s">
        <v>758</v>
      </c>
      <c r="C50" t="s">
        <v>776</v>
      </c>
      <c r="D50" t="s">
        <v>754</v>
      </c>
      <c r="E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E50))</f>
        <v>0</v>
      </c>
      <c r="F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F50))</f>
        <v>0</v>
      </c>
      <c r="G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G50))</f>
        <v>0</v>
      </c>
      <c r="H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H50))</f>
        <v>0</v>
      </c>
      <c r="I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I50))</f>
        <v>0</v>
      </c>
      <c r="J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J50))</f>
        <v>0</v>
      </c>
      <c r="K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K50))</f>
        <v>0</v>
      </c>
      <c r="L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L50))</f>
        <v>0</v>
      </c>
      <c r="M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M50))</f>
        <v>0</v>
      </c>
      <c r="N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N50))</f>
        <v>0</v>
      </c>
      <c r="O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O50))</f>
        <v>0</v>
      </c>
      <c r="P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P50))</f>
        <v>0</v>
      </c>
      <c r="Q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Q50))</f>
        <v>0</v>
      </c>
    </row>
    <row r="51" spans="1:17">
      <c r="A51" t="s">
        <v>775</v>
      </c>
      <c r="B51" t="s">
        <v>758</v>
      </c>
      <c r="C51" t="s">
        <v>776</v>
      </c>
      <c r="D51" t="s">
        <v>755</v>
      </c>
      <c r="E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E51))</f>
        <v>0</v>
      </c>
      <c r="F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F51))</f>
        <v>0</v>
      </c>
      <c r="G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G51))</f>
        <v>0</v>
      </c>
      <c r="H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H51))</f>
        <v>0</v>
      </c>
      <c r="I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I51))</f>
        <v>0</v>
      </c>
      <c r="J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J51))</f>
        <v>0</v>
      </c>
      <c r="K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K51))</f>
        <v>0</v>
      </c>
      <c r="L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L51))</f>
        <v>0</v>
      </c>
      <c r="M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M51))</f>
        <v>0</v>
      </c>
      <c r="N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N51))</f>
        <v>-1</v>
      </c>
      <c r="O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O51))</f>
        <v>0</v>
      </c>
      <c r="P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P51))</f>
        <v>0</v>
      </c>
      <c r="Q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Q51))</f>
        <v>-1</v>
      </c>
    </row>
    <row r="52" spans="1:17">
      <c r="A52" t="s">
        <v>775</v>
      </c>
      <c r="B52" t="s">
        <v>758</v>
      </c>
      <c r="C52" t="s">
        <v>777</v>
      </c>
      <c r="D52" t="s">
        <v>754</v>
      </c>
      <c r="E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E52))</f>
        <v>0</v>
      </c>
      <c r="F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F52))</f>
        <v>0</v>
      </c>
      <c r="G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G52))</f>
        <v>0</v>
      </c>
      <c r="H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H52))</f>
        <v>0</v>
      </c>
      <c r="I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I52))</f>
        <v>0</v>
      </c>
      <c r="J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J52))</f>
        <v>0</v>
      </c>
      <c r="K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K52))</f>
        <v>0</v>
      </c>
      <c r="L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L52))</f>
        <v>0</v>
      </c>
      <c r="M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M52))</f>
        <v>0</v>
      </c>
      <c r="N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N52))</f>
        <v>0</v>
      </c>
      <c r="O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O52))</f>
        <v>0</v>
      </c>
      <c r="P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P52))</f>
        <v>0</v>
      </c>
      <c r="Q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Q52))</f>
        <v>0</v>
      </c>
    </row>
    <row r="53" spans="1:17">
      <c r="A53" t="s">
        <v>775</v>
      </c>
      <c r="B53" t="s">
        <v>758</v>
      </c>
      <c r="C53" t="s">
        <v>777</v>
      </c>
      <c r="D53" t="s">
        <v>755</v>
      </c>
      <c r="E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E53))</f>
        <v>0</v>
      </c>
      <c r="F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F53))</f>
        <v>0</v>
      </c>
      <c r="G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G53))</f>
        <v>0</v>
      </c>
      <c r="H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H53))</f>
        <v>0</v>
      </c>
      <c r="I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I53))</f>
        <v>0</v>
      </c>
      <c r="J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J53))</f>
        <v>0</v>
      </c>
      <c r="K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K53))</f>
        <v>0</v>
      </c>
      <c r="L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L53))</f>
        <v>0</v>
      </c>
      <c r="M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M53))</f>
        <v>0</v>
      </c>
      <c r="N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N53))</f>
        <v>0</v>
      </c>
      <c r="O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O53))</f>
        <v>0</v>
      </c>
      <c r="P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P53))</f>
        <v>0</v>
      </c>
      <c r="Q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Q53))</f>
        <v>0</v>
      </c>
    </row>
    <row r="54" spans="1:17">
      <c r="A54" t="s">
        <v>775</v>
      </c>
      <c r="B54" t="s">
        <v>758</v>
      </c>
      <c r="C54" t="s">
        <v>778</v>
      </c>
      <c r="D54" t="s">
        <v>754</v>
      </c>
      <c r="E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E54))</f>
        <v>0</v>
      </c>
      <c r="F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F54))</f>
        <v>0</v>
      </c>
      <c r="G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G54))</f>
        <v>0</v>
      </c>
      <c r="H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H54))</f>
        <v>0</v>
      </c>
      <c r="I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I54))</f>
        <v>0</v>
      </c>
      <c r="J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J54))</f>
        <v>0</v>
      </c>
      <c r="K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K54))</f>
        <v>0</v>
      </c>
      <c r="L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L54))</f>
        <v>0</v>
      </c>
      <c r="M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M54))</f>
        <v>0</v>
      </c>
      <c r="N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N54))</f>
        <v>0</v>
      </c>
      <c r="O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O54))</f>
        <v>0</v>
      </c>
      <c r="P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P54))</f>
        <v>0</v>
      </c>
      <c r="Q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Q54))</f>
        <v>0</v>
      </c>
    </row>
    <row r="55" spans="1:17">
      <c r="A55" t="s">
        <v>775</v>
      </c>
      <c r="B55" t="s">
        <v>758</v>
      </c>
      <c r="C55" t="s">
        <v>778</v>
      </c>
      <c r="D55" t="s">
        <v>755</v>
      </c>
      <c r="E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E55))</f>
        <v>0</v>
      </c>
      <c r="F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F55))</f>
        <v>0</v>
      </c>
      <c r="G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G55))</f>
        <v>0</v>
      </c>
      <c r="H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H55))</f>
        <v>0</v>
      </c>
      <c r="I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I55))</f>
        <v>0</v>
      </c>
      <c r="J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J55))</f>
        <v>0</v>
      </c>
      <c r="K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K55))</f>
        <v>0</v>
      </c>
      <c r="L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L55))</f>
        <v>0</v>
      </c>
      <c r="M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M55))</f>
        <v>0</v>
      </c>
      <c r="N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N55))</f>
        <v>0</v>
      </c>
      <c r="O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O55))</f>
        <v>0</v>
      </c>
      <c r="P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P55))</f>
        <v>0</v>
      </c>
      <c r="Q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Q55))</f>
        <v>0</v>
      </c>
    </row>
    <row r="56" spans="1:17">
      <c r="A56" t="s">
        <v>775</v>
      </c>
      <c r="B56" t="s">
        <v>758</v>
      </c>
      <c r="C56" t="s">
        <v>779</v>
      </c>
      <c r="D56" t="s">
        <v>754</v>
      </c>
      <c r="E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E56))</f>
        <v>0</v>
      </c>
      <c r="F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F56))</f>
        <v>0</v>
      </c>
      <c r="G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G56))</f>
        <v>0</v>
      </c>
      <c r="H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H56))</f>
        <v>0</v>
      </c>
      <c r="I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I56))</f>
        <v>0</v>
      </c>
      <c r="J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J56))</f>
        <v>0</v>
      </c>
      <c r="K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K56))</f>
        <v>0</v>
      </c>
      <c r="L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L56))</f>
        <v>0</v>
      </c>
      <c r="M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M56))</f>
        <v>0</v>
      </c>
      <c r="N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N56))</f>
        <v>0</v>
      </c>
      <c r="O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O56))</f>
        <v>0</v>
      </c>
      <c r="P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P56))</f>
        <v>0</v>
      </c>
      <c r="Q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Q56))</f>
        <v>0</v>
      </c>
    </row>
    <row r="57" spans="1:17">
      <c r="A57" t="s">
        <v>775</v>
      </c>
      <c r="B57" t="s">
        <v>758</v>
      </c>
      <c r="C57" t="s">
        <v>779</v>
      </c>
      <c r="D57" t="s">
        <v>755</v>
      </c>
      <c r="E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E57))</f>
        <v>0</v>
      </c>
      <c r="F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F57))</f>
        <v>0</v>
      </c>
      <c r="G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G57))</f>
        <v>0</v>
      </c>
      <c r="H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H57))</f>
        <v>0</v>
      </c>
      <c r="I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I57))</f>
        <v>0</v>
      </c>
      <c r="J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J57))</f>
        <v>0</v>
      </c>
      <c r="K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K57))</f>
        <v>0</v>
      </c>
      <c r="L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L57))</f>
        <v>0</v>
      </c>
      <c r="M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M57))</f>
        <v>0</v>
      </c>
      <c r="N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N57))</f>
        <v>0</v>
      </c>
      <c r="O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O57))</f>
        <v>0</v>
      </c>
      <c r="P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P57))</f>
        <v>0</v>
      </c>
      <c r="Q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Q57))</f>
        <v>0</v>
      </c>
    </row>
    <row r="58" spans="1:17">
      <c r="A58" t="s">
        <v>775</v>
      </c>
      <c r="B58" t="s">
        <v>758</v>
      </c>
      <c r="C58" t="s">
        <v>780</v>
      </c>
      <c r="D58" t="s">
        <v>754</v>
      </c>
      <c r="E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E58))</f>
        <v>0</v>
      </c>
      <c r="F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F58))</f>
        <v>0</v>
      </c>
      <c r="G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G58))</f>
        <v>0</v>
      </c>
      <c r="H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H58))</f>
        <v>0</v>
      </c>
      <c r="I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I58))</f>
        <v>0</v>
      </c>
      <c r="J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J58))</f>
        <v>0</v>
      </c>
      <c r="K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K58))</f>
        <v>0</v>
      </c>
      <c r="L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L58))</f>
        <v>0</v>
      </c>
      <c r="M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M58))</f>
        <v>0</v>
      </c>
      <c r="N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N58))</f>
        <v>0</v>
      </c>
      <c r="O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O58))</f>
        <v>0</v>
      </c>
      <c r="P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P58))</f>
        <v>0</v>
      </c>
      <c r="Q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Q58))</f>
        <v>0</v>
      </c>
    </row>
    <row r="59" spans="1:17">
      <c r="A59" t="s">
        <v>775</v>
      </c>
      <c r="B59" t="s">
        <v>758</v>
      </c>
      <c r="C59" t="s">
        <v>780</v>
      </c>
      <c r="D59" t="s">
        <v>755</v>
      </c>
      <c r="E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E59))</f>
        <v>0</v>
      </c>
      <c r="F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F59))</f>
        <v>0</v>
      </c>
      <c r="G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G59))</f>
        <v>0</v>
      </c>
      <c r="H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H59))</f>
        <v>0</v>
      </c>
      <c r="I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I59))</f>
        <v>0</v>
      </c>
      <c r="J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J59))</f>
        <v>0</v>
      </c>
      <c r="K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K59))</f>
        <v>0</v>
      </c>
      <c r="L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L59))</f>
        <v>0</v>
      </c>
      <c r="M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M59))</f>
        <v>0</v>
      </c>
      <c r="N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N59))</f>
        <v>0</v>
      </c>
      <c r="O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O59))</f>
        <v>0</v>
      </c>
      <c r="P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P59))</f>
        <v>0</v>
      </c>
      <c r="Q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Q59))</f>
        <v>0</v>
      </c>
    </row>
    <row r="60" spans="1:17">
      <c r="A60" t="s">
        <v>775</v>
      </c>
      <c r="B60" t="s">
        <v>758</v>
      </c>
      <c r="C60" t="s">
        <v>781</v>
      </c>
      <c r="D60" t="s">
        <v>754</v>
      </c>
      <c r="E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E60))</f>
        <v>0</v>
      </c>
      <c r="F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F60))</f>
        <v>0</v>
      </c>
      <c r="G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G60))</f>
        <v>0</v>
      </c>
      <c r="H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H60))</f>
        <v>0</v>
      </c>
      <c r="I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I60))</f>
        <v>0</v>
      </c>
      <c r="J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J60))</f>
        <v>0</v>
      </c>
      <c r="K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K60))</f>
        <v>0</v>
      </c>
      <c r="L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L60))</f>
        <v>0</v>
      </c>
      <c r="M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M60))</f>
        <v>0</v>
      </c>
      <c r="N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N60))</f>
        <v>0</v>
      </c>
      <c r="O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O60))</f>
        <v>0</v>
      </c>
      <c r="P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P60))</f>
        <v>0</v>
      </c>
      <c r="Q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Q60))</f>
        <v>0</v>
      </c>
    </row>
    <row r="61" spans="1:17">
      <c r="A61" t="s">
        <v>775</v>
      </c>
      <c r="B61" t="s">
        <v>758</v>
      </c>
      <c r="C61" t="s">
        <v>781</v>
      </c>
      <c r="D61" t="s">
        <v>755</v>
      </c>
      <c r="E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E61))</f>
        <v>0</v>
      </c>
      <c r="F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F61))</f>
        <v>0</v>
      </c>
      <c r="G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G61))</f>
        <v>0</v>
      </c>
      <c r="H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H61))</f>
        <v>0</v>
      </c>
      <c r="I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I61))</f>
        <v>0</v>
      </c>
      <c r="J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J61))</f>
        <v>0</v>
      </c>
      <c r="K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K61))</f>
        <v>0</v>
      </c>
      <c r="L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L61))</f>
        <v>0</v>
      </c>
      <c r="M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M61))</f>
        <v>0</v>
      </c>
      <c r="N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N61))</f>
        <v>0</v>
      </c>
      <c r="O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O61))</f>
        <v>0</v>
      </c>
      <c r="P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P61))</f>
        <v>0</v>
      </c>
      <c r="Q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Q61))</f>
        <v>0</v>
      </c>
    </row>
    <row r="62" spans="1:17">
      <c r="A62" t="s">
        <v>775</v>
      </c>
      <c r="B62" t="s">
        <v>758</v>
      </c>
      <c r="C62" t="s">
        <v>782</v>
      </c>
      <c r="D62" t="s">
        <v>754</v>
      </c>
      <c r="E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E62))</f>
        <v>0</v>
      </c>
      <c r="F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F62))</f>
        <v>0</v>
      </c>
      <c r="G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G62))</f>
        <v>0</v>
      </c>
      <c r="H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H62))</f>
        <v>0</v>
      </c>
      <c r="I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I62))</f>
        <v>0</v>
      </c>
      <c r="J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J62))</f>
        <v>0</v>
      </c>
      <c r="K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K62))</f>
        <v>0</v>
      </c>
      <c r="L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L62))</f>
        <v>0</v>
      </c>
      <c r="M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M62))</f>
        <v>0</v>
      </c>
      <c r="N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N62))</f>
        <v>0</v>
      </c>
      <c r="O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O62))</f>
        <v>0</v>
      </c>
      <c r="P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P62))</f>
        <v>0</v>
      </c>
      <c r="Q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Q62))</f>
        <v>0</v>
      </c>
    </row>
    <row r="63" spans="1:17">
      <c r="A63" t="s">
        <v>775</v>
      </c>
      <c r="B63" t="s">
        <v>758</v>
      </c>
      <c r="C63" t="s">
        <v>782</v>
      </c>
      <c r="D63" t="s">
        <v>755</v>
      </c>
      <c r="E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E63))</f>
        <v>0</v>
      </c>
      <c r="F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F63))</f>
        <v>0</v>
      </c>
      <c r="G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G63))</f>
        <v>0</v>
      </c>
      <c r="H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H63))</f>
        <v>0</v>
      </c>
      <c r="I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I63))</f>
        <v>0</v>
      </c>
      <c r="J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J63))</f>
        <v>0</v>
      </c>
      <c r="K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K63))</f>
        <v>0</v>
      </c>
      <c r="L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L63))</f>
        <v>0</v>
      </c>
      <c r="M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M63))</f>
        <v>0</v>
      </c>
      <c r="N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N63))</f>
        <v>0</v>
      </c>
      <c r="O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O63))</f>
        <v>0</v>
      </c>
      <c r="P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P63))</f>
        <v>0</v>
      </c>
      <c r="Q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Q63))</f>
        <v>0</v>
      </c>
    </row>
    <row r="64" spans="1:17">
      <c r="A64" t="s">
        <v>775</v>
      </c>
      <c r="B64" t="s">
        <v>758</v>
      </c>
      <c r="C64" t="s">
        <v>783</v>
      </c>
      <c r="D64" t="s">
        <v>754</v>
      </c>
      <c r="E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E64))</f>
        <v>0</v>
      </c>
      <c r="F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F64))</f>
        <v>0</v>
      </c>
      <c r="G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G64))</f>
        <v>0</v>
      </c>
      <c r="H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H64))</f>
        <v>0</v>
      </c>
      <c r="I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I64))</f>
        <v>0</v>
      </c>
      <c r="J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J64))</f>
        <v>0</v>
      </c>
      <c r="K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K64))</f>
        <v>0</v>
      </c>
      <c r="L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L64))</f>
        <v>0</v>
      </c>
      <c r="M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M64))</f>
        <v>0</v>
      </c>
      <c r="N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N64))</f>
        <v>0</v>
      </c>
      <c r="O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O64))</f>
        <v>0</v>
      </c>
      <c r="P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P64))</f>
        <v>0</v>
      </c>
      <c r="Q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Q64))</f>
        <v>0</v>
      </c>
    </row>
    <row r="65" spans="1:17">
      <c r="A65" t="s">
        <v>775</v>
      </c>
      <c r="B65" t="s">
        <v>758</v>
      </c>
      <c r="C65" t="s">
        <v>783</v>
      </c>
      <c r="D65" t="s">
        <v>755</v>
      </c>
      <c r="E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E65))</f>
        <v>0</v>
      </c>
      <c r="F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F65))</f>
        <v>0</v>
      </c>
      <c r="G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G65))</f>
        <v>0</v>
      </c>
      <c r="H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H65))</f>
        <v>0</v>
      </c>
      <c r="I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I65))</f>
        <v>0</v>
      </c>
      <c r="J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J65))</f>
        <v>0</v>
      </c>
      <c r="K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K65))</f>
        <v>0</v>
      </c>
      <c r="L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L65))</f>
        <v>0</v>
      </c>
      <c r="M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M65))</f>
        <v>0</v>
      </c>
      <c r="N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N65))</f>
        <v>0</v>
      </c>
      <c r="O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O65))</f>
        <v>0</v>
      </c>
      <c r="P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P65))</f>
        <v>0</v>
      </c>
      <c r="Q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Q65))</f>
        <v>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3" customWidth="1"/>
    <col min="8" max="8" width="20.6640625" style="19" customWidth="1"/>
    <col min="9" max="9" width="13.6640625" customWidth="1"/>
    <col min="10" max="13" width="13.6640625" style="17" customWidth="1"/>
    <col min="14" max="14" width="13.6640625" customWidth="1"/>
    <col min="15" max="16" width="13.6640625" style="17" customWidth="1"/>
    <col min="17" max="23" width="13.6640625" customWidth="1"/>
    <col min="24" max="25" width="13.6640625" style="19" customWidth="1"/>
    <col min="26" max="26" width="13.6640625" customWidth="1"/>
  </cols>
  <sheetData>
    <row r="1" spans="1:30">
      <c r="A1" s="20" t="s">
        <v>784</v>
      </c>
      <c r="B1" s="20" t="s">
        <v>785</v>
      </c>
      <c r="C1" s="20" t="s">
        <v>786</v>
      </c>
      <c r="D1" s="20" t="s">
        <v>787</v>
      </c>
      <c r="E1" s="20" t="s">
        <v>788</v>
      </c>
      <c r="F1" s="20" t="s">
        <v>789</v>
      </c>
      <c r="G1" s="22" t="s">
        <v>790</v>
      </c>
      <c r="H1" s="24" t="s">
        <v>791</v>
      </c>
      <c r="I1" s="20" t="s">
        <v>792</v>
      </c>
      <c r="J1" s="21" t="s">
        <v>793</v>
      </c>
      <c r="K1" s="21" t="s">
        <v>794</v>
      </c>
      <c r="L1" s="21" t="s">
        <v>795</v>
      </c>
      <c r="M1" s="21" t="s">
        <v>796</v>
      </c>
      <c r="N1" s="20" t="s">
        <v>797</v>
      </c>
      <c r="O1" s="21" t="s">
        <v>798</v>
      </c>
      <c r="P1" s="21" t="s">
        <v>799</v>
      </c>
      <c r="Q1" s="20" t="s">
        <v>800</v>
      </c>
      <c r="R1" s="20" t="s">
        <v>801</v>
      </c>
      <c r="S1" s="20" t="s">
        <v>802</v>
      </c>
      <c r="T1" s="20" t="s">
        <v>803</v>
      </c>
      <c r="U1" s="20" t="s">
        <v>804</v>
      </c>
      <c r="V1" s="20" t="s">
        <v>805</v>
      </c>
      <c r="W1" s="20" t="s">
        <v>806</v>
      </c>
      <c r="X1" s="24" t="s">
        <v>807</v>
      </c>
      <c r="Y1" s="24" t="s">
        <v>808</v>
      </c>
      <c r="Z1" s="20" t="s">
        <v>809</v>
      </c>
      <c r="AA1" s="20" t="s">
        <v>810</v>
      </c>
      <c r="AB1" s="20" t="s">
        <v>811</v>
      </c>
      <c r="AC1" s="20" t="s">
        <v>812</v>
      </c>
      <c r="AD1" s="20" t="s">
        <v>813</v>
      </c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17" customWidth="1"/>
    <col min="6" max="6" width="16.109375" style="17" customWidth="1"/>
    <col min="7" max="7" width="8.88671875" customWidth="1"/>
  </cols>
  <sheetData>
    <row r="1" spans="1:6">
      <c r="A1" s="26" t="s">
        <v>814</v>
      </c>
      <c r="B1" s="26" t="s">
        <v>815</v>
      </c>
      <c r="C1" s="26" t="s">
        <v>816</v>
      </c>
      <c r="D1" s="26" t="s">
        <v>817</v>
      </c>
      <c r="E1" s="30" t="s">
        <v>750</v>
      </c>
      <c r="F1" s="30" t="s">
        <v>818</v>
      </c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5" bestFit="1" customWidth="1"/>
    <col min="2" max="2" width="10.5546875" style="55" bestFit="1" customWidth="1"/>
    <col min="3" max="4" width="11.6640625" style="55" bestFit="1" customWidth="1"/>
    <col min="5" max="5" width="25.33203125" style="55" bestFit="1" customWidth="1"/>
    <col min="6" max="6" width="17.88671875" style="55" bestFit="1" customWidth="1"/>
    <col min="7" max="7" width="8.88671875" style="55" customWidth="1"/>
    <col min="8" max="16384" width="8.88671875" style="55"/>
  </cols>
  <sheetData>
    <row r="1" spans="1:6">
      <c r="A1" s="54" t="s">
        <v>819</v>
      </c>
      <c r="B1" s="55">
        <v>1</v>
      </c>
      <c r="C1" s="55">
        <v>2</v>
      </c>
      <c r="D1" s="55">
        <v>3</v>
      </c>
      <c r="E1" s="55">
        <v>4</v>
      </c>
      <c r="F1" s="55">
        <v>5</v>
      </c>
    </row>
    <row r="2" spans="1:6">
      <c r="A2" s="54" t="s">
        <v>820</v>
      </c>
      <c r="B2" s="56">
        <v>43328</v>
      </c>
      <c r="C2" s="56">
        <v>43399</v>
      </c>
      <c r="D2" s="56">
        <v>43403</v>
      </c>
      <c r="E2" s="56">
        <v>43405</v>
      </c>
      <c r="F2" s="55" t="s">
        <v>821</v>
      </c>
    </row>
    <row r="3" spans="1:6">
      <c r="A3" s="54" t="s">
        <v>822</v>
      </c>
      <c r="C3" s="55" t="s">
        <v>823</v>
      </c>
      <c r="D3" s="55" t="s">
        <v>823</v>
      </c>
      <c r="E3" s="55" t="s">
        <v>823</v>
      </c>
      <c r="F3" s="55" t="s">
        <v>824</v>
      </c>
    </row>
    <row r="4" spans="1:6">
      <c r="A4" s="54" t="s">
        <v>825</v>
      </c>
      <c r="E4" s="55" t="s">
        <v>826</v>
      </c>
      <c r="F4" s="55" t="s">
        <v>827</v>
      </c>
    </row>
  </sheetData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742</v>
      </c>
      <c r="B1">
        <v>2</v>
      </c>
    </row>
    <row r="2" spans="1:2">
      <c r="A2" t="s">
        <v>743</v>
      </c>
      <c r="B2">
        <v>3</v>
      </c>
    </row>
    <row r="3" spans="1:2">
      <c r="A3" t="s">
        <v>744</v>
      </c>
      <c r="B3">
        <v>4</v>
      </c>
    </row>
    <row r="4" spans="1:2">
      <c r="A4" t="s">
        <v>745</v>
      </c>
      <c r="B4">
        <v>5</v>
      </c>
    </row>
    <row r="5" spans="1:2">
      <c r="A5" t="s">
        <v>746</v>
      </c>
      <c r="B5">
        <v>6</v>
      </c>
    </row>
    <row r="6" spans="1:2">
      <c r="A6" t="s">
        <v>747</v>
      </c>
      <c r="B6">
        <v>7</v>
      </c>
    </row>
    <row r="7" spans="1:2">
      <c r="A7" t="s">
        <v>748</v>
      </c>
      <c r="B7">
        <v>8</v>
      </c>
    </row>
    <row r="8" spans="1:2">
      <c r="A8" t="s">
        <v>749</v>
      </c>
      <c r="B8">
        <v>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828</v>
      </c>
      <c r="C1" t="s">
        <v>829</v>
      </c>
      <c r="E1" t="s">
        <v>830</v>
      </c>
      <c r="F1">
        <v>395</v>
      </c>
    </row>
    <row r="2" spans="1:6">
      <c r="A2" t="s">
        <v>742</v>
      </c>
      <c r="B2" s="19">
        <v>0</v>
      </c>
      <c r="C2" s="19">
        <v>1</v>
      </c>
      <c r="D2" s="19"/>
      <c r="E2" t="s">
        <v>831</v>
      </c>
      <c r="F2">
        <v>8</v>
      </c>
    </row>
    <row r="3" spans="1:6">
      <c r="A3" t="s">
        <v>743</v>
      </c>
      <c r="B3" s="19">
        <v>4</v>
      </c>
      <c r="C3" s="19">
        <v>5</v>
      </c>
      <c r="D3" s="19"/>
    </row>
    <row r="4" spans="1:6">
      <c r="A4" t="s">
        <v>744</v>
      </c>
      <c r="B4" s="19">
        <v>8</v>
      </c>
      <c r="C4" s="19">
        <v>9</v>
      </c>
      <c r="D4" s="19"/>
    </row>
    <row r="5" spans="1:6">
      <c r="A5" t="s">
        <v>745</v>
      </c>
      <c r="B5" s="19">
        <v>12</v>
      </c>
      <c r="C5" s="19">
        <v>13</v>
      </c>
      <c r="D5" s="19"/>
    </row>
    <row r="6" spans="1:6">
      <c r="A6" t="s">
        <v>746</v>
      </c>
      <c r="B6" s="19">
        <v>16</v>
      </c>
      <c r="C6" s="19">
        <v>17</v>
      </c>
      <c r="D6" s="19"/>
    </row>
    <row r="7" spans="1:6">
      <c r="A7" t="s">
        <v>747</v>
      </c>
      <c r="B7" s="19">
        <v>20</v>
      </c>
      <c r="C7" s="19">
        <v>21</v>
      </c>
      <c r="D7" s="19"/>
    </row>
    <row r="8" spans="1:6">
      <c r="A8" t="s">
        <v>748</v>
      </c>
      <c r="B8" s="19">
        <v>24</v>
      </c>
      <c r="C8" s="19">
        <v>25</v>
      </c>
      <c r="D8" s="19"/>
    </row>
    <row r="9" spans="1:6">
      <c r="A9" t="s">
        <v>749</v>
      </c>
      <c r="B9" s="19">
        <v>28</v>
      </c>
      <c r="C9" s="19">
        <v>29</v>
      </c>
      <c r="D9" s="19"/>
    </row>
    <row r="10" spans="1:6">
      <c r="A10" s="41"/>
      <c r="B10" s="19"/>
      <c r="C10" s="19"/>
      <c r="D10" s="19"/>
    </row>
    <row r="11" spans="1:6">
      <c r="A11" s="41"/>
      <c r="B11" s="19"/>
      <c r="C11" s="19"/>
      <c r="D11" s="19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7</vt:i4>
      </vt:variant>
    </vt:vector>
  </HeadingPairs>
  <TitlesOfParts>
    <vt:vector size="28" baseType="lpstr">
      <vt:lpstr>Presentacion</vt:lpstr>
      <vt:lpstr>Base de Calculo</vt:lpstr>
      <vt:lpstr>KSB1</vt:lpstr>
      <vt:lpstr>III_Compras_Detalladas</vt:lpstr>
      <vt:lpstr>IV_Compras_Totales</vt:lpstr>
      <vt:lpstr>IV_Compras_Logistica</vt:lpstr>
      <vt:lpstr>VI_Debitos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2026-10-06T15:32:56Z</dcterms:modified>
</cp:coreProperties>
</file>